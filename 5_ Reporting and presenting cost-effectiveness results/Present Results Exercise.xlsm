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20" yWindow="90" windowWidth="9420" windowHeight="5010"/>
  </bookViews>
  <sheets>
    <sheet name="Raw data" sheetId="2" r:id="rId1"/>
    <sheet name="Summary Statistics" sheetId="5" r:id="rId2"/>
    <sheet name="Bootstrapping" sheetId="4" r:id="rId3"/>
    <sheet name="Parametric" sheetId="10" r:id="rId4"/>
    <sheet name="CE plane" sheetId="6" r:id="rId5"/>
    <sheet name="ICER Histogram" sheetId="7" r:id="rId6"/>
    <sheet name="CEA curve" sheetId="8" r:id="rId7"/>
    <sheet name="Net Ben Histogram" sheetId="9" r:id="rId8"/>
  </sheets>
  <definedNames>
    <definedName name="control">'Raw data'!$B$5:$D$104</definedName>
    <definedName name="Rc_">Bootstrapping!$AA$2</definedName>
    <definedName name="treatment">'Raw data'!$F$5:$H$104</definedName>
  </definedNames>
  <calcPr calcId="145621"/>
</workbook>
</file>

<file path=xl/calcChain.xml><?xml version="1.0" encoding="utf-8"?>
<calcChain xmlns="http://schemas.openxmlformats.org/spreadsheetml/2006/main">
  <c r="E9" i="4" l="1"/>
  <c r="G9" i="4" s="1"/>
  <c r="E10" i="4"/>
  <c r="G10" i="4" s="1"/>
  <c r="E11" i="4"/>
  <c r="G11" i="4" s="1"/>
  <c r="E12" i="4"/>
  <c r="G12" i="4" s="1"/>
  <c r="E13" i="4"/>
  <c r="G13" i="4" s="1"/>
  <c r="E14" i="4"/>
  <c r="G14" i="4" s="1"/>
  <c r="E15" i="4"/>
  <c r="G15" i="4" s="1"/>
  <c r="E16" i="4"/>
  <c r="G16" i="4" s="1"/>
  <c r="E17" i="4"/>
  <c r="G17" i="4" s="1"/>
  <c r="E18" i="4"/>
  <c r="G18" i="4" s="1"/>
  <c r="E19" i="4"/>
  <c r="G19" i="4" s="1"/>
  <c r="E20" i="4"/>
  <c r="G20" i="4" s="1"/>
  <c r="E21" i="4"/>
  <c r="G21" i="4" s="1"/>
  <c r="E22" i="4"/>
  <c r="G22" i="4" s="1"/>
  <c r="E23" i="4"/>
  <c r="G23" i="4" s="1"/>
  <c r="E24" i="4"/>
  <c r="G24" i="4" s="1"/>
  <c r="E25" i="4"/>
  <c r="G25" i="4" s="1"/>
  <c r="E26" i="4"/>
  <c r="F26" i="4" s="1"/>
  <c r="E27" i="4"/>
  <c r="G27" i="4" s="1"/>
  <c r="E28" i="4"/>
  <c r="F28" i="4" s="1"/>
  <c r="E29" i="4"/>
  <c r="F29" i="4" s="1"/>
  <c r="E30" i="4"/>
  <c r="F30" i="4" s="1"/>
  <c r="E31" i="4"/>
  <c r="F31" i="4" s="1"/>
  <c r="E32" i="4"/>
  <c r="F32" i="4" s="1"/>
  <c r="E33" i="4"/>
  <c r="G33" i="4" s="1"/>
  <c r="E34" i="4"/>
  <c r="F34" i="4" s="1"/>
  <c r="E35" i="4"/>
  <c r="G35" i="4" s="1"/>
  <c r="E36" i="4"/>
  <c r="F36" i="4" s="1"/>
  <c r="E37" i="4"/>
  <c r="F37" i="4" s="1"/>
  <c r="E38" i="4"/>
  <c r="F38" i="4" s="1"/>
  <c r="E39" i="4"/>
  <c r="F39" i="4" s="1"/>
  <c r="E40" i="4"/>
  <c r="F40" i="4" s="1"/>
  <c r="E41" i="4"/>
  <c r="G41" i="4" s="1"/>
  <c r="E42" i="4"/>
  <c r="F42" i="4" s="1"/>
  <c r="E43" i="4"/>
  <c r="G43" i="4" s="1"/>
  <c r="E44" i="4"/>
  <c r="F44" i="4" s="1"/>
  <c r="E45" i="4"/>
  <c r="F45" i="4" s="1"/>
  <c r="E46" i="4"/>
  <c r="F46" i="4" s="1"/>
  <c r="E47" i="4"/>
  <c r="F47" i="4" s="1"/>
  <c r="E48" i="4"/>
  <c r="F48" i="4" s="1"/>
  <c r="E49" i="4"/>
  <c r="G49" i="4" s="1"/>
  <c r="E50" i="4"/>
  <c r="F50" i="4" s="1"/>
  <c r="E51" i="4"/>
  <c r="G51" i="4" s="1"/>
  <c r="E52" i="4"/>
  <c r="F52" i="4" s="1"/>
  <c r="E53" i="4"/>
  <c r="F53" i="4" s="1"/>
  <c r="E54" i="4"/>
  <c r="F54" i="4" s="1"/>
  <c r="E55" i="4"/>
  <c r="G55" i="4" s="1"/>
  <c r="E56" i="4"/>
  <c r="F56" i="4" s="1"/>
  <c r="E57" i="4"/>
  <c r="F57" i="4" s="1"/>
  <c r="E58" i="4"/>
  <c r="F58" i="4" s="1"/>
  <c r="E59" i="4"/>
  <c r="G59" i="4" s="1"/>
  <c r="E60" i="4"/>
  <c r="F60" i="4" s="1"/>
  <c r="E61" i="4"/>
  <c r="F61" i="4" s="1"/>
  <c r="E62" i="4"/>
  <c r="F62" i="4" s="1"/>
  <c r="E63" i="4"/>
  <c r="G63" i="4" s="1"/>
  <c r="E64" i="4"/>
  <c r="F64" i="4" s="1"/>
  <c r="E65" i="4"/>
  <c r="F65" i="4" s="1"/>
  <c r="E66" i="4"/>
  <c r="F66" i="4" s="1"/>
  <c r="E67" i="4"/>
  <c r="G67" i="4" s="1"/>
  <c r="E68" i="4"/>
  <c r="F68" i="4" s="1"/>
  <c r="E69" i="4"/>
  <c r="F69" i="4" s="1"/>
  <c r="E70" i="4"/>
  <c r="F70" i="4" s="1"/>
  <c r="E71" i="4"/>
  <c r="G71" i="4" s="1"/>
  <c r="E72" i="4"/>
  <c r="F72" i="4" s="1"/>
  <c r="E73" i="4"/>
  <c r="F73" i="4" s="1"/>
  <c r="E74" i="4"/>
  <c r="F74" i="4" s="1"/>
  <c r="E75" i="4"/>
  <c r="G75" i="4" s="1"/>
  <c r="E76" i="4"/>
  <c r="F76" i="4" s="1"/>
  <c r="E77" i="4"/>
  <c r="F77" i="4" s="1"/>
  <c r="E78" i="4"/>
  <c r="F78" i="4" s="1"/>
  <c r="E79" i="4"/>
  <c r="G79" i="4" s="1"/>
  <c r="E80" i="4"/>
  <c r="F80" i="4" s="1"/>
  <c r="E81" i="4"/>
  <c r="F81" i="4" s="1"/>
  <c r="E82" i="4"/>
  <c r="F82" i="4" s="1"/>
  <c r="E83" i="4"/>
  <c r="G83" i="4" s="1"/>
  <c r="E84" i="4"/>
  <c r="F84" i="4" s="1"/>
  <c r="E85" i="4"/>
  <c r="F85" i="4" s="1"/>
  <c r="E86" i="4"/>
  <c r="F86" i="4" s="1"/>
  <c r="E87" i="4"/>
  <c r="G87" i="4" s="1"/>
  <c r="E88" i="4"/>
  <c r="F88" i="4" s="1"/>
  <c r="E89" i="4"/>
  <c r="F89" i="4" s="1"/>
  <c r="E90" i="4"/>
  <c r="F90" i="4" s="1"/>
  <c r="E91" i="4"/>
  <c r="G91" i="4" s="1"/>
  <c r="E92" i="4"/>
  <c r="F92" i="4" s="1"/>
  <c r="E93" i="4"/>
  <c r="F93" i="4" s="1"/>
  <c r="E94" i="4"/>
  <c r="F94" i="4" s="1"/>
  <c r="E95" i="4"/>
  <c r="G95" i="4" s="1"/>
  <c r="E96" i="4"/>
  <c r="F96" i="4" s="1"/>
  <c r="E97" i="4"/>
  <c r="F97" i="4" s="1"/>
  <c r="E98" i="4"/>
  <c r="F98" i="4" s="1"/>
  <c r="E99" i="4"/>
  <c r="G99" i="4" s="1"/>
  <c r="E100" i="4"/>
  <c r="F100" i="4" s="1"/>
  <c r="E101" i="4"/>
  <c r="G101" i="4" s="1"/>
  <c r="E102" i="4"/>
  <c r="F102" i="4" s="1"/>
  <c r="E103" i="4"/>
  <c r="G103" i="4" s="1"/>
  <c r="E104" i="4"/>
  <c r="F104" i="4" s="1"/>
  <c r="E105" i="4"/>
  <c r="G105" i="4" s="1"/>
  <c r="E106" i="4"/>
  <c r="F106" i="4" s="1"/>
  <c r="E107" i="4"/>
  <c r="G107" i="4" s="1"/>
  <c r="E8" i="4"/>
  <c r="G8" i="4" s="1"/>
  <c r="A9" i="4"/>
  <c r="C9" i="4" s="1"/>
  <c r="A10" i="4"/>
  <c r="C10" i="4" s="1"/>
  <c r="A11" i="4"/>
  <c r="C11" i="4" s="1"/>
  <c r="A12" i="4"/>
  <c r="C12" i="4" s="1"/>
  <c r="A13" i="4"/>
  <c r="C13" i="4" s="1"/>
  <c r="A14" i="4"/>
  <c r="C14" i="4" s="1"/>
  <c r="A15" i="4"/>
  <c r="C15" i="4" s="1"/>
  <c r="A16" i="4"/>
  <c r="C16" i="4" s="1"/>
  <c r="A17" i="4"/>
  <c r="C17" i="4" s="1"/>
  <c r="A18" i="4"/>
  <c r="C18" i="4" s="1"/>
  <c r="A19" i="4"/>
  <c r="C19" i="4" s="1"/>
  <c r="A20" i="4"/>
  <c r="C20" i="4" s="1"/>
  <c r="A21" i="4"/>
  <c r="C21" i="4" s="1"/>
  <c r="A22" i="4"/>
  <c r="C22" i="4" s="1"/>
  <c r="A23" i="4"/>
  <c r="C23" i="4" s="1"/>
  <c r="A24" i="4"/>
  <c r="C24" i="4" s="1"/>
  <c r="A25" i="4"/>
  <c r="C25" i="4" s="1"/>
  <c r="A26" i="4"/>
  <c r="B26" i="4" s="1"/>
  <c r="A27" i="4"/>
  <c r="C27" i="4" s="1"/>
  <c r="A28" i="4"/>
  <c r="B28" i="4" s="1"/>
  <c r="A29" i="4"/>
  <c r="B29" i="4" s="1"/>
  <c r="A30" i="4"/>
  <c r="B30" i="4" s="1"/>
  <c r="A31" i="4"/>
  <c r="B31" i="4" s="1"/>
  <c r="A32" i="4"/>
  <c r="B32" i="4" s="1"/>
  <c r="A33" i="4"/>
  <c r="C33" i="4" s="1"/>
  <c r="A34" i="4"/>
  <c r="B34" i="4" s="1"/>
  <c r="A35" i="4"/>
  <c r="C35" i="4" s="1"/>
  <c r="A36" i="4"/>
  <c r="B36" i="4" s="1"/>
  <c r="A37" i="4"/>
  <c r="B37" i="4" s="1"/>
  <c r="A38" i="4"/>
  <c r="B38" i="4" s="1"/>
  <c r="A39" i="4"/>
  <c r="B39" i="4" s="1"/>
  <c r="A40" i="4"/>
  <c r="B40" i="4" s="1"/>
  <c r="A41" i="4"/>
  <c r="C41" i="4" s="1"/>
  <c r="A42" i="4"/>
  <c r="B42" i="4" s="1"/>
  <c r="A43" i="4"/>
  <c r="C43" i="4" s="1"/>
  <c r="A44" i="4"/>
  <c r="B44" i="4" s="1"/>
  <c r="A45" i="4"/>
  <c r="B45" i="4" s="1"/>
  <c r="A46" i="4"/>
  <c r="B46" i="4" s="1"/>
  <c r="A47" i="4"/>
  <c r="B47" i="4" s="1"/>
  <c r="A48" i="4"/>
  <c r="B48" i="4" s="1"/>
  <c r="A49" i="4"/>
  <c r="C49" i="4" s="1"/>
  <c r="A50" i="4"/>
  <c r="B50" i="4" s="1"/>
  <c r="A51" i="4"/>
  <c r="C51" i="4" s="1"/>
  <c r="A52" i="4"/>
  <c r="B52" i="4" s="1"/>
  <c r="A53" i="4"/>
  <c r="B53" i="4" s="1"/>
  <c r="A54" i="4"/>
  <c r="B54" i="4" s="1"/>
  <c r="A55" i="4"/>
  <c r="C55" i="4" s="1"/>
  <c r="A56" i="4"/>
  <c r="B56" i="4" s="1"/>
  <c r="A57" i="4"/>
  <c r="B57" i="4" s="1"/>
  <c r="A58" i="4"/>
  <c r="B58" i="4" s="1"/>
  <c r="A59" i="4"/>
  <c r="C59" i="4" s="1"/>
  <c r="A60" i="4"/>
  <c r="B60" i="4" s="1"/>
  <c r="A61" i="4"/>
  <c r="B61" i="4" s="1"/>
  <c r="A62" i="4"/>
  <c r="B62" i="4" s="1"/>
  <c r="A63" i="4"/>
  <c r="C63" i="4" s="1"/>
  <c r="A64" i="4"/>
  <c r="B64" i="4" s="1"/>
  <c r="A65" i="4"/>
  <c r="B65" i="4" s="1"/>
  <c r="A66" i="4"/>
  <c r="B66" i="4" s="1"/>
  <c r="A67" i="4"/>
  <c r="C67" i="4" s="1"/>
  <c r="A68" i="4"/>
  <c r="B68" i="4" s="1"/>
  <c r="A69" i="4"/>
  <c r="B69" i="4" s="1"/>
  <c r="A70" i="4"/>
  <c r="B70" i="4" s="1"/>
  <c r="A71" i="4"/>
  <c r="C71" i="4" s="1"/>
  <c r="A72" i="4"/>
  <c r="B72" i="4" s="1"/>
  <c r="A73" i="4"/>
  <c r="B73" i="4" s="1"/>
  <c r="A74" i="4"/>
  <c r="B74" i="4" s="1"/>
  <c r="A75" i="4"/>
  <c r="C75" i="4" s="1"/>
  <c r="A76" i="4"/>
  <c r="B76" i="4" s="1"/>
  <c r="A77" i="4"/>
  <c r="B77" i="4" s="1"/>
  <c r="A78" i="4"/>
  <c r="B78" i="4" s="1"/>
  <c r="A79" i="4"/>
  <c r="C79" i="4" s="1"/>
  <c r="A80" i="4"/>
  <c r="B80" i="4" s="1"/>
  <c r="A81" i="4"/>
  <c r="B81" i="4" s="1"/>
  <c r="A82" i="4"/>
  <c r="B82" i="4" s="1"/>
  <c r="A83" i="4"/>
  <c r="C83" i="4" s="1"/>
  <c r="A84" i="4"/>
  <c r="B84" i="4" s="1"/>
  <c r="A85" i="4"/>
  <c r="B85" i="4" s="1"/>
  <c r="A86" i="4"/>
  <c r="B86" i="4" s="1"/>
  <c r="A87" i="4"/>
  <c r="C87" i="4" s="1"/>
  <c r="A88" i="4"/>
  <c r="B88" i="4" s="1"/>
  <c r="A89" i="4"/>
  <c r="B89" i="4" s="1"/>
  <c r="A90" i="4"/>
  <c r="B90" i="4" s="1"/>
  <c r="A91" i="4"/>
  <c r="C91" i="4" s="1"/>
  <c r="A92" i="4"/>
  <c r="B92" i="4" s="1"/>
  <c r="A93" i="4"/>
  <c r="B93" i="4" s="1"/>
  <c r="A94" i="4"/>
  <c r="B94" i="4" s="1"/>
  <c r="A95" i="4"/>
  <c r="C95" i="4" s="1"/>
  <c r="A96" i="4"/>
  <c r="B96" i="4" s="1"/>
  <c r="A97" i="4"/>
  <c r="B97" i="4" s="1"/>
  <c r="A98" i="4"/>
  <c r="B98" i="4" s="1"/>
  <c r="A99" i="4"/>
  <c r="C99" i="4" s="1"/>
  <c r="A100" i="4"/>
  <c r="B100" i="4" s="1"/>
  <c r="A101" i="4"/>
  <c r="C101" i="4" s="1"/>
  <c r="A102" i="4"/>
  <c r="B102" i="4" s="1"/>
  <c r="A103" i="4"/>
  <c r="C103" i="4" s="1"/>
  <c r="A104" i="4"/>
  <c r="B104" i="4" s="1"/>
  <c r="A105" i="4"/>
  <c r="C105" i="4" s="1"/>
  <c r="A106" i="4"/>
  <c r="B106" i="4" s="1"/>
  <c r="A107" i="4"/>
  <c r="C107" i="4" s="1"/>
  <c r="A8" i="4"/>
  <c r="C8" i="4" s="1"/>
  <c r="F107" i="4" l="1"/>
  <c r="F105" i="4"/>
  <c r="F103" i="4"/>
  <c r="F101" i="4"/>
  <c r="F99" i="4"/>
  <c r="F95" i="4"/>
  <c r="F91" i="4"/>
  <c r="F87" i="4"/>
  <c r="F83" i="4"/>
  <c r="F79" i="4"/>
  <c r="F75" i="4"/>
  <c r="F71" i="4"/>
  <c r="F67" i="4"/>
  <c r="F63" i="4"/>
  <c r="F59" i="4"/>
  <c r="F55" i="4"/>
  <c r="F51" i="4"/>
  <c r="F49" i="4"/>
  <c r="F43" i="4"/>
  <c r="F41" i="4"/>
  <c r="F35" i="4"/>
  <c r="F33" i="4"/>
  <c r="F27" i="4"/>
  <c r="F25" i="4"/>
  <c r="F23" i="4"/>
  <c r="F21" i="4"/>
  <c r="F19" i="4"/>
  <c r="F17" i="4"/>
  <c r="F15" i="4"/>
  <c r="F13" i="4"/>
  <c r="F11" i="4"/>
  <c r="F9" i="4"/>
  <c r="F24" i="4"/>
  <c r="F22" i="4"/>
  <c r="F20" i="4"/>
  <c r="F18" i="4"/>
  <c r="F16" i="4"/>
  <c r="F14" i="4"/>
  <c r="F12" i="4"/>
  <c r="F10" i="4"/>
  <c r="B107" i="4"/>
  <c r="B105" i="4"/>
  <c r="B103" i="4"/>
  <c r="B101" i="4"/>
  <c r="B99" i="4"/>
  <c r="B95" i="4"/>
  <c r="B91" i="4"/>
  <c r="B87" i="4"/>
  <c r="B83" i="4"/>
  <c r="B79" i="4"/>
  <c r="B75" i="4"/>
  <c r="B71" i="4"/>
  <c r="B67" i="4"/>
  <c r="B63" i="4"/>
  <c r="B59" i="4"/>
  <c r="B55" i="4"/>
  <c r="B51" i="4"/>
  <c r="B49" i="4"/>
  <c r="B43" i="4"/>
  <c r="B41" i="4"/>
  <c r="B35" i="4"/>
  <c r="B33" i="4"/>
  <c r="B27" i="4"/>
  <c r="B25" i="4"/>
  <c r="B23" i="4"/>
  <c r="B21" i="4"/>
  <c r="B19" i="4"/>
  <c r="B17" i="4"/>
  <c r="B15" i="4"/>
  <c r="B13" i="4"/>
  <c r="B11" i="4"/>
  <c r="B9" i="4"/>
  <c r="B24" i="4"/>
  <c r="B22" i="4"/>
  <c r="B20" i="4"/>
  <c r="B18" i="4"/>
  <c r="B16" i="4"/>
  <c r="B14" i="4"/>
  <c r="B12" i="4"/>
  <c r="B10" i="4"/>
  <c r="F8" i="4"/>
  <c r="B8" i="4"/>
  <c r="G97" i="4"/>
  <c r="G93" i="4"/>
  <c r="G89" i="4"/>
  <c r="G85" i="4"/>
  <c r="G81" i="4"/>
  <c r="G77" i="4"/>
  <c r="G73" i="4"/>
  <c r="G69" i="4"/>
  <c r="G65" i="4"/>
  <c r="G61" i="4"/>
  <c r="G57" i="4"/>
  <c r="G53" i="4"/>
  <c r="G47" i="4"/>
  <c r="G45" i="4"/>
  <c r="G39" i="4"/>
  <c r="G37" i="4"/>
  <c r="G31" i="4"/>
  <c r="G29" i="4"/>
  <c r="G106" i="4"/>
  <c r="G104" i="4"/>
  <c r="G102" i="4"/>
  <c r="G100" i="4"/>
  <c r="G98" i="4"/>
  <c r="G96" i="4"/>
  <c r="G94" i="4"/>
  <c r="G92" i="4"/>
  <c r="G90" i="4"/>
  <c r="G88" i="4"/>
  <c r="G86" i="4"/>
  <c r="G84" i="4"/>
  <c r="G82" i="4"/>
  <c r="G80" i="4"/>
  <c r="G78" i="4"/>
  <c r="G76" i="4"/>
  <c r="G74" i="4"/>
  <c r="G72" i="4"/>
  <c r="G70" i="4"/>
  <c r="G68" i="4"/>
  <c r="G66" i="4"/>
  <c r="G64" i="4"/>
  <c r="G62" i="4"/>
  <c r="G60" i="4"/>
  <c r="G58" i="4"/>
  <c r="G56" i="4"/>
  <c r="G54" i="4"/>
  <c r="G52" i="4"/>
  <c r="G50" i="4"/>
  <c r="G48" i="4"/>
  <c r="G46" i="4"/>
  <c r="G44" i="4"/>
  <c r="G42" i="4"/>
  <c r="G40" i="4"/>
  <c r="G38" i="4"/>
  <c r="G36" i="4"/>
  <c r="G34" i="4"/>
  <c r="G32" i="4"/>
  <c r="G30" i="4"/>
  <c r="G28" i="4"/>
  <c r="G26" i="4"/>
  <c r="C97" i="4"/>
  <c r="C93" i="4"/>
  <c r="C89" i="4"/>
  <c r="C85" i="4"/>
  <c r="C81" i="4"/>
  <c r="C77" i="4"/>
  <c r="C73" i="4"/>
  <c r="C69" i="4"/>
  <c r="C65" i="4"/>
  <c r="C61" i="4"/>
  <c r="C57" i="4"/>
  <c r="C53" i="4"/>
  <c r="C47" i="4"/>
  <c r="C45" i="4"/>
  <c r="C39" i="4"/>
  <c r="C37" i="4"/>
  <c r="C31" i="4"/>
  <c r="C29" i="4"/>
  <c r="C106" i="4"/>
  <c r="C104" i="4"/>
  <c r="C102" i="4"/>
  <c r="C100" i="4"/>
  <c r="C98" i="4"/>
  <c r="C96" i="4"/>
  <c r="C94" i="4"/>
  <c r="C92" i="4"/>
  <c r="C90" i="4"/>
  <c r="C88" i="4"/>
  <c r="C86" i="4"/>
  <c r="C84" i="4"/>
  <c r="C82" i="4"/>
  <c r="C80" i="4"/>
  <c r="C78" i="4"/>
  <c r="C76" i="4"/>
  <c r="C74" i="4"/>
  <c r="C72" i="4"/>
  <c r="C70" i="4"/>
  <c r="C68" i="4"/>
  <c r="C66" i="4"/>
  <c r="C64" i="4"/>
  <c r="C62" i="4"/>
  <c r="C60" i="4"/>
  <c r="C58" i="4"/>
  <c r="C56" i="4"/>
  <c r="C54" i="4"/>
  <c r="C52" i="4"/>
  <c r="C50" i="4"/>
  <c r="C48" i="4"/>
  <c r="C46" i="4"/>
  <c r="C44" i="4"/>
  <c r="C42" i="4"/>
  <c r="C40" i="4"/>
  <c r="C38" i="4"/>
  <c r="C36" i="4"/>
  <c r="C34" i="4"/>
  <c r="C32" i="4"/>
  <c r="C30" i="4"/>
  <c r="C28" i="4"/>
  <c r="C26" i="4"/>
  <c r="G109" i="4" l="1"/>
  <c r="F109" i="4"/>
  <c r="C109" i="4"/>
  <c r="B109" i="4"/>
</calcChain>
</file>

<file path=xl/sharedStrings.xml><?xml version="1.0" encoding="utf-8"?>
<sst xmlns="http://schemas.openxmlformats.org/spreadsheetml/2006/main" count="89" uniqueCount="45">
  <si>
    <t>Raw Data</t>
  </si>
  <si>
    <t>Control Group</t>
  </si>
  <si>
    <t>Patient</t>
  </si>
  <si>
    <t>Effect</t>
  </si>
  <si>
    <t>Cost</t>
  </si>
  <si>
    <t>Treatment Group</t>
  </si>
  <si>
    <t>Bootstrap Results</t>
  </si>
  <si>
    <t>Bootstrapped means for the:</t>
  </si>
  <si>
    <t>Control group</t>
  </si>
  <si>
    <t xml:space="preserve">Bootstrap </t>
  </si>
  <si>
    <t>replication</t>
  </si>
  <si>
    <t>The bootstrap resamples:</t>
  </si>
  <si>
    <t>means:</t>
  </si>
  <si>
    <t>Summary Statistics</t>
  </si>
  <si>
    <t>Difference</t>
  </si>
  <si>
    <t>mean</t>
  </si>
  <si>
    <t>standard deviation</t>
  </si>
  <si>
    <t>standard error</t>
  </si>
  <si>
    <t>lower 95% limit</t>
  </si>
  <si>
    <t>upper 95% limit</t>
  </si>
  <si>
    <t>ICER</t>
  </si>
  <si>
    <t>point estimate</t>
  </si>
  <si>
    <t>Differences</t>
  </si>
  <si>
    <t>Summary information for the ICER</t>
  </si>
  <si>
    <t>Standard deviation</t>
  </si>
  <si>
    <t>Median</t>
  </si>
  <si>
    <t xml:space="preserve">2.5th percentile </t>
  </si>
  <si>
    <t>97.5th percentile</t>
  </si>
  <si>
    <t>Bin Range</t>
  </si>
  <si>
    <t>min</t>
  </si>
  <si>
    <t>max</t>
  </si>
  <si>
    <t>CE?</t>
  </si>
  <si>
    <t>Rc</t>
  </si>
  <si>
    <t>pCE</t>
  </si>
  <si>
    <t>NB</t>
  </si>
  <si>
    <t>seNB</t>
  </si>
  <si>
    <t>Bootstrapping net-benefits</t>
  </si>
  <si>
    <t>Summary information</t>
  </si>
  <si>
    <t>Parametric CEA curve</t>
  </si>
  <si>
    <t xml:space="preserve">Bin Range </t>
  </si>
  <si>
    <t>z</t>
  </si>
  <si>
    <t>Parametric uncertainty analysis</t>
  </si>
  <si>
    <t>correlation (control)</t>
  </si>
  <si>
    <t>correlation (treatment)</t>
  </si>
  <si>
    <t>correlation (difference)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</si>
</sst>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&quot;£&quot;#,##0"/>
    <numFmt numFmtId="165" formatCode="0.000"/>
    <numFmt numFmtId="166" formatCode="_-* #,##0.0_-;\-* #,##0.0_-;_-* &quot;-&quot;??_-;_-@_-"/>
    <numFmt numFmtId="167" formatCode="[$£-809]#,##0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64" fontId="0" fillId="0" borderId="0" xfId="0" applyNumberFormat="1"/>
    <xf numFmtId="2" fontId="0" fillId="0" borderId="0" xfId="0" applyNumberFormat="1"/>
    <xf numFmtId="164" fontId="3" fillId="0" borderId="0" xfId="0" applyNumberFormat="1" applyFont="1"/>
    <xf numFmtId="164" fontId="4" fillId="0" borderId="0" xfId="0" applyNumberFormat="1" applyFont="1"/>
    <xf numFmtId="164" fontId="2" fillId="0" borderId="0" xfId="0" applyNumberFormat="1" applyFont="1"/>
    <xf numFmtId="164" fontId="5" fillId="0" borderId="0" xfId="0" applyNumberFormat="1" applyFont="1"/>
    <xf numFmtId="43" fontId="4" fillId="0" borderId="0" xfId="1" applyFont="1"/>
    <xf numFmtId="43" fontId="3" fillId="0" borderId="0" xfId="1" applyFont="1"/>
    <xf numFmtId="43" fontId="2" fillId="0" borderId="0" xfId="1" applyFont="1"/>
    <xf numFmtId="43" fontId="5" fillId="0" borderId="0" xfId="1" applyFont="1"/>
    <xf numFmtId="0" fontId="2" fillId="0" borderId="0" xfId="0" applyFont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5" fillId="2" borderId="1" xfId="0" applyFont="1" applyFill="1" applyBorder="1"/>
    <xf numFmtId="43" fontId="5" fillId="2" borderId="1" xfId="1" applyFont="1" applyFill="1" applyBorder="1"/>
    <xf numFmtId="0" fontId="4" fillId="0" borderId="0" xfId="0" applyNumberFormat="1" applyFont="1" applyFill="1" applyBorder="1" applyAlignment="1"/>
    <xf numFmtId="2" fontId="0" fillId="2" borderId="1" xfId="0" applyNumberFormat="1" applyFill="1" applyBorder="1"/>
    <xf numFmtId="167" fontId="0" fillId="2" borderId="1" xfId="0" applyNumberFormat="1" applyFill="1" applyBorder="1"/>
    <xf numFmtId="167" fontId="5" fillId="2" borderId="1" xfId="1" applyNumberFormat="1" applyFont="1" applyFill="1" applyBorder="1"/>
    <xf numFmtId="166" fontId="5" fillId="2" borderId="1" xfId="1" applyNumberFormat="1" applyFont="1" applyFill="1" applyBorder="1"/>
    <xf numFmtId="0" fontId="5" fillId="0" borderId="0" xfId="0" applyFont="1" applyAlignment="1">
      <alignment horizontal="right"/>
    </xf>
    <xf numFmtId="0" fontId="0" fillId="0" borderId="2" xfId="0" applyFill="1" applyBorder="1" applyAlignment="1"/>
    <xf numFmtId="0" fontId="6" fillId="0" borderId="3" xfId="0" applyFont="1" applyFill="1" applyBorder="1" applyAlignment="1">
      <alignment horizontal="center"/>
    </xf>
    <xf numFmtId="165" fontId="5" fillId="2" borderId="1" xfId="0" applyNumberFormat="1" applyFont="1" applyFill="1" applyBorder="1"/>
    <xf numFmtId="0" fontId="2" fillId="3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2" fillId="4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2" fontId="0" fillId="0" borderId="0" xfId="0" applyNumberForma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mruColors>
      <color rgb="FFED21F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82241953385129"/>
          <c:y val="4.2414355628058717E-2"/>
          <c:w val="0.79467258601553825"/>
          <c:h val="0.7977161500815656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44079488"/>
        <c:axId val="168177664"/>
      </c:scatterChart>
      <c:valAx>
        <c:axId val="14407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Incremental Effect</a:t>
                </a:r>
              </a:p>
            </c:rich>
          </c:tx>
          <c:layout>
            <c:manualLayout>
              <c:xMode val="edge"/>
              <c:yMode val="edge"/>
              <c:x val="0.43840177580466216"/>
              <c:y val="0.9119086460032626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177664"/>
        <c:crosses val="autoZero"/>
        <c:crossBetween val="midCat"/>
      </c:valAx>
      <c:valAx>
        <c:axId val="1681776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Incremental Cost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28058727569331182"/>
            </c:manualLayout>
          </c:layout>
          <c:overlay val="0"/>
          <c:spPr>
            <a:noFill/>
            <a:ln w="25400">
              <a:noFill/>
            </a:ln>
          </c:spPr>
        </c:title>
        <c:numFmt formatCode="[$£-809]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0794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89038262668051"/>
          <c:y val="4.2372881355932285E-2"/>
          <c:w val="0.8717683557394007"/>
          <c:h val="0.7288135593220335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34005120"/>
        <c:axId val="134007040"/>
      </c:barChart>
      <c:catAx>
        <c:axId val="134005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 of ICER</a:t>
                </a:r>
              </a:p>
            </c:rich>
          </c:tx>
          <c:layout>
            <c:manualLayout>
              <c:xMode val="edge"/>
              <c:yMode val="edge"/>
              <c:x val="0.47156153050672173"/>
              <c:y val="0.91525423728813604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£&quot;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0070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340070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Frequency</a:t>
                </a:r>
              </a:p>
            </c:rich>
          </c:tx>
          <c:layout>
            <c:manualLayout>
              <c:xMode val="edge"/>
              <c:yMode val="edge"/>
              <c:x val="1.1375387797311282E-2"/>
              <c:y val="0.303389830508474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0051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207859358841797E-2"/>
          <c:y val="4.2372881355932285E-2"/>
          <c:w val="0.85625646328852179"/>
          <c:h val="0.8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34068096"/>
        <c:axId val="134074368"/>
      </c:scatterChart>
      <c:valAx>
        <c:axId val="134068096"/>
        <c:scaling>
          <c:orientation val="minMax"/>
          <c:max val="50000"/>
        </c:scaling>
        <c:delete val="0"/>
        <c:axPos val="b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 of ceiling ratio</a:t>
                </a:r>
              </a:p>
            </c:rich>
          </c:tx>
          <c:layout>
            <c:manualLayout>
              <c:xMode val="edge"/>
              <c:yMode val="edge"/>
              <c:x val="0.40227507755946251"/>
              <c:y val="0.91525423728813604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£&quot;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074368"/>
        <c:crosses val="autoZero"/>
        <c:crossBetween val="midCat"/>
      </c:valAx>
      <c:valAx>
        <c:axId val="1340743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1.1375387797311282E-2"/>
              <c:y val="0.2067796610169491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068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911059721464488"/>
          <c:y val="0.60280510698874545"/>
          <c:w val="0.22435717251992929"/>
          <c:h val="0.16953102896036304"/>
        </c:manualLayout>
      </c:layout>
      <c:overlay val="1"/>
      <c:spPr>
        <a:ln>
          <a:solidFill>
            <a:srgbClr val="000080"/>
          </a:solidFill>
        </a:ln>
      </c:spPr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37849017580145"/>
          <c:y val="4.2372881355932285E-2"/>
          <c:w val="0.88728024819027917"/>
          <c:h val="0.7457627118644067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34082560"/>
        <c:axId val="134084480"/>
      </c:barChart>
      <c:catAx>
        <c:axId val="134082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725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800" b="1" i="0" baseline="0">
                    <a:effectLst/>
                  </a:rPr>
                  <a:t>Net benefit (£)</a:t>
                </a:r>
                <a:endParaRPr lang="en-GB">
                  <a:effectLst/>
                </a:endParaRPr>
              </a:p>
            </c:rich>
          </c:tx>
          <c:layout>
            <c:manualLayout>
              <c:xMode val="edge"/>
              <c:yMode val="edge"/>
              <c:x val="0.46432264736297879"/>
              <c:y val="0.915254237288136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0844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340844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Frequency</a:t>
                </a:r>
              </a:p>
            </c:rich>
          </c:tx>
          <c:layout>
            <c:manualLayout>
              <c:xMode val="edge"/>
              <c:yMode val="edge"/>
              <c:x val="1.1375387797311282E-2"/>
              <c:y val="0.31186440677966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0825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68" workbookViewId="0"/>
  </sheetViews>
  <pageMargins left="0.75" right="0.75" top="1" bottom="1" header="0.5" footer="0.5"/>
  <pageSetup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68" workbookViewId="0"/>
  </sheetViews>
  <pageMargins left="0.75" right="0.75" top="1" bottom="1" header="0.5" footer="0.5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4"/>
  <sheetViews>
    <sheetView workbookViewId="0"/>
  </sheetViews>
  <pageMargins left="0.75" right="0.75" top="1" bottom="1" header="0.5" footer="0.5"/>
  <headerFooter alignWithMargins="0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21"/>
  <sheetViews>
    <sheetView zoomScale="68" workbookViewId="0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228599</xdr:colOff>
      <xdr:row>0</xdr:row>
      <xdr:rowOff>209550</xdr:rowOff>
    </xdr:from>
    <xdr:to>
      <xdr:col>15</xdr:col>
      <xdr:colOff>219075</xdr:colOff>
      <xdr:row>12</xdr:row>
      <xdr:rowOff>9525</xdr:rowOff>
    </xdr:to>
    <xdr:sp macro="" textlink="">
      <xdr:nvSpPr>
        <xdr:cNvPr id="3074" name="Text Box 2"/>
        <xdr:cNvSpPr txBox="1">
          <a:spLocks noChangeArrowheads="1"/>
        </xdr:cNvSpPr>
      </xdr:nvSpPr>
      <xdr:spPr bwMode="auto">
        <a:xfrm>
          <a:off x="5105399" y="209550"/>
          <a:ext cx="4257676" cy="1885950"/>
        </a:xfrm>
        <a:prstGeom prst="rect">
          <a:avLst/>
        </a:prstGeom>
        <a:solidFill>
          <a:srgbClr val="C0C0C0"/>
        </a:solidFill>
        <a:ln w="57150" cmpd="thickThin">
          <a:solidFill>
            <a:srgbClr val="00008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en-GB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sheet uses information from the Costs and Outcomes exercises, and gives the discounted total costs and discounted QALYs in clinical trial comparing a Treatment Group with a Control Group.  The trial recruited 100 patients in each arm, and the cost/effect pairs for each of the patients in each of the arms is listed.</a:t>
          </a:r>
        </a:p>
        <a:p>
          <a:pPr algn="l" rtl="0">
            <a:defRPr sz="1000"/>
          </a:pPr>
          <a:endParaRPr lang="en-GB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Bootstrap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</xdr:row>
          <xdr:rowOff>0</xdr:rowOff>
        </xdr:from>
        <xdr:to>
          <xdr:col>30</xdr:col>
          <xdr:colOff>133350</xdr:colOff>
          <xdr:row>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CEA Curve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86507" cy="584106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6518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6518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4"/>
  <sheetViews>
    <sheetView tabSelected="1" workbookViewId="0">
      <selection activeCell="C1" sqref="C1"/>
    </sheetView>
  </sheetViews>
  <sheetFormatPr defaultRowHeight="12.75" x14ac:dyDescent="0.2"/>
  <sheetData>
    <row r="1" spans="1:12" s="3" customFormat="1" ht="21" customHeight="1" x14ac:dyDescent="0.25">
      <c r="A1" s="3" t="s">
        <v>0</v>
      </c>
    </row>
    <row r="3" spans="1:12" ht="15.75" x14ac:dyDescent="0.25">
      <c r="B3" s="30" t="s">
        <v>1</v>
      </c>
      <c r="C3" s="29"/>
      <c r="D3" s="29"/>
      <c r="F3" s="32" t="s">
        <v>5</v>
      </c>
      <c r="G3" s="31"/>
      <c r="H3" s="31"/>
    </row>
    <row r="4" spans="1:12" x14ac:dyDescent="0.2">
      <c r="B4" s="1" t="s">
        <v>2</v>
      </c>
      <c r="C4" s="1" t="s">
        <v>3</v>
      </c>
      <c r="D4" s="1" t="s">
        <v>4</v>
      </c>
      <c r="F4" s="1" t="s">
        <v>2</v>
      </c>
      <c r="G4" s="1" t="s">
        <v>3</v>
      </c>
      <c r="H4" s="1" t="s">
        <v>4</v>
      </c>
    </row>
    <row r="5" spans="1:12" x14ac:dyDescent="0.2">
      <c r="B5">
        <v>1</v>
      </c>
      <c r="C5" s="33">
        <v>5.5230222229378008</v>
      </c>
      <c r="D5" s="5">
        <v>3641.7574384520349</v>
      </c>
      <c r="F5">
        <v>101</v>
      </c>
      <c r="G5" s="33">
        <v>8.4486795295195058</v>
      </c>
      <c r="H5" s="5">
        <v>7674.2425512401314</v>
      </c>
      <c r="I5" s="6"/>
      <c r="K5" s="16"/>
      <c r="L5" s="17"/>
    </row>
    <row r="6" spans="1:12" x14ac:dyDescent="0.2">
      <c r="B6">
        <v>2</v>
      </c>
      <c r="C6" s="33">
        <v>5.1919646630865142</v>
      </c>
      <c r="D6" s="5">
        <v>12121.525911710989</v>
      </c>
      <c r="F6">
        <v>102</v>
      </c>
      <c r="G6" s="33">
        <v>5.6135498806623119</v>
      </c>
      <c r="H6" s="5">
        <v>7706.612045518862</v>
      </c>
      <c r="I6" s="6"/>
      <c r="K6" s="16"/>
      <c r="L6" s="17"/>
    </row>
    <row r="7" spans="1:12" x14ac:dyDescent="0.2">
      <c r="B7">
        <v>3</v>
      </c>
      <c r="C7" s="33">
        <v>11.051414633832911</v>
      </c>
      <c r="D7" s="5">
        <v>5786.2548009459551</v>
      </c>
      <c r="F7">
        <v>103</v>
      </c>
      <c r="G7" s="33">
        <v>3.1263016140702451</v>
      </c>
      <c r="H7" s="5">
        <v>6530.9439895774494</v>
      </c>
      <c r="I7" s="6"/>
      <c r="K7" s="16"/>
      <c r="L7" s="17"/>
    </row>
    <row r="8" spans="1:12" x14ac:dyDescent="0.2">
      <c r="B8">
        <v>4</v>
      </c>
      <c r="C8" s="33">
        <v>9.5786366212729313</v>
      </c>
      <c r="D8" s="5">
        <v>7900.4873298371031</v>
      </c>
      <c r="F8">
        <v>104</v>
      </c>
      <c r="G8" s="33">
        <v>9.1368287826519747</v>
      </c>
      <c r="H8" s="5">
        <v>18328.785524133895</v>
      </c>
      <c r="I8" s="6"/>
      <c r="K8" s="16"/>
      <c r="L8" s="17"/>
    </row>
    <row r="9" spans="1:12" x14ac:dyDescent="0.2">
      <c r="B9">
        <v>5</v>
      </c>
      <c r="C9" s="33">
        <v>7.5310069563682553</v>
      </c>
      <c r="D9" s="5">
        <v>13883.478772580404</v>
      </c>
      <c r="F9">
        <v>105</v>
      </c>
      <c r="G9" s="33">
        <v>4.9495945917755577</v>
      </c>
      <c r="H9" s="5">
        <v>5949.4747580031508</v>
      </c>
      <c r="I9" s="6"/>
      <c r="K9" s="16"/>
      <c r="L9" s="17"/>
    </row>
    <row r="10" spans="1:12" x14ac:dyDescent="0.2">
      <c r="B10">
        <v>6</v>
      </c>
      <c r="C10" s="33">
        <v>6.9245256956464782</v>
      </c>
      <c r="D10" s="5">
        <v>13344.619043650619</v>
      </c>
      <c r="F10">
        <v>106</v>
      </c>
      <c r="G10" s="33">
        <v>4.5853215109917471</v>
      </c>
      <c r="H10" s="5">
        <v>6029.6450313752912</v>
      </c>
      <c r="I10" s="6"/>
      <c r="K10" s="16"/>
      <c r="L10" s="17"/>
    </row>
    <row r="11" spans="1:12" x14ac:dyDescent="0.2">
      <c r="B11">
        <v>7</v>
      </c>
      <c r="C11" s="33">
        <v>6.9295998689004641</v>
      </c>
      <c r="D11" s="5">
        <v>5326.9273592200743</v>
      </c>
      <c r="F11">
        <v>107</v>
      </c>
      <c r="G11" s="33">
        <v>1.0783183246014647</v>
      </c>
      <c r="H11" s="5">
        <v>6136.0462522919515</v>
      </c>
      <c r="I11" s="6"/>
      <c r="K11" s="16"/>
      <c r="L11" s="17"/>
    </row>
    <row r="12" spans="1:12" x14ac:dyDescent="0.2">
      <c r="B12">
        <v>8</v>
      </c>
      <c r="C12" s="33">
        <v>3.1157328900940082</v>
      </c>
      <c r="D12" s="5">
        <v>4004.521686170754</v>
      </c>
      <c r="F12">
        <v>108</v>
      </c>
      <c r="G12" s="33">
        <v>6.3549480621204992</v>
      </c>
      <c r="H12" s="5">
        <v>6291.6709165529246</v>
      </c>
      <c r="I12" s="6"/>
      <c r="K12" s="16"/>
      <c r="L12" s="17"/>
    </row>
    <row r="13" spans="1:12" x14ac:dyDescent="0.2">
      <c r="B13">
        <v>9</v>
      </c>
      <c r="C13" s="33">
        <v>11.711420822686083</v>
      </c>
      <c r="D13" s="5">
        <v>6014.4187771436564</v>
      </c>
      <c r="F13">
        <v>109</v>
      </c>
      <c r="G13" s="33">
        <v>9.6472873740787062</v>
      </c>
      <c r="H13" s="5">
        <v>13825.65313678408</v>
      </c>
      <c r="I13" s="6"/>
      <c r="K13" s="16"/>
      <c r="L13" s="17"/>
    </row>
    <row r="14" spans="1:12" x14ac:dyDescent="0.2">
      <c r="B14">
        <v>10</v>
      </c>
      <c r="C14" s="33">
        <v>6.1180992616600012</v>
      </c>
      <c r="D14" s="5">
        <v>9322.0321734028512</v>
      </c>
      <c r="F14">
        <v>110</v>
      </c>
      <c r="G14" s="33">
        <v>7.6391003260933426</v>
      </c>
      <c r="H14" s="5">
        <v>7567.6423426894135</v>
      </c>
      <c r="I14" s="6"/>
      <c r="K14" s="16"/>
      <c r="L14" s="17"/>
    </row>
    <row r="15" spans="1:12" x14ac:dyDescent="0.2">
      <c r="B15">
        <v>11</v>
      </c>
      <c r="C15" s="33">
        <v>4.8890164803129901</v>
      </c>
      <c r="D15" s="5">
        <v>3230.1907857596816</v>
      </c>
      <c r="F15">
        <v>111</v>
      </c>
      <c r="G15" s="33">
        <v>5.7500603637393732</v>
      </c>
      <c r="H15" s="5">
        <v>7055.212383303272</v>
      </c>
      <c r="I15" s="6"/>
      <c r="K15" s="16"/>
      <c r="L15" s="17"/>
    </row>
    <row r="16" spans="1:12" x14ac:dyDescent="0.2">
      <c r="B16">
        <v>12</v>
      </c>
      <c r="C16" s="33">
        <v>3.7696169751314508</v>
      </c>
      <c r="D16" s="5">
        <v>2868.1762034873132</v>
      </c>
      <c r="F16">
        <v>112</v>
      </c>
      <c r="G16" s="33">
        <v>3.8196163491952349</v>
      </c>
      <c r="H16" s="5">
        <v>6913.0308390458849</v>
      </c>
      <c r="I16" s="6"/>
      <c r="K16" s="16"/>
      <c r="L16" s="17"/>
    </row>
    <row r="17" spans="2:12" x14ac:dyDescent="0.2">
      <c r="B17">
        <v>13</v>
      </c>
      <c r="C17" s="33">
        <v>8.5325856270218168</v>
      </c>
      <c r="D17" s="5">
        <v>5451.7889418183131</v>
      </c>
      <c r="F17">
        <v>113</v>
      </c>
      <c r="G17" s="33">
        <v>13.197781054869752</v>
      </c>
      <c r="H17" s="5">
        <v>12882.237819428197</v>
      </c>
      <c r="I17" s="6"/>
      <c r="K17" s="16"/>
      <c r="L17" s="17"/>
    </row>
    <row r="18" spans="2:12" x14ac:dyDescent="0.2">
      <c r="B18">
        <v>14</v>
      </c>
      <c r="C18" s="33">
        <v>6.3183526617630488</v>
      </c>
      <c r="D18" s="5">
        <v>7685.2876759782257</v>
      </c>
      <c r="F18">
        <v>114</v>
      </c>
      <c r="G18" s="33">
        <v>2.6726811534058359</v>
      </c>
      <c r="H18" s="5">
        <v>13839.593254837855</v>
      </c>
      <c r="I18" s="6"/>
      <c r="K18" s="16"/>
      <c r="L18" s="17"/>
    </row>
    <row r="19" spans="2:12" x14ac:dyDescent="0.2">
      <c r="B19">
        <v>15</v>
      </c>
      <c r="C19" s="33">
        <v>3.9034690704966</v>
      </c>
      <c r="D19" s="5">
        <v>3228.510418855466</v>
      </c>
      <c r="F19">
        <v>115</v>
      </c>
      <c r="G19" s="33">
        <v>8.2341033909470696</v>
      </c>
      <c r="H19" s="5">
        <v>15783.230279664196</v>
      </c>
      <c r="I19" s="6"/>
      <c r="K19" s="16"/>
      <c r="L19" s="17"/>
    </row>
    <row r="20" spans="2:12" x14ac:dyDescent="0.2">
      <c r="B20">
        <v>16</v>
      </c>
      <c r="C20" s="33">
        <v>4.1997952983587261</v>
      </c>
      <c r="D20" s="5">
        <v>4520.6827977691773</v>
      </c>
      <c r="F20">
        <v>116</v>
      </c>
      <c r="G20" s="33">
        <v>3.5647898776376379</v>
      </c>
      <c r="H20" s="5">
        <v>5259.1371601328665</v>
      </c>
      <c r="I20" s="6"/>
      <c r="K20" s="16"/>
      <c r="L20" s="17"/>
    </row>
    <row r="21" spans="2:12" x14ac:dyDescent="0.2">
      <c r="B21">
        <v>17</v>
      </c>
      <c r="C21" s="33">
        <v>2.3804591266808512</v>
      </c>
      <c r="D21" s="5">
        <v>1547.3076696579021</v>
      </c>
      <c r="F21">
        <v>117</v>
      </c>
      <c r="G21" s="33">
        <v>9.9693945714417964</v>
      </c>
      <c r="H21" s="5">
        <v>9842.2889756341883</v>
      </c>
      <c r="I21" s="6"/>
      <c r="K21" s="16"/>
      <c r="L21" s="17"/>
    </row>
    <row r="22" spans="2:12" x14ac:dyDescent="0.2">
      <c r="B22">
        <v>18</v>
      </c>
      <c r="C22" s="33">
        <v>5.1040899232915473</v>
      </c>
      <c r="D22" s="5">
        <v>2879.7711988053347</v>
      </c>
      <c r="F22">
        <v>118</v>
      </c>
      <c r="G22" s="33">
        <v>9.0286165711156023</v>
      </c>
      <c r="H22" s="5">
        <v>15933.189685440435</v>
      </c>
      <c r="I22" s="6"/>
      <c r="K22" s="16"/>
      <c r="L22" s="17"/>
    </row>
    <row r="23" spans="2:12" x14ac:dyDescent="0.2">
      <c r="B23">
        <v>19</v>
      </c>
      <c r="C23" s="33">
        <v>4.5487748338420486</v>
      </c>
      <c r="D23" s="5">
        <v>3546.4025970283678</v>
      </c>
      <c r="F23">
        <v>119</v>
      </c>
      <c r="G23" s="33">
        <v>13.630870919775116</v>
      </c>
      <c r="H23" s="5">
        <v>17970.13463327743</v>
      </c>
      <c r="I23" s="6"/>
      <c r="K23" s="16"/>
      <c r="L23" s="17"/>
    </row>
    <row r="24" spans="2:12" x14ac:dyDescent="0.2">
      <c r="B24">
        <v>20</v>
      </c>
      <c r="C24" s="33">
        <v>9.5915602530958797</v>
      </c>
      <c r="D24" s="5">
        <v>5646.9808024567637</v>
      </c>
      <c r="F24">
        <v>120</v>
      </c>
      <c r="G24" s="33">
        <v>10.776690243020884</v>
      </c>
      <c r="H24" s="5">
        <v>20972.192961268287</v>
      </c>
      <c r="I24" s="6"/>
      <c r="K24" s="16"/>
      <c r="L24" s="17"/>
    </row>
    <row r="25" spans="2:12" x14ac:dyDescent="0.2">
      <c r="B25">
        <v>21</v>
      </c>
      <c r="C25" s="33">
        <v>0.28730140064589299</v>
      </c>
      <c r="D25" s="5">
        <v>5738.2983934390068</v>
      </c>
      <c r="F25">
        <v>121</v>
      </c>
      <c r="G25" s="33">
        <v>4.9242675132508475</v>
      </c>
      <c r="H25" s="5">
        <v>5379.4470391750665</v>
      </c>
      <c r="I25" s="6"/>
      <c r="K25" s="16"/>
      <c r="L25" s="17"/>
    </row>
    <row r="26" spans="2:12" x14ac:dyDescent="0.2">
      <c r="B26">
        <v>22</v>
      </c>
      <c r="C26" s="33">
        <v>2.9395774234965528</v>
      </c>
      <c r="D26" s="5">
        <v>1482.4737602283785</v>
      </c>
      <c r="F26">
        <v>122</v>
      </c>
      <c r="G26" s="33">
        <v>1.5514953192979193</v>
      </c>
      <c r="H26" s="5">
        <v>9871.2068825291681</v>
      </c>
      <c r="I26" s="6"/>
    </row>
    <row r="27" spans="2:12" x14ac:dyDescent="0.2">
      <c r="B27">
        <v>23</v>
      </c>
      <c r="C27" s="33">
        <v>4.3028129417414434</v>
      </c>
      <c r="D27" s="5">
        <v>3009.2105111134483</v>
      </c>
      <c r="F27">
        <v>123</v>
      </c>
      <c r="G27" s="33">
        <v>4.8447275495681374</v>
      </c>
      <c r="H27" s="5">
        <v>12813.828462325819</v>
      </c>
      <c r="I27" s="6"/>
    </row>
    <row r="28" spans="2:12" x14ac:dyDescent="0.2">
      <c r="B28">
        <v>24</v>
      </c>
      <c r="C28" s="33">
        <v>11.653288106542895</v>
      </c>
      <c r="D28" s="5">
        <v>7932.2800402011826</v>
      </c>
      <c r="F28">
        <v>124</v>
      </c>
      <c r="G28" s="33">
        <v>1.2932610804296996</v>
      </c>
      <c r="H28" s="5">
        <v>2254.8598376145496</v>
      </c>
      <c r="I28" s="6"/>
    </row>
    <row r="29" spans="2:12" x14ac:dyDescent="0.2">
      <c r="B29">
        <v>25</v>
      </c>
      <c r="C29" s="33">
        <v>1.9036650870239149</v>
      </c>
      <c r="D29" s="5">
        <v>16030.089965584813</v>
      </c>
      <c r="F29">
        <v>125</v>
      </c>
      <c r="G29" s="33">
        <v>4.7620607571642326</v>
      </c>
      <c r="H29" s="5">
        <v>6267.3571986046873</v>
      </c>
      <c r="I29" s="6"/>
    </row>
    <row r="30" spans="2:12" x14ac:dyDescent="0.2">
      <c r="B30">
        <v>26</v>
      </c>
      <c r="C30" s="33">
        <v>5.1525255897525506</v>
      </c>
      <c r="D30" s="5">
        <v>3217.5851790241977</v>
      </c>
      <c r="F30">
        <v>126</v>
      </c>
      <c r="G30" s="33">
        <v>11.214378348220773</v>
      </c>
      <c r="H30" s="5">
        <v>16389.357648229594</v>
      </c>
      <c r="I30" s="6"/>
    </row>
    <row r="31" spans="2:12" x14ac:dyDescent="0.2">
      <c r="B31">
        <v>27</v>
      </c>
      <c r="C31" s="33">
        <v>5.8440592010313779</v>
      </c>
      <c r="D31" s="5">
        <v>3219.0176474616469</v>
      </c>
      <c r="F31">
        <v>127</v>
      </c>
      <c r="G31" s="33">
        <v>5.8625038404747096</v>
      </c>
      <c r="H31" s="5">
        <v>9938.7644492985546</v>
      </c>
      <c r="I31" s="6"/>
    </row>
    <row r="32" spans="2:12" x14ac:dyDescent="0.2">
      <c r="B32">
        <v>28</v>
      </c>
      <c r="C32" s="33">
        <v>11.321050050792836</v>
      </c>
      <c r="D32" s="5">
        <v>6238.8722271655597</v>
      </c>
      <c r="F32">
        <v>128</v>
      </c>
      <c r="G32" s="33">
        <v>8.018817186743636</v>
      </c>
      <c r="H32" s="5">
        <v>13424.814908151546</v>
      </c>
      <c r="I32" s="6"/>
    </row>
    <row r="33" spans="2:9" x14ac:dyDescent="0.2">
      <c r="B33">
        <v>29</v>
      </c>
      <c r="C33" s="33">
        <v>9.6700977608401093</v>
      </c>
      <c r="D33" s="5">
        <v>5240.3827577613456</v>
      </c>
      <c r="F33">
        <v>129</v>
      </c>
      <c r="G33" s="33">
        <v>-0.54777190984754087</v>
      </c>
      <c r="H33" s="5">
        <v>7050.9204931595659</v>
      </c>
      <c r="I33" s="6"/>
    </row>
    <row r="34" spans="2:9" x14ac:dyDescent="0.2">
      <c r="B34">
        <v>30</v>
      </c>
      <c r="C34" s="33">
        <v>6.5010231063650092</v>
      </c>
      <c r="D34" s="5">
        <v>3169.3103583302163</v>
      </c>
      <c r="F34">
        <v>130</v>
      </c>
      <c r="G34" s="33">
        <v>7.0911589424121502</v>
      </c>
      <c r="H34" s="5">
        <v>6601.4757734658779</v>
      </c>
      <c r="I34" s="6"/>
    </row>
    <row r="35" spans="2:9" x14ac:dyDescent="0.2">
      <c r="B35">
        <v>31</v>
      </c>
      <c r="C35" s="33">
        <v>3.0286900313727401</v>
      </c>
      <c r="D35" s="5">
        <v>6941.8348275230155</v>
      </c>
      <c r="F35">
        <v>131</v>
      </c>
      <c r="G35" s="33">
        <v>5.7788967061002046</v>
      </c>
      <c r="H35" s="5">
        <v>9044.4459153021289</v>
      </c>
      <c r="I35" s="6"/>
    </row>
    <row r="36" spans="2:9" x14ac:dyDescent="0.2">
      <c r="B36">
        <v>32</v>
      </c>
      <c r="C36" s="33">
        <v>2.0781199271286472</v>
      </c>
      <c r="D36" s="5">
        <v>1198.1531341399686</v>
      </c>
      <c r="F36">
        <v>132</v>
      </c>
      <c r="G36" s="33">
        <v>8.9838356864513536</v>
      </c>
      <c r="H36" s="5">
        <v>14670.617442142542</v>
      </c>
      <c r="I36" s="6"/>
    </row>
    <row r="37" spans="2:9" x14ac:dyDescent="0.2">
      <c r="B37">
        <v>33</v>
      </c>
      <c r="C37" s="33">
        <v>9.7925363145080251</v>
      </c>
      <c r="D37" s="5">
        <v>5209.20742636657</v>
      </c>
      <c r="F37">
        <v>133</v>
      </c>
      <c r="G37" s="33">
        <v>14.262082433239351</v>
      </c>
      <c r="H37" s="5">
        <v>13960.901743330987</v>
      </c>
      <c r="I37" s="6"/>
    </row>
    <row r="38" spans="2:9" x14ac:dyDescent="0.2">
      <c r="B38">
        <v>34</v>
      </c>
      <c r="C38" s="33">
        <v>6.4271455137348639</v>
      </c>
      <c r="D38" s="5">
        <v>6911.3667119870233</v>
      </c>
      <c r="F38">
        <v>134</v>
      </c>
      <c r="G38" s="33">
        <v>8.1768027408037547</v>
      </c>
      <c r="H38" s="5">
        <v>10218.555084335361</v>
      </c>
      <c r="I38" s="6"/>
    </row>
    <row r="39" spans="2:9" x14ac:dyDescent="0.2">
      <c r="B39">
        <v>35</v>
      </c>
      <c r="C39" s="33">
        <v>3.8029388332634952</v>
      </c>
      <c r="D39" s="5">
        <v>2782.0325658680358</v>
      </c>
      <c r="F39">
        <v>135</v>
      </c>
      <c r="G39" s="33">
        <v>9.5463149403149625</v>
      </c>
      <c r="H39" s="5">
        <v>11034.97705802153</v>
      </c>
      <c r="I39" s="6"/>
    </row>
    <row r="40" spans="2:9" x14ac:dyDescent="0.2">
      <c r="B40">
        <v>36</v>
      </c>
      <c r="C40" s="33">
        <v>10.12371956978861</v>
      </c>
      <c r="D40" s="5">
        <v>7571.0441966944963</v>
      </c>
      <c r="F40">
        <v>136</v>
      </c>
      <c r="G40" s="33">
        <v>6.4306106184020146</v>
      </c>
      <c r="H40" s="5">
        <v>6628.6815629440734</v>
      </c>
      <c r="I40" s="6"/>
    </row>
    <row r="41" spans="2:9" x14ac:dyDescent="0.2">
      <c r="B41">
        <v>37</v>
      </c>
      <c r="C41" s="33">
        <v>7.166424794919191</v>
      </c>
      <c r="D41" s="5">
        <v>5545.6060821818564</v>
      </c>
      <c r="F41">
        <v>137</v>
      </c>
      <c r="G41" s="33">
        <v>0.82936118236748424</v>
      </c>
      <c r="H41" s="5">
        <v>3030.4287878664127</v>
      </c>
      <c r="I41" s="6"/>
    </row>
    <row r="42" spans="2:9" x14ac:dyDescent="0.2">
      <c r="B42">
        <v>38</v>
      </c>
      <c r="C42" s="33">
        <v>8.5633725581160238</v>
      </c>
      <c r="D42" s="5">
        <v>3994.5465030110922</v>
      </c>
      <c r="F42">
        <v>138</v>
      </c>
      <c r="G42" s="33">
        <v>13.831868439621624</v>
      </c>
      <c r="H42" s="5">
        <v>13091.205779087431</v>
      </c>
      <c r="I42" s="6"/>
    </row>
    <row r="43" spans="2:9" x14ac:dyDescent="0.2">
      <c r="B43">
        <v>39</v>
      </c>
      <c r="C43" s="33">
        <v>0.52728268787334431</v>
      </c>
      <c r="D43" s="5">
        <v>11384.432571411606</v>
      </c>
      <c r="F43">
        <v>139</v>
      </c>
      <c r="G43" s="33">
        <v>12.061027786969371</v>
      </c>
      <c r="H43" s="5">
        <v>36909.61325616765</v>
      </c>
      <c r="I43" s="6"/>
    </row>
    <row r="44" spans="2:9" x14ac:dyDescent="0.2">
      <c r="B44">
        <v>40</v>
      </c>
      <c r="C44" s="33">
        <v>3.0389350020857511</v>
      </c>
      <c r="D44" s="5">
        <v>2514.2031509741892</v>
      </c>
      <c r="F44">
        <v>140</v>
      </c>
      <c r="G44" s="33">
        <v>4.5103596199229772</v>
      </c>
      <c r="H44" s="5">
        <v>6376.9405190324496</v>
      </c>
      <c r="I44" s="6"/>
    </row>
    <row r="45" spans="2:9" x14ac:dyDescent="0.2">
      <c r="B45">
        <v>41</v>
      </c>
      <c r="C45" s="33">
        <v>7.9411881104487101</v>
      </c>
      <c r="D45" s="5">
        <v>14326.88676069452</v>
      </c>
      <c r="F45">
        <v>141</v>
      </c>
      <c r="G45" s="33">
        <v>10.279561770903793</v>
      </c>
      <c r="H45" s="5">
        <v>10257.108135735336</v>
      </c>
      <c r="I45" s="6"/>
    </row>
    <row r="46" spans="2:9" x14ac:dyDescent="0.2">
      <c r="B46">
        <v>42</v>
      </c>
      <c r="C46" s="33">
        <v>12.236518163684371</v>
      </c>
      <c r="D46" s="5">
        <v>7825.657381783948</v>
      </c>
      <c r="F46">
        <v>142</v>
      </c>
      <c r="G46" s="33">
        <v>8.681236067051076</v>
      </c>
      <c r="H46" s="5">
        <v>8968.7355160541174</v>
      </c>
      <c r="I46" s="6"/>
    </row>
    <row r="47" spans="2:9" x14ac:dyDescent="0.2">
      <c r="B47">
        <v>43</v>
      </c>
      <c r="C47" s="33">
        <v>3.5947629533543473</v>
      </c>
      <c r="D47" s="5">
        <v>2863.2315321034957</v>
      </c>
      <c r="F47">
        <v>143</v>
      </c>
      <c r="G47" s="33">
        <v>13.520069774223522</v>
      </c>
      <c r="H47" s="5">
        <v>13868.58686526778</v>
      </c>
      <c r="I47" s="6"/>
    </row>
    <row r="48" spans="2:9" x14ac:dyDescent="0.2">
      <c r="B48">
        <v>44</v>
      </c>
      <c r="C48" s="33">
        <v>1.6685108258472681</v>
      </c>
      <c r="D48" s="5">
        <v>602.25129584288857</v>
      </c>
      <c r="F48">
        <v>144</v>
      </c>
      <c r="G48" s="33">
        <v>7.8859323315056349</v>
      </c>
      <c r="H48" s="5">
        <v>12466.149879986684</v>
      </c>
      <c r="I48" s="6"/>
    </row>
    <row r="49" spans="2:9" x14ac:dyDescent="0.2">
      <c r="B49">
        <v>45</v>
      </c>
      <c r="C49" s="33">
        <v>5.2658437278400312</v>
      </c>
      <c r="D49" s="5">
        <v>5607.4193936362153</v>
      </c>
      <c r="F49">
        <v>145</v>
      </c>
      <c r="G49" s="33">
        <v>7.2615433229172321</v>
      </c>
      <c r="H49" s="5">
        <v>9557.0197498230445</v>
      </c>
      <c r="I49" s="6"/>
    </row>
    <row r="50" spans="2:9" x14ac:dyDescent="0.2">
      <c r="B50">
        <v>46</v>
      </c>
      <c r="C50" s="33">
        <v>0.41333468425225467</v>
      </c>
      <c r="D50" s="5">
        <v>2915.8103564257872</v>
      </c>
      <c r="F50">
        <v>146</v>
      </c>
      <c r="G50" s="33">
        <v>6.0660305798288423</v>
      </c>
      <c r="H50" s="5">
        <v>5980.894830754145</v>
      </c>
      <c r="I50" s="6"/>
    </row>
    <row r="51" spans="2:9" x14ac:dyDescent="0.2">
      <c r="B51">
        <v>47</v>
      </c>
      <c r="C51" s="33">
        <v>8.078396591818171</v>
      </c>
      <c r="D51" s="5">
        <v>4134.2422690551421</v>
      </c>
      <c r="F51">
        <v>147</v>
      </c>
      <c r="G51" s="33">
        <v>12.136946526092006</v>
      </c>
      <c r="H51" s="5">
        <v>12653.078039947584</v>
      </c>
      <c r="I51" s="6"/>
    </row>
    <row r="52" spans="2:9" x14ac:dyDescent="0.2">
      <c r="B52">
        <v>48</v>
      </c>
      <c r="C52" s="33">
        <v>9.4943707713147845</v>
      </c>
      <c r="D52" s="5">
        <v>5666.3726412140259</v>
      </c>
      <c r="F52">
        <v>148</v>
      </c>
      <c r="G52" s="33">
        <v>0.83913410236726871</v>
      </c>
      <c r="H52" s="5">
        <v>2774.8563919978606</v>
      </c>
      <c r="I52" s="6"/>
    </row>
    <row r="53" spans="2:9" x14ac:dyDescent="0.2">
      <c r="B53">
        <v>49</v>
      </c>
      <c r="C53" s="33">
        <v>0.6142652573618721</v>
      </c>
      <c r="D53" s="5">
        <v>347.93008219028383</v>
      </c>
      <c r="F53">
        <v>149</v>
      </c>
      <c r="G53" s="33">
        <v>12.143761707957653</v>
      </c>
      <c r="H53" s="5">
        <v>11829.126795409478</v>
      </c>
      <c r="I53" s="6"/>
    </row>
    <row r="54" spans="2:9" x14ac:dyDescent="0.2">
      <c r="B54">
        <v>50</v>
      </c>
      <c r="C54" s="33">
        <v>7.1365385198688571</v>
      </c>
      <c r="D54" s="5">
        <v>5198.5565806135983</v>
      </c>
      <c r="F54">
        <v>150</v>
      </c>
      <c r="G54" s="33">
        <v>6.0049740413370554</v>
      </c>
      <c r="H54" s="5">
        <v>9379.3806111566773</v>
      </c>
      <c r="I54" s="6"/>
    </row>
    <row r="55" spans="2:9" x14ac:dyDescent="0.2">
      <c r="B55">
        <v>51</v>
      </c>
      <c r="C55" s="33">
        <v>9.3299434462895405</v>
      </c>
      <c r="D55" s="5">
        <v>12358.138658835098</v>
      </c>
      <c r="F55">
        <v>151</v>
      </c>
      <c r="G55" s="33">
        <v>8.6927177360316286</v>
      </c>
      <c r="H55" s="5">
        <v>12546.619338955159</v>
      </c>
    </row>
    <row r="56" spans="2:9" x14ac:dyDescent="0.2">
      <c r="B56">
        <v>52</v>
      </c>
      <c r="C56" s="33">
        <v>7.2130757536574528</v>
      </c>
      <c r="D56" s="5">
        <v>3873.6188236322341</v>
      </c>
      <c r="F56">
        <v>152</v>
      </c>
      <c r="G56" s="33">
        <v>6.6291311419083945</v>
      </c>
      <c r="H56" s="5">
        <v>7874.3463358184927</v>
      </c>
    </row>
    <row r="57" spans="2:9" x14ac:dyDescent="0.2">
      <c r="B57">
        <v>53</v>
      </c>
      <c r="C57" s="33">
        <v>1.4811863849776941</v>
      </c>
      <c r="D57" s="5">
        <v>1227.6615437135929</v>
      </c>
      <c r="F57">
        <v>153</v>
      </c>
      <c r="G57" s="33">
        <v>9.5900746570098363</v>
      </c>
      <c r="H57" s="5">
        <v>20578.188752411486</v>
      </c>
    </row>
    <row r="58" spans="2:9" x14ac:dyDescent="0.2">
      <c r="B58">
        <v>54</v>
      </c>
      <c r="C58" s="33">
        <v>5.4543160134070146</v>
      </c>
      <c r="D58" s="5">
        <v>4426.2361922328437</v>
      </c>
      <c r="F58">
        <v>154</v>
      </c>
      <c r="G58" s="33">
        <v>14.352477681135197</v>
      </c>
      <c r="H58" s="5">
        <v>14355.009331620193</v>
      </c>
    </row>
    <row r="59" spans="2:9" x14ac:dyDescent="0.2">
      <c r="B59">
        <v>55</v>
      </c>
      <c r="C59" s="33">
        <v>6.0594326784440202</v>
      </c>
      <c r="D59" s="5">
        <v>8149.1107594597288</v>
      </c>
      <c r="F59">
        <v>155</v>
      </c>
      <c r="G59" s="33">
        <v>9.0302136480258692</v>
      </c>
      <c r="H59" s="5">
        <v>10450.964895636245</v>
      </c>
    </row>
    <row r="60" spans="2:9" x14ac:dyDescent="0.2">
      <c r="B60">
        <v>56</v>
      </c>
      <c r="C60" s="33">
        <v>8.5218979084368645</v>
      </c>
      <c r="D60" s="5">
        <v>5569.1318465909117</v>
      </c>
      <c r="F60">
        <v>156</v>
      </c>
      <c r="G60" s="33">
        <v>6.8941840992429047</v>
      </c>
      <c r="H60" s="5">
        <v>6688.9246244221822</v>
      </c>
    </row>
    <row r="61" spans="2:9" x14ac:dyDescent="0.2">
      <c r="B61">
        <v>57</v>
      </c>
      <c r="C61" s="33">
        <v>6.1886942813581767</v>
      </c>
      <c r="D61" s="5">
        <v>19103.854266864706</v>
      </c>
      <c r="F61">
        <v>157</v>
      </c>
      <c r="G61" s="33">
        <v>4.7677875830079914</v>
      </c>
      <c r="H61" s="5">
        <v>6677.8176051740083</v>
      </c>
    </row>
    <row r="62" spans="2:9" x14ac:dyDescent="0.2">
      <c r="B62">
        <v>58</v>
      </c>
      <c r="C62" s="33">
        <v>8.9721494695581026</v>
      </c>
      <c r="D62" s="5">
        <v>5369.0937987413363</v>
      </c>
      <c r="F62">
        <v>158</v>
      </c>
      <c r="G62" s="33">
        <v>6.7875509279457855</v>
      </c>
      <c r="H62" s="5">
        <v>9897.9658623455998</v>
      </c>
    </row>
    <row r="63" spans="2:9" x14ac:dyDescent="0.2">
      <c r="B63">
        <v>59</v>
      </c>
      <c r="C63" s="33">
        <v>5.11194005981615</v>
      </c>
      <c r="D63" s="5">
        <v>9440.8540851041307</v>
      </c>
      <c r="F63">
        <v>159</v>
      </c>
      <c r="G63" s="33">
        <v>10.007653010449244</v>
      </c>
      <c r="H63" s="5">
        <v>9993.6802355301843</v>
      </c>
    </row>
    <row r="64" spans="2:9" x14ac:dyDescent="0.2">
      <c r="B64">
        <v>60</v>
      </c>
      <c r="C64" s="33">
        <v>8.556658275049541</v>
      </c>
      <c r="D64" s="5">
        <v>5474.3029521704211</v>
      </c>
      <c r="F64">
        <v>160</v>
      </c>
      <c r="G64" s="33">
        <v>4.9599054994955765</v>
      </c>
      <c r="H64" s="5">
        <v>8413.9772192203091</v>
      </c>
    </row>
    <row r="65" spans="2:8" x14ac:dyDescent="0.2">
      <c r="B65">
        <v>61</v>
      </c>
      <c r="C65" s="33">
        <v>6.4335804859150372</v>
      </c>
      <c r="D65" s="5">
        <v>4568.0479762931027</v>
      </c>
      <c r="F65">
        <v>161</v>
      </c>
      <c r="G65" s="33">
        <v>3.9458151424140384</v>
      </c>
      <c r="H65" s="5">
        <v>5347.5177179801294</v>
      </c>
    </row>
    <row r="66" spans="2:8" x14ac:dyDescent="0.2">
      <c r="B66">
        <v>62</v>
      </c>
      <c r="C66" s="33">
        <v>8.200095034189804</v>
      </c>
      <c r="D66" s="5">
        <v>4486.2026034909113</v>
      </c>
      <c r="F66">
        <v>162</v>
      </c>
      <c r="G66" s="33">
        <v>8.6992515166331383</v>
      </c>
      <c r="H66" s="5">
        <v>8758.4354975872939</v>
      </c>
    </row>
    <row r="67" spans="2:8" x14ac:dyDescent="0.2">
      <c r="B67">
        <v>63</v>
      </c>
      <c r="C67" s="33">
        <v>5.9127506213803507</v>
      </c>
      <c r="D67" s="5">
        <v>5913.8960900245584</v>
      </c>
      <c r="F67">
        <v>163</v>
      </c>
      <c r="G67" s="33">
        <v>6.2120762495952908</v>
      </c>
      <c r="H67" s="5">
        <v>7872.8021587178819</v>
      </c>
    </row>
    <row r="68" spans="2:8" x14ac:dyDescent="0.2">
      <c r="B68">
        <v>64</v>
      </c>
      <c r="C68" s="33">
        <v>5.487554346629711</v>
      </c>
      <c r="D68" s="5">
        <v>14027.9265615529</v>
      </c>
      <c r="F68">
        <v>164</v>
      </c>
      <c r="G68" s="33">
        <v>13.473532769882912</v>
      </c>
      <c r="H68" s="5">
        <v>13098.033942563619</v>
      </c>
    </row>
    <row r="69" spans="2:8" x14ac:dyDescent="0.2">
      <c r="B69">
        <v>65</v>
      </c>
      <c r="C69" s="33">
        <v>7.0004381063863086</v>
      </c>
      <c r="D69" s="5">
        <v>4841.2815909688816</v>
      </c>
      <c r="F69">
        <v>165</v>
      </c>
      <c r="G69" s="33">
        <v>13.938144354711699</v>
      </c>
      <c r="H69" s="5">
        <v>13338.147569751027</v>
      </c>
    </row>
    <row r="70" spans="2:8" x14ac:dyDescent="0.2">
      <c r="B70">
        <v>66</v>
      </c>
      <c r="C70" s="33">
        <v>4.5890909370440784</v>
      </c>
      <c r="D70" s="5">
        <v>3985.5859304932392</v>
      </c>
      <c r="F70">
        <v>166</v>
      </c>
      <c r="G70" s="33">
        <v>10.124085710941417</v>
      </c>
      <c r="H70" s="5">
        <v>12918.658640600344</v>
      </c>
    </row>
    <row r="71" spans="2:8" x14ac:dyDescent="0.2">
      <c r="B71">
        <v>67</v>
      </c>
      <c r="C71" s="33">
        <v>4.6681324737924665</v>
      </c>
      <c r="D71" s="5">
        <v>6670.6381850420603</v>
      </c>
      <c r="F71">
        <v>167</v>
      </c>
      <c r="G71" s="33">
        <v>3.9877010321967221</v>
      </c>
      <c r="H71" s="5">
        <v>6747.1824289220895</v>
      </c>
    </row>
    <row r="72" spans="2:8" x14ac:dyDescent="0.2">
      <c r="B72">
        <v>68</v>
      </c>
      <c r="C72" s="33">
        <v>-1.634983337737407</v>
      </c>
      <c r="D72" s="5">
        <v>5032.9000505152562</v>
      </c>
      <c r="F72">
        <v>168</v>
      </c>
      <c r="G72" s="33">
        <v>0.36194893791251592</v>
      </c>
      <c r="H72" s="5">
        <v>4850.1512476503631</v>
      </c>
    </row>
    <row r="73" spans="2:8" x14ac:dyDescent="0.2">
      <c r="B73">
        <v>69</v>
      </c>
      <c r="C73" s="33">
        <v>10.890164504274921</v>
      </c>
      <c r="D73" s="5">
        <v>9305.2259917958236</v>
      </c>
      <c r="F73">
        <v>169</v>
      </c>
      <c r="G73" s="33">
        <v>10.267770747788992</v>
      </c>
      <c r="H73" s="5">
        <v>10235.818361728061</v>
      </c>
    </row>
    <row r="74" spans="2:8" x14ac:dyDescent="0.2">
      <c r="B74">
        <v>70</v>
      </c>
      <c r="C74" s="33">
        <v>5.0987030855427982</v>
      </c>
      <c r="D74" s="5">
        <v>3069.3455650077635</v>
      </c>
      <c r="F74">
        <v>170</v>
      </c>
      <c r="G74" s="33">
        <v>8.5837698651383771</v>
      </c>
      <c r="H74" s="5">
        <v>8227.6748324089549</v>
      </c>
    </row>
    <row r="75" spans="2:8" x14ac:dyDescent="0.2">
      <c r="B75">
        <v>71</v>
      </c>
      <c r="C75" s="33">
        <v>10.563077248224687</v>
      </c>
      <c r="D75" s="5">
        <v>5517.405808613772</v>
      </c>
      <c r="F75">
        <v>171</v>
      </c>
      <c r="G75" s="33">
        <v>11.126572109243085</v>
      </c>
      <c r="H75" s="5">
        <v>13769.325166504534</v>
      </c>
    </row>
    <row r="76" spans="2:8" x14ac:dyDescent="0.2">
      <c r="B76">
        <v>72</v>
      </c>
      <c r="C76" s="33">
        <v>12.268723354377038</v>
      </c>
      <c r="D76" s="5">
        <v>6182.6732466834192</v>
      </c>
      <c r="F76">
        <v>172</v>
      </c>
      <c r="G76" s="33">
        <v>14.708431587240057</v>
      </c>
      <c r="H76" s="5">
        <v>14345.705499339969</v>
      </c>
    </row>
    <row r="77" spans="2:8" x14ac:dyDescent="0.2">
      <c r="B77">
        <v>73</v>
      </c>
      <c r="C77" s="33">
        <v>9.5126527732621575</v>
      </c>
      <c r="D77" s="5">
        <v>4768.1402481577888</v>
      </c>
      <c r="F77">
        <v>173</v>
      </c>
      <c r="G77" s="33">
        <v>5.4255364269539497</v>
      </c>
      <c r="H77" s="5">
        <v>9668.6228816033909</v>
      </c>
    </row>
    <row r="78" spans="2:8" x14ac:dyDescent="0.2">
      <c r="B78">
        <v>74</v>
      </c>
      <c r="C78" s="33">
        <v>5.1000716478753443</v>
      </c>
      <c r="D78" s="5">
        <v>3148.5436205703631</v>
      </c>
      <c r="F78">
        <v>174</v>
      </c>
      <c r="G78" s="33">
        <v>12.822125181777842</v>
      </c>
      <c r="H78" s="5">
        <v>12538.797167065097</v>
      </c>
    </row>
    <row r="79" spans="2:8" x14ac:dyDescent="0.2">
      <c r="B79">
        <v>75</v>
      </c>
      <c r="C79" s="33">
        <v>5.7277818048669413</v>
      </c>
      <c r="D79" s="5">
        <v>3356.8887545489042</v>
      </c>
      <c r="F79">
        <v>175</v>
      </c>
      <c r="G79" s="33">
        <v>5.1862925489276623</v>
      </c>
      <c r="H79" s="5">
        <v>7339.102737667672</v>
      </c>
    </row>
    <row r="80" spans="2:8" x14ac:dyDescent="0.2">
      <c r="B80">
        <v>76</v>
      </c>
      <c r="C80" s="33">
        <v>3.7457441294888283</v>
      </c>
      <c r="D80" s="5">
        <v>1971.1625068195901</v>
      </c>
      <c r="F80">
        <v>176</v>
      </c>
      <c r="G80" s="33">
        <v>3.8401089650958711</v>
      </c>
      <c r="H80" s="5">
        <v>4931.3006483768168</v>
      </c>
    </row>
    <row r="81" spans="2:8" x14ac:dyDescent="0.2">
      <c r="B81">
        <v>77</v>
      </c>
      <c r="C81" s="33">
        <v>11.324641211559015</v>
      </c>
      <c r="D81" s="5">
        <v>7634.6497425745356</v>
      </c>
      <c r="F81">
        <v>177</v>
      </c>
      <c r="G81" s="33">
        <v>2.1396817346653152</v>
      </c>
      <c r="H81" s="5">
        <v>11003.815217742205</v>
      </c>
    </row>
    <row r="82" spans="2:8" x14ac:dyDescent="0.2">
      <c r="B82">
        <v>78</v>
      </c>
      <c r="C82" s="33">
        <v>4.3523933298869295</v>
      </c>
      <c r="D82" s="5">
        <v>2980.6625251791288</v>
      </c>
      <c r="F82">
        <v>178</v>
      </c>
      <c r="G82" s="33">
        <v>5.6182774859069955</v>
      </c>
      <c r="H82" s="5">
        <v>7311.8574149302749</v>
      </c>
    </row>
    <row r="83" spans="2:8" x14ac:dyDescent="0.2">
      <c r="B83">
        <v>79</v>
      </c>
      <c r="C83" s="33">
        <v>10.875013528448807</v>
      </c>
      <c r="D83" s="5">
        <v>11109.678764112685</v>
      </c>
      <c r="F83">
        <v>179</v>
      </c>
      <c r="G83" s="33">
        <v>8.6751946655806869</v>
      </c>
      <c r="H83" s="5">
        <v>8539.9214385549567</v>
      </c>
    </row>
    <row r="84" spans="2:8" x14ac:dyDescent="0.2">
      <c r="B84">
        <v>80</v>
      </c>
      <c r="C84" s="33">
        <v>7.6720232858929309</v>
      </c>
      <c r="D84" s="5">
        <v>5023.0276701199582</v>
      </c>
      <c r="F84">
        <v>180</v>
      </c>
      <c r="G84" s="33">
        <v>3.9008440943011879</v>
      </c>
      <c r="H84" s="5">
        <v>5155.0095336507793</v>
      </c>
    </row>
    <row r="85" spans="2:8" x14ac:dyDescent="0.2">
      <c r="B85">
        <v>81</v>
      </c>
      <c r="C85" s="33">
        <v>10.672960849566044</v>
      </c>
      <c r="D85" s="5">
        <v>9763.9967311552518</v>
      </c>
      <c r="F85">
        <v>181</v>
      </c>
      <c r="G85" s="33">
        <v>5.6893061701626291</v>
      </c>
      <c r="H85" s="5">
        <v>5706.3551660487556</v>
      </c>
    </row>
    <row r="86" spans="2:8" x14ac:dyDescent="0.2">
      <c r="B86">
        <v>82</v>
      </c>
      <c r="C86" s="33">
        <v>3.4716013057436403</v>
      </c>
      <c r="D86" s="5">
        <v>1677.7465345623355</v>
      </c>
      <c r="F86">
        <v>182</v>
      </c>
      <c r="G86" s="33">
        <v>6.8797872066389179</v>
      </c>
      <c r="H86" s="5">
        <v>6729.9170293805901</v>
      </c>
    </row>
    <row r="87" spans="2:8" x14ac:dyDescent="0.2">
      <c r="B87">
        <v>83</v>
      </c>
      <c r="C87" s="33">
        <v>10.070398192997285</v>
      </c>
      <c r="D87" s="5">
        <v>7454.4426672932641</v>
      </c>
      <c r="F87">
        <v>183</v>
      </c>
      <c r="G87" s="33">
        <v>4.2867214370266726</v>
      </c>
      <c r="H87" s="5">
        <v>5057.2115051134315</v>
      </c>
    </row>
    <row r="88" spans="2:8" x14ac:dyDescent="0.2">
      <c r="B88">
        <v>84</v>
      </c>
      <c r="C88" s="33">
        <v>14.149249843265443</v>
      </c>
      <c r="D88" s="5">
        <v>7425.3468987903034</v>
      </c>
      <c r="F88">
        <v>184</v>
      </c>
      <c r="G88" s="33">
        <v>13.746491650811786</v>
      </c>
      <c r="H88" s="5">
        <v>14159.687276564517</v>
      </c>
    </row>
    <row r="89" spans="2:8" x14ac:dyDescent="0.2">
      <c r="B89">
        <v>85</v>
      </c>
      <c r="C89" s="33">
        <v>10.948090740498266</v>
      </c>
      <c r="D89" s="5">
        <v>9027.9218998747128</v>
      </c>
      <c r="F89">
        <v>185</v>
      </c>
      <c r="G89" s="33">
        <v>4.3880452107411001</v>
      </c>
      <c r="H89" s="5">
        <v>6599.7752016007407</v>
      </c>
    </row>
    <row r="90" spans="2:8" x14ac:dyDescent="0.2">
      <c r="B90">
        <v>86</v>
      </c>
      <c r="C90" s="33">
        <v>4.2069542364304411</v>
      </c>
      <c r="D90" s="5">
        <v>8743.5025245260731</v>
      </c>
      <c r="F90">
        <v>186</v>
      </c>
      <c r="G90" s="33">
        <v>0.42522840947802132</v>
      </c>
      <c r="H90" s="5">
        <v>4934.8983672670574</v>
      </c>
    </row>
    <row r="91" spans="2:8" x14ac:dyDescent="0.2">
      <c r="B91">
        <v>87</v>
      </c>
      <c r="C91" s="33">
        <v>6.4890227275573649</v>
      </c>
      <c r="D91" s="5">
        <v>9353.7826836702734</v>
      </c>
      <c r="F91">
        <v>187</v>
      </c>
      <c r="G91" s="33">
        <v>6.7844969821088341</v>
      </c>
      <c r="H91" s="5">
        <v>8045.0357068033563</v>
      </c>
    </row>
    <row r="92" spans="2:8" x14ac:dyDescent="0.2">
      <c r="B92">
        <v>88</v>
      </c>
      <c r="C92" s="33">
        <v>0.62931492176215387</v>
      </c>
      <c r="D92" s="5">
        <v>3964.2959787645282</v>
      </c>
      <c r="F92">
        <v>188</v>
      </c>
      <c r="G92" s="33">
        <v>5.7583633342603848</v>
      </c>
      <c r="H92" s="5">
        <v>8471.1062642191937</v>
      </c>
    </row>
    <row r="93" spans="2:8" x14ac:dyDescent="0.2">
      <c r="B93">
        <v>89</v>
      </c>
      <c r="C93" s="33">
        <v>10.629234487620304</v>
      </c>
      <c r="D93" s="5">
        <v>7358.8127252886152</v>
      </c>
      <c r="F93">
        <v>189</v>
      </c>
      <c r="G93" s="33">
        <v>6.5783863718503444</v>
      </c>
      <c r="H93" s="5">
        <v>7607.3842817706518</v>
      </c>
    </row>
    <row r="94" spans="2:8" x14ac:dyDescent="0.2">
      <c r="B94">
        <v>90</v>
      </c>
      <c r="C94" s="33">
        <v>3.7268421887327379</v>
      </c>
      <c r="D94" s="5">
        <v>2838.2041594188881</v>
      </c>
      <c r="F94">
        <v>190</v>
      </c>
      <c r="G94" s="33">
        <v>7.2824680559788755</v>
      </c>
      <c r="H94" s="5">
        <v>7263.2445755410354</v>
      </c>
    </row>
    <row r="95" spans="2:8" x14ac:dyDescent="0.2">
      <c r="B95">
        <v>91</v>
      </c>
      <c r="C95" s="33">
        <v>8.1165809269660354</v>
      </c>
      <c r="D95" s="5">
        <v>115200.02655662232</v>
      </c>
      <c r="F95">
        <v>191</v>
      </c>
      <c r="G95" s="33">
        <v>6.3676505309324494</v>
      </c>
      <c r="H95" s="5">
        <v>6437.7926291620597</v>
      </c>
    </row>
    <row r="96" spans="2:8" x14ac:dyDescent="0.2">
      <c r="B96">
        <v>92</v>
      </c>
      <c r="C96" s="33">
        <v>5.3925770713520773</v>
      </c>
      <c r="D96" s="5">
        <v>14707.58675871268</v>
      </c>
      <c r="F96">
        <v>192</v>
      </c>
      <c r="G96" s="33">
        <v>5.475083985294809</v>
      </c>
      <c r="H96" s="5">
        <v>6326.3809850316402</v>
      </c>
    </row>
    <row r="97" spans="2:8" x14ac:dyDescent="0.2">
      <c r="B97">
        <v>93</v>
      </c>
      <c r="C97" s="33">
        <v>10.677305853582503</v>
      </c>
      <c r="D97" s="5">
        <v>6598.5076173051566</v>
      </c>
      <c r="F97">
        <v>193</v>
      </c>
      <c r="G97" s="33">
        <v>6.3415313611741908</v>
      </c>
      <c r="H97" s="5">
        <v>8331.847268803027</v>
      </c>
    </row>
    <row r="98" spans="2:8" x14ac:dyDescent="0.2">
      <c r="B98">
        <v>94</v>
      </c>
      <c r="C98" s="33">
        <v>6.0363700869362384</v>
      </c>
      <c r="D98" s="5">
        <v>7500.0210888805523</v>
      </c>
      <c r="F98">
        <v>194</v>
      </c>
      <c r="G98" s="33">
        <v>5.6876624527104056</v>
      </c>
      <c r="H98" s="5">
        <v>6866.5153594941958</v>
      </c>
    </row>
    <row r="99" spans="2:8" x14ac:dyDescent="0.2">
      <c r="B99">
        <v>95</v>
      </c>
      <c r="C99" s="33">
        <v>0.41208377176804351</v>
      </c>
      <c r="D99" s="5">
        <v>936.69917305127171</v>
      </c>
      <c r="F99">
        <v>195</v>
      </c>
      <c r="G99" s="33">
        <v>5.177889150290313</v>
      </c>
      <c r="H99" s="5">
        <v>8633.0328871896327</v>
      </c>
    </row>
    <row r="100" spans="2:8" x14ac:dyDescent="0.2">
      <c r="B100">
        <v>96</v>
      </c>
      <c r="C100" s="33">
        <v>2.8831788314381996</v>
      </c>
      <c r="D100" s="5">
        <v>5197.4054467773885</v>
      </c>
      <c r="F100">
        <v>196</v>
      </c>
      <c r="G100" s="33">
        <v>7.5684831866174864</v>
      </c>
      <c r="H100" s="5">
        <v>13351.104313723808</v>
      </c>
    </row>
    <row r="101" spans="2:8" x14ac:dyDescent="0.2">
      <c r="B101">
        <v>97</v>
      </c>
      <c r="C101" s="33">
        <v>11.625662938529095</v>
      </c>
      <c r="D101" s="5">
        <v>6231.841874232573</v>
      </c>
      <c r="F101">
        <v>197</v>
      </c>
      <c r="G101" s="33">
        <v>8.6556339226075369</v>
      </c>
      <c r="H101" s="5">
        <v>10863.093471953716</v>
      </c>
    </row>
    <row r="102" spans="2:8" x14ac:dyDescent="0.2">
      <c r="B102">
        <v>98</v>
      </c>
      <c r="C102" s="33">
        <v>4.9401155185063335</v>
      </c>
      <c r="D102" s="5">
        <v>8692.0511302212963</v>
      </c>
      <c r="F102">
        <v>198</v>
      </c>
      <c r="G102" s="33">
        <v>7.525936333997592</v>
      </c>
      <c r="H102" s="5">
        <v>8810.7391949038883</v>
      </c>
    </row>
    <row r="103" spans="2:8" x14ac:dyDescent="0.2">
      <c r="B103">
        <v>99</v>
      </c>
      <c r="C103" s="33">
        <v>8.2080085572306576</v>
      </c>
      <c r="D103" s="5">
        <v>4141.773199232397</v>
      </c>
      <c r="F103">
        <v>199</v>
      </c>
      <c r="G103" s="33">
        <v>8.5309817148283091</v>
      </c>
      <c r="H103" s="5">
        <v>14064.62142629152</v>
      </c>
    </row>
    <row r="104" spans="2:8" x14ac:dyDescent="0.2">
      <c r="B104">
        <v>100</v>
      </c>
      <c r="C104" s="33">
        <v>4.5831588303784203</v>
      </c>
      <c r="D104" s="5">
        <v>3620.3411528704773</v>
      </c>
      <c r="F104">
        <v>200</v>
      </c>
      <c r="G104" s="33">
        <v>0.87465481266400336</v>
      </c>
      <c r="H104" s="5">
        <v>1231.1721264412508</v>
      </c>
    </row>
  </sheetData>
  <phoneticPr fontId="0" type="noConversion"/>
  <pageMargins left="0.75" right="0.75" top="1" bottom="1" header="0.5" footer="0.5"/>
  <pageSetup orientation="landscape" horizontalDpi="4294967292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3"/>
  <sheetViews>
    <sheetView workbookViewId="0">
      <selection activeCell="D25" sqref="D25"/>
    </sheetView>
  </sheetViews>
  <sheetFormatPr defaultRowHeight="12.75" x14ac:dyDescent="0.2"/>
  <cols>
    <col min="1" max="1" width="21.140625" customWidth="1"/>
    <col min="2" max="2" width="11" customWidth="1"/>
    <col min="3" max="3" width="10.42578125" customWidth="1"/>
    <col min="5" max="5" width="10" customWidth="1"/>
    <col min="6" max="6" width="11" customWidth="1"/>
  </cols>
  <sheetData>
    <row r="1" spans="1:6" ht="18" x14ac:dyDescent="0.25">
      <c r="A1" s="20" t="s">
        <v>13</v>
      </c>
    </row>
    <row r="3" spans="1:6" ht="15.75" x14ac:dyDescent="0.25">
      <c r="B3" s="30" t="s">
        <v>1</v>
      </c>
      <c r="C3" s="29"/>
      <c r="E3" s="32" t="s">
        <v>5</v>
      </c>
      <c r="F3" s="31"/>
    </row>
    <row r="4" spans="1:6" x14ac:dyDescent="0.2">
      <c r="B4" s="1" t="s">
        <v>3</v>
      </c>
      <c r="C4" s="1" t="s">
        <v>4</v>
      </c>
      <c r="E4" s="1" t="s">
        <v>3</v>
      </c>
      <c r="F4" s="1" t="s">
        <v>4</v>
      </c>
    </row>
    <row r="5" spans="1:6" x14ac:dyDescent="0.2">
      <c r="A5" s="15" t="s">
        <v>15</v>
      </c>
      <c r="B5" s="21"/>
      <c r="C5" s="22"/>
      <c r="E5" s="21"/>
      <c r="F5" s="22"/>
    </row>
    <row r="6" spans="1:6" x14ac:dyDescent="0.2">
      <c r="A6" s="15" t="s">
        <v>16</v>
      </c>
      <c r="B6" s="21"/>
      <c r="C6" s="22"/>
      <c r="E6" s="21"/>
      <c r="F6" s="22"/>
    </row>
    <row r="7" spans="1:6" x14ac:dyDescent="0.2">
      <c r="A7" s="15" t="s">
        <v>17</v>
      </c>
      <c r="B7" s="21"/>
      <c r="C7" s="22"/>
      <c r="E7" s="21"/>
      <c r="F7" s="22"/>
    </row>
    <row r="8" spans="1:6" x14ac:dyDescent="0.2">
      <c r="A8" s="15"/>
      <c r="E8" s="4"/>
    </row>
    <row r="9" spans="1:6" ht="15.75" x14ac:dyDescent="0.25">
      <c r="B9" s="2" t="s">
        <v>14</v>
      </c>
    </row>
    <row r="10" spans="1:6" x14ac:dyDescent="0.2">
      <c r="B10" s="1" t="s">
        <v>3</v>
      </c>
      <c r="C10" s="1" t="s">
        <v>4</v>
      </c>
    </row>
    <row r="11" spans="1:6" x14ac:dyDescent="0.2">
      <c r="A11" s="15" t="s">
        <v>15</v>
      </c>
      <c r="B11" s="21"/>
      <c r="C11" s="22"/>
    </row>
    <row r="12" spans="1:6" x14ac:dyDescent="0.2">
      <c r="A12" s="15" t="s">
        <v>17</v>
      </c>
      <c r="B12" s="21"/>
      <c r="C12" s="22"/>
    </row>
    <row r="13" spans="1:6" x14ac:dyDescent="0.2">
      <c r="A13" s="15" t="s">
        <v>18</v>
      </c>
      <c r="B13" s="21"/>
      <c r="C13" s="22"/>
    </row>
    <row r="14" spans="1:6" x14ac:dyDescent="0.2">
      <c r="A14" s="15" t="s">
        <v>19</v>
      </c>
      <c r="B14" s="21"/>
      <c r="C14" s="22"/>
    </row>
    <row r="16" spans="1:6" ht="15.75" x14ac:dyDescent="0.25">
      <c r="B16" s="2" t="s">
        <v>20</v>
      </c>
    </row>
    <row r="18" spans="1:2" x14ac:dyDescent="0.2">
      <c r="A18" s="15" t="s">
        <v>21</v>
      </c>
      <c r="B18" s="22"/>
    </row>
    <row r="21" spans="1:2" x14ac:dyDescent="0.2">
      <c r="A21" s="15" t="s">
        <v>42</v>
      </c>
      <c r="B21" s="22"/>
    </row>
    <row r="22" spans="1:2" x14ac:dyDescent="0.2">
      <c r="A22" s="15" t="s">
        <v>43</v>
      </c>
      <c r="B22" s="22"/>
    </row>
    <row r="23" spans="1:2" x14ac:dyDescent="0.2">
      <c r="A23" s="15" t="s">
        <v>44</v>
      </c>
      <c r="B23" s="22"/>
    </row>
  </sheetData>
  <phoneticPr fontId="0" type="noConversion"/>
  <pageMargins left="0.75" right="0.75" top="1" bottom="1" header="0.5" footer="0.5"/>
  <pageSetup orientation="landscape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R1007"/>
  <sheetViews>
    <sheetView topLeftCell="V1" workbookViewId="0">
      <selection activeCell="AJ26" sqref="AJ26"/>
    </sheetView>
  </sheetViews>
  <sheetFormatPr defaultColWidth="8.85546875" defaultRowHeight="12.75" x14ac:dyDescent="0.2"/>
  <cols>
    <col min="1" max="1" width="10.42578125" style="4" customWidth="1"/>
    <col min="2" max="2" width="9.7109375" style="14" customWidth="1"/>
    <col min="3" max="3" width="10" style="10" customWidth="1"/>
    <col min="4" max="4" width="3.28515625" style="4" customWidth="1"/>
    <col min="5" max="5" width="8.85546875" style="4" customWidth="1"/>
    <col min="6" max="6" width="9.7109375" style="14" customWidth="1"/>
    <col min="7" max="7" width="10" style="10" customWidth="1"/>
    <col min="8" max="8" width="3.5703125" style="4" customWidth="1"/>
    <col min="9" max="9" width="8.85546875" style="4" customWidth="1"/>
    <col min="10" max="10" width="3.85546875" style="4" customWidth="1"/>
    <col min="11" max="11" width="9.7109375" style="14" customWidth="1"/>
    <col min="12" max="12" width="10.7109375" style="10" customWidth="1"/>
    <col min="13" max="13" width="2.42578125" style="10" customWidth="1"/>
    <col min="14" max="14" width="2.42578125" style="4" customWidth="1"/>
    <col min="15" max="15" width="9.7109375" style="14" customWidth="1"/>
    <col min="16" max="16" width="10.28515625" style="10" customWidth="1"/>
    <col min="17" max="17" width="3.42578125" style="4" customWidth="1"/>
    <col min="18" max="19" width="8.85546875" style="4" customWidth="1"/>
    <col min="20" max="20" width="3.42578125" style="4" customWidth="1"/>
    <col min="21" max="21" width="10.5703125" style="4" customWidth="1"/>
    <col min="22" max="22" width="4.28515625" style="4" customWidth="1"/>
    <col min="23" max="23" width="15.7109375" style="4" customWidth="1"/>
    <col min="24" max="24" width="12.5703125" style="4" customWidth="1"/>
    <col min="25" max="25" width="8.85546875" style="4" customWidth="1"/>
    <col min="26" max="26" width="5.85546875" style="4" customWidth="1"/>
    <col min="27" max="27" width="8.85546875" style="4" customWidth="1"/>
    <col min="28" max="28" width="3.85546875" style="4" customWidth="1"/>
    <col min="29" max="30" width="8.85546875" style="4" customWidth="1"/>
    <col min="31" max="31" width="3.85546875" style="4" customWidth="1"/>
    <col min="32" max="32" width="9" style="4" customWidth="1"/>
    <col min="33" max="33" width="3.42578125" style="4" customWidth="1"/>
    <col min="34" max="34" width="16.28515625" style="4" customWidth="1"/>
    <col min="35" max="36" width="8.85546875" style="4" customWidth="1"/>
    <col min="37" max="37" width="5.5703125" style="4" customWidth="1"/>
    <col min="38" max="38" width="8.85546875" style="4" customWidth="1"/>
    <col min="39" max="39" width="4.140625" style="4" customWidth="1"/>
    <col min="40" max="44" width="9.140625" customWidth="1"/>
    <col min="45" max="16384" width="8.85546875" style="4"/>
  </cols>
  <sheetData>
    <row r="1" spans="1:39" s="3" customFormat="1" ht="18" x14ac:dyDescent="0.25">
      <c r="A1" s="3" t="s">
        <v>6</v>
      </c>
      <c r="B1" s="11"/>
      <c r="C1" s="8"/>
      <c r="F1" s="11"/>
      <c r="G1" s="8"/>
      <c r="K1" s="11"/>
      <c r="L1" s="8"/>
      <c r="M1" s="8"/>
      <c r="O1" s="11"/>
      <c r="P1" s="10"/>
    </row>
    <row r="2" spans="1:39" s="2" customFormat="1" ht="15.75" x14ac:dyDescent="0.25">
      <c r="B2" s="12"/>
      <c r="C2" s="7"/>
      <c r="F2" s="12"/>
      <c r="G2" s="7"/>
      <c r="K2" s="12"/>
      <c r="L2" s="7"/>
      <c r="M2" s="7"/>
      <c r="O2" s="12"/>
      <c r="P2" s="10"/>
      <c r="Z2" s="2" t="s">
        <v>32</v>
      </c>
      <c r="AA2" s="10">
        <v>50000</v>
      </c>
    </row>
    <row r="3" spans="1:39" s="2" customFormat="1" ht="15.75" x14ac:dyDescent="0.25">
      <c r="A3" s="2" t="s">
        <v>11</v>
      </c>
      <c r="B3" s="14"/>
      <c r="C3" s="10"/>
      <c r="D3" s="4"/>
      <c r="E3" s="4"/>
      <c r="F3" s="14"/>
      <c r="G3" s="10"/>
      <c r="I3" s="2" t="s">
        <v>7</v>
      </c>
      <c r="K3" s="14"/>
      <c r="L3" s="10"/>
      <c r="M3" s="10"/>
      <c r="N3" s="4"/>
      <c r="O3" s="14"/>
      <c r="P3" s="10"/>
      <c r="Z3" s="2" t="s">
        <v>33</v>
      </c>
      <c r="AA3" s="18"/>
      <c r="AK3" s="2" t="s">
        <v>33</v>
      </c>
      <c r="AL3" s="18"/>
      <c r="AM3" s="4"/>
    </row>
    <row r="4" spans="1:39" ht="15.75" x14ac:dyDescent="0.25">
      <c r="I4" s="2"/>
      <c r="J4" s="2"/>
      <c r="N4" s="2"/>
    </row>
    <row r="5" spans="1:39" ht="15.75" x14ac:dyDescent="0.25">
      <c r="A5" s="30" t="s">
        <v>1</v>
      </c>
      <c r="B5" s="29"/>
      <c r="C5" s="29"/>
      <c r="E5" s="32" t="s">
        <v>5</v>
      </c>
      <c r="F5" s="31"/>
      <c r="G5" s="31"/>
      <c r="I5" s="1" t="s">
        <v>9</v>
      </c>
      <c r="J5" s="1"/>
      <c r="K5" s="29" t="s">
        <v>8</v>
      </c>
      <c r="L5" s="29"/>
      <c r="O5" s="31" t="s">
        <v>5</v>
      </c>
      <c r="P5" s="31"/>
      <c r="Q5" s="1"/>
      <c r="R5" s="1" t="s">
        <v>22</v>
      </c>
      <c r="S5" s="1"/>
      <c r="AF5" s="1" t="s">
        <v>36</v>
      </c>
      <c r="AG5" s="1"/>
      <c r="AH5" s="1"/>
      <c r="AI5" s="1"/>
    </row>
    <row r="6" spans="1:39" x14ac:dyDescent="0.2">
      <c r="A6" s="1" t="s">
        <v>2</v>
      </c>
      <c r="B6" s="13" t="s">
        <v>3</v>
      </c>
      <c r="C6" s="9" t="s">
        <v>4</v>
      </c>
      <c r="E6" s="1" t="s">
        <v>2</v>
      </c>
      <c r="F6" s="13" t="s">
        <v>3</v>
      </c>
      <c r="G6" s="9" t="s">
        <v>4</v>
      </c>
      <c r="I6" s="1" t="s">
        <v>10</v>
      </c>
      <c r="J6" s="1"/>
      <c r="K6" s="13" t="s">
        <v>3</v>
      </c>
      <c r="L6" s="9" t="s">
        <v>4</v>
      </c>
      <c r="M6" s="9"/>
      <c r="O6" s="13" t="s">
        <v>3</v>
      </c>
      <c r="P6" s="9" t="s">
        <v>4</v>
      </c>
      <c r="Q6" s="1"/>
      <c r="R6" s="1" t="s">
        <v>3</v>
      </c>
      <c r="S6" s="1" t="s">
        <v>4</v>
      </c>
      <c r="U6" s="1" t="s">
        <v>20</v>
      </c>
      <c r="W6" s="1" t="s">
        <v>23</v>
      </c>
      <c r="AA6" s="1" t="s">
        <v>31</v>
      </c>
      <c r="AC6" s="1" t="s">
        <v>32</v>
      </c>
      <c r="AD6" s="1" t="s">
        <v>33</v>
      </c>
      <c r="AF6" s="1" t="s">
        <v>34</v>
      </c>
      <c r="AG6" s="1"/>
      <c r="AH6" s="1" t="s">
        <v>37</v>
      </c>
      <c r="AI6" s="1"/>
      <c r="AL6" s="1" t="s">
        <v>31</v>
      </c>
    </row>
    <row r="7" spans="1:39" x14ac:dyDescent="0.2">
      <c r="Q7" s="1"/>
    </row>
    <row r="8" spans="1:39" x14ac:dyDescent="0.2">
      <c r="A8" s="18">
        <f ca="1">INT(RAND()*100)+1</f>
        <v>30</v>
      </c>
      <c r="B8" s="24">
        <f t="shared" ref="B8:B39" ca="1" si="0">VLOOKUP(A8,control,2,FALSE)</f>
        <v>6.5010231063650092</v>
      </c>
      <c r="C8" s="23">
        <f t="shared" ref="C8:C39" ca="1" si="1">VLOOKUP(A8,control,3,FALSE)</f>
        <v>3169.3103583302163</v>
      </c>
      <c r="E8" s="18">
        <f ca="1">INT(RAND()*100)+101</f>
        <v>163</v>
      </c>
      <c r="F8" s="24">
        <f t="shared" ref="F8:F39" ca="1" si="2">VLOOKUP(E8,treatment,2,FALSE)</f>
        <v>6.2120762495952908</v>
      </c>
      <c r="G8" s="23">
        <f t="shared" ref="G8:G39" ca="1" si="3">VLOOKUP(E8,treatment,3,FALSE)</f>
        <v>7872.8021587178819</v>
      </c>
      <c r="I8" s="4">
        <v>1</v>
      </c>
      <c r="R8" s="19"/>
      <c r="S8" s="23"/>
      <c r="U8" s="23"/>
      <c r="W8" s="25" t="s">
        <v>15</v>
      </c>
      <c r="X8" s="23"/>
      <c r="AA8" s="18"/>
      <c r="AC8" s="10">
        <v>0</v>
      </c>
      <c r="AF8" s="23"/>
      <c r="AH8" s="25" t="s">
        <v>15</v>
      </c>
      <c r="AI8" s="23"/>
      <c r="AL8" s="18"/>
    </row>
    <row r="9" spans="1:39" x14ac:dyDescent="0.2">
      <c r="A9" s="18">
        <f t="shared" ref="A9:A72" ca="1" si="4">INT(RAND()*100)+1</f>
        <v>48</v>
      </c>
      <c r="B9" s="24">
        <f t="shared" ca="1" si="0"/>
        <v>9.4943707713147845</v>
      </c>
      <c r="C9" s="23">
        <f t="shared" ca="1" si="1"/>
        <v>5666.3726412140259</v>
      </c>
      <c r="E9" s="18">
        <f t="shared" ref="E9:E72" ca="1" si="5">INT(RAND()*100)+101</f>
        <v>191</v>
      </c>
      <c r="F9" s="24">
        <f t="shared" ca="1" si="2"/>
        <v>6.3676505309324494</v>
      </c>
      <c r="G9" s="23">
        <f t="shared" ca="1" si="3"/>
        <v>6437.7926291620597</v>
      </c>
      <c r="I9" s="4">
        <v>2</v>
      </c>
      <c r="R9" s="19"/>
      <c r="S9" s="23"/>
      <c r="U9" s="23"/>
      <c r="W9" s="25" t="s">
        <v>24</v>
      </c>
      <c r="X9" s="23"/>
      <c r="AA9" s="18"/>
      <c r="AC9" s="10">
        <v>1000</v>
      </c>
      <c r="AF9" s="23"/>
      <c r="AH9" s="25" t="s">
        <v>24</v>
      </c>
      <c r="AI9" s="23"/>
      <c r="AL9" s="18"/>
    </row>
    <row r="10" spans="1:39" x14ac:dyDescent="0.2">
      <c r="A10" s="18">
        <f t="shared" ca="1" si="4"/>
        <v>3</v>
      </c>
      <c r="B10" s="24">
        <f t="shared" ca="1" si="0"/>
        <v>11.051414633832911</v>
      </c>
      <c r="C10" s="23">
        <f t="shared" ca="1" si="1"/>
        <v>5786.2548009459551</v>
      </c>
      <c r="E10" s="18">
        <f t="shared" ca="1" si="5"/>
        <v>115</v>
      </c>
      <c r="F10" s="24">
        <f t="shared" ca="1" si="2"/>
        <v>8.2341033909470696</v>
      </c>
      <c r="G10" s="23">
        <f t="shared" ca="1" si="3"/>
        <v>15783.230279664196</v>
      </c>
      <c r="I10" s="4">
        <v>3</v>
      </c>
      <c r="R10" s="19"/>
      <c r="S10" s="23"/>
      <c r="U10" s="23"/>
      <c r="W10" s="25" t="s">
        <v>25</v>
      </c>
      <c r="X10" s="23"/>
      <c r="AA10" s="18"/>
      <c r="AC10" s="10">
        <v>2000</v>
      </c>
      <c r="AF10" s="23"/>
      <c r="AH10" s="25" t="s">
        <v>25</v>
      </c>
      <c r="AI10" s="23"/>
      <c r="AL10" s="18"/>
    </row>
    <row r="11" spans="1:39" x14ac:dyDescent="0.2">
      <c r="A11" s="18">
        <f t="shared" ca="1" si="4"/>
        <v>26</v>
      </c>
      <c r="B11" s="24">
        <f t="shared" ca="1" si="0"/>
        <v>5.1525255897525506</v>
      </c>
      <c r="C11" s="23">
        <f t="shared" ca="1" si="1"/>
        <v>3217.5851790241977</v>
      </c>
      <c r="E11" s="18">
        <f t="shared" ca="1" si="5"/>
        <v>174</v>
      </c>
      <c r="F11" s="24">
        <f t="shared" ca="1" si="2"/>
        <v>12.822125181777842</v>
      </c>
      <c r="G11" s="23">
        <f t="shared" ca="1" si="3"/>
        <v>12538.797167065097</v>
      </c>
      <c r="I11" s="4">
        <v>4</v>
      </c>
      <c r="R11" s="19"/>
      <c r="S11" s="23"/>
      <c r="U11" s="23"/>
      <c r="W11" s="25" t="s">
        <v>26</v>
      </c>
      <c r="X11" s="23"/>
      <c r="AA11" s="18"/>
      <c r="AC11" s="10">
        <v>3000</v>
      </c>
      <c r="AF11" s="23"/>
      <c r="AH11" s="25" t="s">
        <v>26</v>
      </c>
      <c r="AI11" s="23"/>
      <c r="AL11" s="18"/>
    </row>
    <row r="12" spans="1:39" x14ac:dyDescent="0.2">
      <c r="A12" s="18">
        <f t="shared" ca="1" si="4"/>
        <v>25</v>
      </c>
      <c r="B12" s="24">
        <f t="shared" ca="1" si="0"/>
        <v>1.9036650870239149</v>
      </c>
      <c r="C12" s="23">
        <f t="shared" ca="1" si="1"/>
        <v>16030.089965584813</v>
      </c>
      <c r="E12" s="18">
        <f t="shared" ca="1" si="5"/>
        <v>138</v>
      </c>
      <c r="F12" s="24">
        <f t="shared" ca="1" si="2"/>
        <v>13.831868439621624</v>
      </c>
      <c r="G12" s="23">
        <f t="shared" ca="1" si="3"/>
        <v>13091.205779087431</v>
      </c>
      <c r="I12" s="4">
        <v>5</v>
      </c>
      <c r="R12" s="19"/>
      <c r="S12" s="23"/>
      <c r="U12" s="23"/>
      <c r="W12" s="25" t="s">
        <v>27</v>
      </c>
      <c r="X12" s="23"/>
      <c r="AA12" s="18"/>
      <c r="AC12" s="10">
        <v>4000</v>
      </c>
      <c r="AF12" s="23"/>
      <c r="AH12" s="25" t="s">
        <v>27</v>
      </c>
      <c r="AI12" s="23"/>
      <c r="AL12" s="18"/>
    </row>
    <row r="13" spans="1:39" x14ac:dyDescent="0.2">
      <c r="A13" s="18">
        <f t="shared" ca="1" si="4"/>
        <v>4</v>
      </c>
      <c r="B13" s="24">
        <f t="shared" ca="1" si="0"/>
        <v>9.5786366212729313</v>
      </c>
      <c r="C13" s="23">
        <f t="shared" ca="1" si="1"/>
        <v>7900.4873298371031</v>
      </c>
      <c r="E13" s="18">
        <f t="shared" ca="1" si="5"/>
        <v>106</v>
      </c>
      <c r="F13" s="24">
        <f t="shared" ca="1" si="2"/>
        <v>4.5853215109917471</v>
      </c>
      <c r="G13" s="23">
        <f t="shared" ca="1" si="3"/>
        <v>6029.6450313752912</v>
      </c>
      <c r="I13" s="4">
        <v>6</v>
      </c>
      <c r="R13" s="19"/>
      <c r="S13" s="23"/>
      <c r="U13" s="23"/>
      <c r="W13" s="25" t="s">
        <v>29</v>
      </c>
      <c r="X13" s="23"/>
      <c r="AA13" s="18"/>
      <c r="AC13" s="10">
        <v>5000</v>
      </c>
      <c r="AF13" s="23"/>
      <c r="AH13" s="25" t="s">
        <v>29</v>
      </c>
      <c r="AI13" s="23"/>
      <c r="AL13" s="18"/>
    </row>
    <row r="14" spans="1:39" x14ac:dyDescent="0.2">
      <c r="A14" s="18">
        <f t="shared" ca="1" si="4"/>
        <v>21</v>
      </c>
      <c r="B14" s="24">
        <f t="shared" ca="1" si="0"/>
        <v>0.28730140064589299</v>
      </c>
      <c r="C14" s="23">
        <f t="shared" ca="1" si="1"/>
        <v>5738.2983934390068</v>
      </c>
      <c r="E14" s="18">
        <f t="shared" ca="1" si="5"/>
        <v>121</v>
      </c>
      <c r="F14" s="24">
        <f t="shared" ca="1" si="2"/>
        <v>4.9242675132508475</v>
      </c>
      <c r="G14" s="23">
        <f t="shared" ca="1" si="3"/>
        <v>5379.4470391750665</v>
      </c>
      <c r="I14" s="4">
        <v>7</v>
      </c>
      <c r="R14" s="19"/>
      <c r="S14" s="23"/>
      <c r="U14" s="23"/>
      <c r="W14" s="25" t="s">
        <v>30</v>
      </c>
      <c r="X14" s="23"/>
      <c r="AA14" s="18"/>
      <c r="AC14" s="10">
        <v>6000</v>
      </c>
      <c r="AF14" s="23"/>
      <c r="AH14" s="25" t="s">
        <v>30</v>
      </c>
      <c r="AI14" s="23"/>
      <c r="AL14" s="18"/>
    </row>
    <row r="15" spans="1:39" x14ac:dyDescent="0.2">
      <c r="A15" s="18">
        <f t="shared" ca="1" si="4"/>
        <v>11</v>
      </c>
      <c r="B15" s="24">
        <f t="shared" ca="1" si="0"/>
        <v>4.8890164803129901</v>
      </c>
      <c r="C15" s="23">
        <f t="shared" ca="1" si="1"/>
        <v>3230.1907857596816</v>
      </c>
      <c r="E15" s="18">
        <f t="shared" ca="1" si="5"/>
        <v>198</v>
      </c>
      <c r="F15" s="24">
        <f t="shared" ca="1" si="2"/>
        <v>7.525936333997592</v>
      </c>
      <c r="G15" s="23">
        <f t="shared" ca="1" si="3"/>
        <v>8810.7391949038883</v>
      </c>
      <c r="I15" s="4">
        <v>8</v>
      </c>
      <c r="R15" s="19"/>
      <c r="S15" s="23"/>
      <c r="U15" s="23"/>
      <c r="AA15" s="18"/>
      <c r="AC15" s="10">
        <v>7000</v>
      </c>
      <c r="AF15" s="23"/>
      <c r="AL15" s="18"/>
    </row>
    <row r="16" spans="1:39" ht="13.5" thickBot="1" x14ac:dyDescent="0.25">
      <c r="A16" s="18">
        <f t="shared" ca="1" si="4"/>
        <v>29</v>
      </c>
      <c r="B16" s="24">
        <f t="shared" ca="1" si="0"/>
        <v>9.6700977608401093</v>
      </c>
      <c r="C16" s="23">
        <f t="shared" ca="1" si="1"/>
        <v>5240.3827577613456</v>
      </c>
      <c r="E16" s="18">
        <f t="shared" ca="1" si="5"/>
        <v>137</v>
      </c>
      <c r="F16" s="24">
        <f t="shared" ca="1" si="2"/>
        <v>0.82936118236748424</v>
      </c>
      <c r="G16" s="23">
        <f t="shared" ca="1" si="3"/>
        <v>3030.4287878664127</v>
      </c>
      <c r="I16" s="4">
        <v>9</v>
      </c>
      <c r="R16" s="19"/>
      <c r="S16" s="23"/>
      <c r="U16" s="23"/>
      <c r="AA16" s="18"/>
      <c r="AC16" s="10">
        <v>8000</v>
      </c>
      <c r="AF16" s="23"/>
      <c r="AL16" s="18"/>
    </row>
    <row r="17" spans="1:38" x14ac:dyDescent="0.2">
      <c r="A17" s="18">
        <f t="shared" ca="1" si="4"/>
        <v>57</v>
      </c>
      <c r="B17" s="24">
        <f t="shared" ca="1" si="0"/>
        <v>6.1886942813581767</v>
      </c>
      <c r="C17" s="23">
        <f t="shared" ca="1" si="1"/>
        <v>19103.854266864706</v>
      </c>
      <c r="E17" s="18">
        <f t="shared" ca="1" si="5"/>
        <v>184</v>
      </c>
      <c r="F17" s="24">
        <f t="shared" ca="1" si="2"/>
        <v>13.746491650811786</v>
      </c>
      <c r="G17" s="23">
        <f t="shared" ca="1" si="3"/>
        <v>14159.687276564517</v>
      </c>
      <c r="I17" s="4">
        <v>10</v>
      </c>
      <c r="R17" s="19"/>
      <c r="S17" s="23"/>
      <c r="U17" s="23"/>
      <c r="W17" s="1" t="s">
        <v>28</v>
      </c>
      <c r="X17" s="27"/>
      <c r="Y17" s="27"/>
      <c r="AA17" s="18"/>
      <c r="AC17" s="10">
        <v>9000</v>
      </c>
      <c r="AF17" s="23"/>
      <c r="AH17" s="1" t="s">
        <v>39</v>
      </c>
      <c r="AI17" s="27"/>
      <c r="AJ17" s="27"/>
      <c r="AL17" s="18"/>
    </row>
    <row r="18" spans="1:38" x14ac:dyDescent="0.2">
      <c r="A18" s="18">
        <f t="shared" ca="1" si="4"/>
        <v>38</v>
      </c>
      <c r="B18" s="24">
        <f t="shared" ca="1" si="0"/>
        <v>8.5633725581160238</v>
      </c>
      <c r="C18" s="23">
        <f t="shared" ca="1" si="1"/>
        <v>3994.5465030110922</v>
      </c>
      <c r="E18" s="18">
        <f t="shared" ca="1" si="5"/>
        <v>160</v>
      </c>
      <c r="F18" s="24">
        <f t="shared" ca="1" si="2"/>
        <v>4.9599054994955765</v>
      </c>
      <c r="G18" s="23">
        <f t="shared" ca="1" si="3"/>
        <v>8413.9772192203091</v>
      </c>
      <c r="I18" s="4">
        <v>11</v>
      </c>
      <c r="R18" s="19"/>
      <c r="S18" s="23"/>
      <c r="U18" s="23"/>
      <c r="W18" s="10">
        <v>-20000</v>
      </c>
      <c r="X18" s="10"/>
      <c r="Y18" s="17"/>
      <c r="AA18" s="18"/>
      <c r="AC18" s="10">
        <v>10000</v>
      </c>
      <c r="AF18" s="23"/>
      <c r="AH18" s="4">
        <v>-10000</v>
      </c>
      <c r="AI18" s="16"/>
      <c r="AJ18" s="17"/>
      <c r="AL18" s="18"/>
    </row>
    <row r="19" spans="1:38" x14ac:dyDescent="0.2">
      <c r="A19" s="18">
        <f t="shared" ca="1" si="4"/>
        <v>27</v>
      </c>
      <c r="B19" s="24">
        <f t="shared" ca="1" si="0"/>
        <v>5.8440592010313779</v>
      </c>
      <c r="C19" s="23">
        <f t="shared" ca="1" si="1"/>
        <v>3219.0176474616469</v>
      </c>
      <c r="E19" s="18">
        <f t="shared" ca="1" si="5"/>
        <v>127</v>
      </c>
      <c r="F19" s="24">
        <f t="shared" ca="1" si="2"/>
        <v>5.8625038404747096</v>
      </c>
      <c r="G19" s="23">
        <f t="shared" ca="1" si="3"/>
        <v>9938.7644492985546</v>
      </c>
      <c r="I19" s="4">
        <v>12</v>
      </c>
      <c r="R19" s="19"/>
      <c r="S19" s="23"/>
      <c r="U19" s="23"/>
      <c r="W19" s="10">
        <v>-18000</v>
      </c>
      <c r="X19" s="10"/>
      <c r="Y19" s="17"/>
      <c r="AA19" s="18"/>
      <c r="AC19" s="10">
        <v>11000</v>
      </c>
      <c r="AF19" s="23"/>
      <c r="AH19" s="4">
        <v>-9000</v>
      </c>
      <c r="AI19" s="16"/>
      <c r="AJ19" s="17"/>
      <c r="AL19" s="18"/>
    </row>
    <row r="20" spans="1:38" x14ac:dyDescent="0.2">
      <c r="A20" s="18">
        <f t="shared" ca="1" si="4"/>
        <v>100</v>
      </c>
      <c r="B20" s="24">
        <f t="shared" ca="1" si="0"/>
        <v>4.5831588303784203</v>
      </c>
      <c r="C20" s="23">
        <f t="shared" ca="1" si="1"/>
        <v>3620.3411528704773</v>
      </c>
      <c r="E20" s="18">
        <f t="shared" ca="1" si="5"/>
        <v>178</v>
      </c>
      <c r="F20" s="24">
        <f t="shared" ca="1" si="2"/>
        <v>5.6182774859069955</v>
      </c>
      <c r="G20" s="23">
        <f t="shared" ca="1" si="3"/>
        <v>7311.8574149302749</v>
      </c>
      <c r="I20" s="4">
        <v>13</v>
      </c>
      <c r="R20" s="19"/>
      <c r="S20" s="23"/>
      <c r="U20" s="23"/>
      <c r="W20" s="10">
        <v>-16000</v>
      </c>
      <c r="X20" s="10"/>
      <c r="Y20" s="17"/>
      <c r="AA20" s="18"/>
      <c r="AC20" s="10">
        <v>12000</v>
      </c>
      <c r="AF20" s="23"/>
      <c r="AH20" s="4">
        <v>-8000</v>
      </c>
      <c r="AI20" s="16"/>
      <c r="AJ20" s="17"/>
      <c r="AL20" s="18"/>
    </row>
    <row r="21" spans="1:38" x14ac:dyDescent="0.2">
      <c r="A21" s="18">
        <f t="shared" ca="1" si="4"/>
        <v>3</v>
      </c>
      <c r="B21" s="24">
        <f t="shared" ca="1" si="0"/>
        <v>11.051414633832911</v>
      </c>
      <c r="C21" s="23">
        <f t="shared" ca="1" si="1"/>
        <v>5786.2548009459551</v>
      </c>
      <c r="E21" s="18">
        <f t="shared" ca="1" si="5"/>
        <v>200</v>
      </c>
      <c r="F21" s="24">
        <f t="shared" ca="1" si="2"/>
        <v>0.87465481266400336</v>
      </c>
      <c r="G21" s="23">
        <f t="shared" ca="1" si="3"/>
        <v>1231.1721264412508</v>
      </c>
      <c r="I21" s="4">
        <v>14</v>
      </c>
      <c r="R21" s="19"/>
      <c r="S21" s="23"/>
      <c r="U21" s="23"/>
      <c r="W21" s="10">
        <v>-14000</v>
      </c>
      <c r="X21" s="10"/>
      <c r="Y21" s="17"/>
      <c r="AA21" s="18"/>
      <c r="AC21" s="10">
        <v>13000</v>
      </c>
      <c r="AF21" s="23"/>
      <c r="AH21" s="4">
        <v>-7000</v>
      </c>
      <c r="AI21" s="16"/>
      <c r="AJ21" s="17"/>
      <c r="AL21" s="18"/>
    </row>
    <row r="22" spans="1:38" x14ac:dyDescent="0.2">
      <c r="A22" s="18">
        <f t="shared" ca="1" si="4"/>
        <v>44</v>
      </c>
      <c r="B22" s="24">
        <f t="shared" ca="1" si="0"/>
        <v>1.6685108258472681</v>
      </c>
      <c r="C22" s="23">
        <f t="shared" ca="1" si="1"/>
        <v>602.25129584288857</v>
      </c>
      <c r="E22" s="18">
        <f t="shared" ca="1" si="5"/>
        <v>146</v>
      </c>
      <c r="F22" s="24">
        <f t="shared" ca="1" si="2"/>
        <v>6.0660305798288423</v>
      </c>
      <c r="G22" s="23">
        <f t="shared" ca="1" si="3"/>
        <v>5980.894830754145</v>
      </c>
      <c r="I22" s="4">
        <v>15</v>
      </c>
      <c r="R22" s="19"/>
      <c r="S22" s="23"/>
      <c r="U22" s="23"/>
      <c r="W22" s="10">
        <v>-12000</v>
      </c>
      <c r="X22" s="10"/>
      <c r="Y22" s="17"/>
      <c r="AA22" s="18"/>
      <c r="AC22" s="10">
        <v>14000</v>
      </c>
      <c r="AF22" s="23"/>
      <c r="AH22" s="4">
        <v>-6000</v>
      </c>
      <c r="AI22" s="16"/>
      <c r="AJ22" s="17"/>
      <c r="AL22" s="18"/>
    </row>
    <row r="23" spans="1:38" x14ac:dyDescent="0.2">
      <c r="A23" s="18">
        <f t="shared" ca="1" si="4"/>
        <v>15</v>
      </c>
      <c r="B23" s="24">
        <f t="shared" ca="1" si="0"/>
        <v>3.9034690704966</v>
      </c>
      <c r="C23" s="23">
        <f t="shared" ca="1" si="1"/>
        <v>3228.510418855466</v>
      </c>
      <c r="E23" s="18">
        <f t="shared" ca="1" si="5"/>
        <v>136</v>
      </c>
      <c r="F23" s="24">
        <f t="shared" ca="1" si="2"/>
        <v>6.4306106184020146</v>
      </c>
      <c r="G23" s="23">
        <f t="shared" ca="1" si="3"/>
        <v>6628.6815629440734</v>
      </c>
      <c r="I23" s="4">
        <v>16</v>
      </c>
      <c r="R23" s="19"/>
      <c r="S23" s="23"/>
      <c r="U23" s="23"/>
      <c r="W23" s="10">
        <v>-10000</v>
      </c>
      <c r="X23" s="10"/>
      <c r="Y23" s="17"/>
      <c r="AA23" s="18"/>
      <c r="AC23" s="10">
        <v>15000</v>
      </c>
      <c r="AF23" s="23"/>
      <c r="AH23" s="4">
        <v>-5000</v>
      </c>
      <c r="AI23" s="16"/>
      <c r="AJ23" s="17"/>
      <c r="AL23" s="18"/>
    </row>
    <row r="24" spans="1:38" x14ac:dyDescent="0.2">
      <c r="A24" s="18">
        <f t="shared" ca="1" si="4"/>
        <v>94</v>
      </c>
      <c r="B24" s="24">
        <f t="shared" ca="1" si="0"/>
        <v>6.0363700869362384</v>
      </c>
      <c r="C24" s="23">
        <f t="shared" ca="1" si="1"/>
        <v>7500.0210888805523</v>
      </c>
      <c r="E24" s="18">
        <f t="shared" ca="1" si="5"/>
        <v>148</v>
      </c>
      <c r="F24" s="24">
        <f t="shared" ca="1" si="2"/>
        <v>0.83913410236726871</v>
      </c>
      <c r="G24" s="23">
        <f t="shared" ca="1" si="3"/>
        <v>2774.8563919978606</v>
      </c>
      <c r="I24" s="4">
        <v>17</v>
      </c>
      <c r="R24" s="19"/>
      <c r="S24" s="23"/>
      <c r="U24" s="23"/>
      <c r="W24" s="10">
        <v>-8000</v>
      </c>
      <c r="X24" s="10"/>
      <c r="Y24" s="17"/>
      <c r="AA24" s="18"/>
      <c r="AC24" s="10">
        <v>16000</v>
      </c>
      <c r="AF24" s="23"/>
      <c r="AH24" s="4">
        <v>-4000</v>
      </c>
      <c r="AI24" s="16"/>
      <c r="AJ24" s="17"/>
      <c r="AL24" s="18"/>
    </row>
    <row r="25" spans="1:38" x14ac:dyDescent="0.2">
      <c r="A25" s="18">
        <f t="shared" ca="1" si="4"/>
        <v>14</v>
      </c>
      <c r="B25" s="24">
        <f t="shared" ca="1" si="0"/>
        <v>6.3183526617630488</v>
      </c>
      <c r="C25" s="23">
        <f t="shared" ca="1" si="1"/>
        <v>7685.2876759782257</v>
      </c>
      <c r="E25" s="18">
        <f t="shared" ca="1" si="5"/>
        <v>153</v>
      </c>
      <c r="F25" s="24">
        <f t="shared" ca="1" si="2"/>
        <v>9.5900746570098363</v>
      </c>
      <c r="G25" s="23">
        <f t="shared" ca="1" si="3"/>
        <v>20578.188752411486</v>
      </c>
      <c r="I25" s="4">
        <v>18</v>
      </c>
      <c r="R25" s="19"/>
      <c r="S25" s="23"/>
      <c r="U25" s="23"/>
      <c r="W25" s="10">
        <v>-6000</v>
      </c>
      <c r="X25" s="10"/>
      <c r="Y25" s="17"/>
      <c r="AA25" s="18"/>
      <c r="AC25" s="10">
        <v>17000</v>
      </c>
      <c r="AF25" s="23"/>
      <c r="AH25" s="4">
        <v>-3000</v>
      </c>
      <c r="AI25" s="16"/>
      <c r="AJ25" s="17"/>
      <c r="AL25" s="18"/>
    </row>
    <row r="26" spans="1:38" x14ac:dyDescent="0.2">
      <c r="A26" s="18">
        <f t="shared" ca="1" si="4"/>
        <v>98</v>
      </c>
      <c r="B26" s="24">
        <f t="shared" ca="1" si="0"/>
        <v>4.9401155185063335</v>
      </c>
      <c r="C26" s="23">
        <f t="shared" ca="1" si="1"/>
        <v>8692.0511302212963</v>
      </c>
      <c r="E26" s="18">
        <f t="shared" ca="1" si="5"/>
        <v>122</v>
      </c>
      <c r="F26" s="24">
        <f t="shared" ca="1" si="2"/>
        <v>1.5514953192979193</v>
      </c>
      <c r="G26" s="23">
        <f t="shared" ca="1" si="3"/>
        <v>9871.2068825291681</v>
      </c>
      <c r="I26" s="4">
        <v>19</v>
      </c>
      <c r="R26" s="19"/>
      <c r="S26" s="23"/>
      <c r="U26" s="23"/>
      <c r="W26" s="10">
        <v>-4000</v>
      </c>
      <c r="X26" s="10"/>
      <c r="Y26" s="17"/>
      <c r="AA26" s="18"/>
      <c r="AC26" s="10">
        <v>18000</v>
      </c>
      <c r="AF26" s="23"/>
      <c r="AH26" s="4">
        <v>-2000</v>
      </c>
      <c r="AI26" s="16"/>
      <c r="AJ26" s="17"/>
      <c r="AL26" s="18"/>
    </row>
    <row r="27" spans="1:38" x14ac:dyDescent="0.2">
      <c r="A27" s="18">
        <f t="shared" ca="1" si="4"/>
        <v>77</v>
      </c>
      <c r="B27" s="24">
        <f t="shared" ca="1" si="0"/>
        <v>11.324641211559015</v>
      </c>
      <c r="C27" s="23">
        <f t="shared" ca="1" si="1"/>
        <v>7634.6497425745356</v>
      </c>
      <c r="E27" s="18">
        <f t="shared" ca="1" si="5"/>
        <v>119</v>
      </c>
      <c r="F27" s="24">
        <f t="shared" ca="1" si="2"/>
        <v>13.630870919775116</v>
      </c>
      <c r="G27" s="23">
        <f t="shared" ca="1" si="3"/>
        <v>17970.13463327743</v>
      </c>
      <c r="I27" s="4">
        <v>20</v>
      </c>
      <c r="R27" s="19"/>
      <c r="S27" s="23"/>
      <c r="U27" s="23"/>
      <c r="W27" s="10">
        <v>-2000</v>
      </c>
      <c r="X27" s="10"/>
      <c r="Y27" s="17"/>
      <c r="AA27" s="18"/>
      <c r="AC27" s="10">
        <v>19000</v>
      </c>
      <c r="AF27" s="23"/>
      <c r="AH27" s="4">
        <v>-1000</v>
      </c>
      <c r="AI27" s="16"/>
      <c r="AJ27" s="17"/>
      <c r="AL27" s="18"/>
    </row>
    <row r="28" spans="1:38" x14ac:dyDescent="0.2">
      <c r="A28" s="18">
        <f t="shared" ca="1" si="4"/>
        <v>60</v>
      </c>
      <c r="B28" s="24">
        <f t="shared" ca="1" si="0"/>
        <v>8.556658275049541</v>
      </c>
      <c r="C28" s="23">
        <f t="shared" ca="1" si="1"/>
        <v>5474.3029521704211</v>
      </c>
      <c r="E28" s="18">
        <f t="shared" ca="1" si="5"/>
        <v>196</v>
      </c>
      <c r="F28" s="24">
        <f t="shared" ca="1" si="2"/>
        <v>7.5684831866174864</v>
      </c>
      <c r="G28" s="23">
        <f t="shared" ca="1" si="3"/>
        <v>13351.104313723808</v>
      </c>
      <c r="I28" s="4">
        <v>21</v>
      </c>
      <c r="R28" s="19"/>
      <c r="S28" s="23"/>
      <c r="U28" s="23"/>
      <c r="W28" s="10">
        <v>0</v>
      </c>
      <c r="X28" s="10"/>
      <c r="Y28" s="17"/>
      <c r="AA28" s="18"/>
      <c r="AC28" s="10">
        <v>20000</v>
      </c>
      <c r="AF28" s="23"/>
      <c r="AH28" s="4">
        <v>0</v>
      </c>
      <c r="AI28" s="16"/>
      <c r="AJ28" s="17"/>
      <c r="AL28" s="18"/>
    </row>
    <row r="29" spans="1:38" x14ac:dyDescent="0.2">
      <c r="A29" s="18">
        <f t="shared" ca="1" si="4"/>
        <v>96</v>
      </c>
      <c r="B29" s="24">
        <f t="shared" ca="1" si="0"/>
        <v>2.8831788314381996</v>
      </c>
      <c r="C29" s="23">
        <f t="shared" ca="1" si="1"/>
        <v>5197.4054467773885</v>
      </c>
      <c r="E29" s="18">
        <f t="shared" ca="1" si="5"/>
        <v>117</v>
      </c>
      <c r="F29" s="24">
        <f t="shared" ca="1" si="2"/>
        <v>9.9693945714417964</v>
      </c>
      <c r="G29" s="23">
        <f t="shared" ca="1" si="3"/>
        <v>9842.2889756341883</v>
      </c>
      <c r="I29" s="4">
        <v>22</v>
      </c>
      <c r="R29" s="19"/>
      <c r="S29" s="23"/>
      <c r="U29" s="23"/>
      <c r="W29" s="10">
        <v>2000</v>
      </c>
      <c r="X29" s="10"/>
      <c r="Y29" s="17"/>
      <c r="AA29" s="18"/>
      <c r="AC29" s="10">
        <v>21000</v>
      </c>
      <c r="AF29" s="23"/>
      <c r="AH29" s="4">
        <v>1000</v>
      </c>
      <c r="AI29" s="16"/>
      <c r="AJ29" s="17"/>
      <c r="AL29" s="18"/>
    </row>
    <row r="30" spans="1:38" x14ac:dyDescent="0.2">
      <c r="A30" s="18">
        <f t="shared" ca="1" si="4"/>
        <v>100</v>
      </c>
      <c r="B30" s="24">
        <f t="shared" ca="1" si="0"/>
        <v>4.5831588303784203</v>
      </c>
      <c r="C30" s="23">
        <f t="shared" ca="1" si="1"/>
        <v>3620.3411528704773</v>
      </c>
      <c r="E30" s="18">
        <f t="shared" ca="1" si="5"/>
        <v>169</v>
      </c>
      <c r="F30" s="24">
        <f t="shared" ca="1" si="2"/>
        <v>10.267770747788992</v>
      </c>
      <c r="G30" s="23">
        <f t="shared" ca="1" si="3"/>
        <v>10235.818361728061</v>
      </c>
      <c r="I30" s="4">
        <v>23</v>
      </c>
      <c r="R30" s="19"/>
      <c r="S30" s="23"/>
      <c r="U30" s="23"/>
      <c r="W30" s="10">
        <v>4000</v>
      </c>
      <c r="X30" s="10"/>
      <c r="Y30" s="17"/>
      <c r="AA30" s="18"/>
      <c r="AC30" s="10">
        <v>22000</v>
      </c>
      <c r="AF30" s="23"/>
      <c r="AH30" s="4">
        <v>2000</v>
      </c>
      <c r="AI30" s="16"/>
      <c r="AJ30" s="17"/>
      <c r="AL30" s="18"/>
    </row>
    <row r="31" spans="1:38" x14ac:dyDescent="0.2">
      <c r="A31" s="18">
        <f t="shared" ca="1" si="4"/>
        <v>35</v>
      </c>
      <c r="B31" s="24">
        <f t="shared" ca="1" si="0"/>
        <v>3.8029388332634952</v>
      </c>
      <c r="C31" s="23">
        <f t="shared" ca="1" si="1"/>
        <v>2782.0325658680358</v>
      </c>
      <c r="E31" s="18">
        <f t="shared" ca="1" si="5"/>
        <v>117</v>
      </c>
      <c r="F31" s="24">
        <f t="shared" ca="1" si="2"/>
        <v>9.9693945714417964</v>
      </c>
      <c r="G31" s="23">
        <f t="shared" ca="1" si="3"/>
        <v>9842.2889756341883</v>
      </c>
      <c r="I31" s="4">
        <v>24</v>
      </c>
      <c r="R31" s="19"/>
      <c r="S31" s="23"/>
      <c r="U31" s="23"/>
      <c r="W31" s="10">
        <v>6000</v>
      </c>
      <c r="X31" s="10"/>
      <c r="Y31" s="17"/>
      <c r="AA31" s="18"/>
      <c r="AC31" s="10">
        <v>23000</v>
      </c>
      <c r="AF31" s="23"/>
      <c r="AH31" s="4">
        <v>3000</v>
      </c>
      <c r="AI31" s="16"/>
      <c r="AJ31" s="17"/>
      <c r="AL31" s="18"/>
    </row>
    <row r="32" spans="1:38" x14ac:dyDescent="0.2">
      <c r="A32" s="18">
        <f t="shared" ca="1" si="4"/>
        <v>74</v>
      </c>
      <c r="B32" s="24">
        <f t="shared" ca="1" si="0"/>
        <v>5.1000716478753443</v>
      </c>
      <c r="C32" s="23">
        <f t="shared" ca="1" si="1"/>
        <v>3148.5436205703631</v>
      </c>
      <c r="E32" s="18">
        <f t="shared" ca="1" si="5"/>
        <v>110</v>
      </c>
      <c r="F32" s="24">
        <f t="shared" ca="1" si="2"/>
        <v>7.6391003260933426</v>
      </c>
      <c r="G32" s="23">
        <f t="shared" ca="1" si="3"/>
        <v>7567.6423426894135</v>
      </c>
      <c r="I32" s="4">
        <v>25</v>
      </c>
      <c r="R32" s="19"/>
      <c r="S32" s="23"/>
      <c r="U32" s="23"/>
      <c r="W32" s="10">
        <v>8000</v>
      </c>
      <c r="X32" s="10"/>
      <c r="Y32" s="17"/>
      <c r="AA32" s="18"/>
      <c r="AC32" s="10">
        <v>24000</v>
      </c>
      <c r="AF32" s="23"/>
      <c r="AH32" s="4">
        <v>4000</v>
      </c>
      <c r="AI32" s="16"/>
      <c r="AJ32" s="17"/>
      <c r="AL32" s="18"/>
    </row>
    <row r="33" spans="1:38" x14ac:dyDescent="0.2">
      <c r="A33" s="18">
        <f t="shared" ca="1" si="4"/>
        <v>37</v>
      </c>
      <c r="B33" s="24">
        <f t="shared" ca="1" si="0"/>
        <v>7.166424794919191</v>
      </c>
      <c r="C33" s="23">
        <f t="shared" ca="1" si="1"/>
        <v>5545.6060821818564</v>
      </c>
      <c r="E33" s="18">
        <f t="shared" ca="1" si="5"/>
        <v>141</v>
      </c>
      <c r="F33" s="24">
        <f t="shared" ca="1" si="2"/>
        <v>10.279561770903793</v>
      </c>
      <c r="G33" s="23">
        <f t="shared" ca="1" si="3"/>
        <v>10257.108135735336</v>
      </c>
      <c r="I33" s="4">
        <v>26</v>
      </c>
      <c r="R33" s="19"/>
      <c r="S33" s="23"/>
      <c r="U33" s="23"/>
      <c r="W33" s="10">
        <v>10000</v>
      </c>
      <c r="X33" s="10"/>
      <c r="Y33" s="17"/>
      <c r="AA33" s="18"/>
      <c r="AC33" s="10">
        <v>25000</v>
      </c>
      <c r="AF33" s="23"/>
      <c r="AH33" s="4">
        <v>5000</v>
      </c>
      <c r="AI33" s="16"/>
      <c r="AJ33" s="17"/>
      <c r="AL33" s="18"/>
    </row>
    <row r="34" spans="1:38" x14ac:dyDescent="0.2">
      <c r="A34" s="18">
        <f t="shared" ca="1" si="4"/>
        <v>85</v>
      </c>
      <c r="B34" s="24">
        <f t="shared" ca="1" si="0"/>
        <v>10.948090740498266</v>
      </c>
      <c r="C34" s="23">
        <f t="shared" ca="1" si="1"/>
        <v>9027.9218998747128</v>
      </c>
      <c r="E34" s="18">
        <f t="shared" ca="1" si="5"/>
        <v>184</v>
      </c>
      <c r="F34" s="24">
        <f t="shared" ca="1" si="2"/>
        <v>13.746491650811786</v>
      </c>
      <c r="G34" s="23">
        <f t="shared" ca="1" si="3"/>
        <v>14159.687276564517</v>
      </c>
      <c r="I34" s="4">
        <v>27</v>
      </c>
      <c r="R34" s="19"/>
      <c r="S34" s="23"/>
      <c r="U34" s="23"/>
      <c r="W34" s="10">
        <v>12000</v>
      </c>
      <c r="X34" s="10"/>
      <c r="Y34" s="17"/>
      <c r="AA34" s="18"/>
      <c r="AC34" s="10">
        <v>26000</v>
      </c>
      <c r="AF34" s="23"/>
      <c r="AH34" s="4">
        <v>6000</v>
      </c>
      <c r="AI34" s="16"/>
      <c r="AJ34" s="17"/>
      <c r="AL34" s="18"/>
    </row>
    <row r="35" spans="1:38" x14ac:dyDescent="0.2">
      <c r="A35" s="18">
        <f t="shared" ca="1" si="4"/>
        <v>88</v>
      </c>
      <c r="B35" s="24">
        <f t="shared" ca="1" si="0"/>
        <v>0.62931492176215387</v>
      </c>
      <c r="C35" s="23">
        <f t="shared" ca="1" si="1"/>
        <v>3964.2959787645282</v>
      </c>
      <c r="E35" s="18">
        <f t="shared" ca="1" si="5"/>
        <v>195</v>
      </c>
      <c r="F35" s="24">
        <f t="shared" ca="1" si="2"/>
        <v>5.177889150290313</v>
      </c>
      <c r="G35" s="23">
        <f t="shared" ca="1" si="3"/>
        <v>8633.0328871896327</v>
      </c>
      <c r="I35" s="4">
        <v>28</v>
      </c>
      <c r="R35" s="19"/>
      <c r="S35" s="23"/>
      <c r="U35" s="23"/>
      <c r="W35" s="10">
        <v>14000</v>
      </c>
      <c r="X35" s="10"/>
      <c r="Y35" s="17"/>
      <c r="AA35" s="18"/>
      <c r="AC35" s="10">
        <v>27000</v>
      </c>
      <c r="AF35" s="23"/>
      <c r="AH35" s="4">
        <v>7000</v>
      </c>
      <c r="AI35" s="16"/>
      <c r="AJ35" s="17"/>
      <c r="AL35" s="18"/>
    </row>
    <row r="36" spans="1:38" x14ac:dyDescent="0.2">
      <c r="A36" s="18">
        <f t="shared" ca="1" si="4"/>
        <v>22</v>
      </c>
      <c r="B36" s="24">
        <f t="shared" ca="1" si="0"/>
        <v>2.9395774234965528</v>
      </c>
      <c r="C36" s="23">
        <f t="shared" ca="1" si="1"/>
        <v>1482.4737602283785</v>
      </c>
      <c r="E36" s="18">
        <f t="shared" ca="1" si="5"/>
        <v>190</v>
      </c>
      <c r="F36" s="24">
        <f t="shared" ca="1" si="2"/>
        <v>7.2824680559788755</v>
      </c>
      <c r="G36" s="23">
        <f t="shared" ca="1" si="3"/>
        <v>7263.2445755410354</v>
      </c>
      <c r="I36" s="4">
        <v>29</v>
      </c>
      <c r="R36" s="19"/>
      <c r="S36" s="23"/>
      <c r="U36" s="23"/>
      <c r="W36" s="10">
        <v>16000</v>
      </c>
      <c r="X36" s="10"/>
      <c r="Y36" s="17"/>
      <c r="AA36" s="18"/>
      <c r="AC36" s="10">
        <v>28000</v>
      </c>
      <c r="AF36" s="23"/>
      <c r="AH36" s="4">
        <v>8000</v>
      </c>
      <c r="AI36" s="16"/>
      <c r="AJ36" s="17"/>
      <c r="AL36" s="18"/>
    </row>
    <row r="37" spans="1:38" x14ac:dyDescent="0.2">
      <c r="A37" s="18">
        <f t="shared" ca="1" si="4"/>
        <v>70</v>
      </c>
      <c r="B37" s="24">
        <f t="shared" ca="1" si="0"/>
        <v>5.0987030855427982</v>
      </c>
      <c r="C37" s="23">
        <f t="shared" ca="1" si="1"/>
        <v>3069.3455650077635</v>
      </c>
      <c r="E37" s="18">
        <f t="shared" ca="1" si="5"/>
        <v>120</v>
      </c>
      <c r="F37" s="24">
        <f t="shared" ca="1" si="2"/>
        <v>10.776690243020884</v>
      </c>
      <c r="G37" s="23">
        <f t="shared" ca="1" si="3"/>
        <v>20972.192961268287</v>
      </c>
      <c r="I37" s="4">
        <v>30</v>
      </c>
      <c r="R37" s="19"/>
      <c r="S37" s="23"/>
      <c r="U37" s="23"/>
      <c r="W37" s="10">
        <v>18000</v>
      </c>
      <c r="X37" s="10"/>
      <c r="Y37" s="17"/>
      <c r="AA37" s="18"/>
      <c r="AC37" s="10">
        <v>29000</v>
      </c>
      <c r="AF37" s="23"/>
      <c r="AH37" s="4">
        <v>9000</v>
      </c>
      <c r="AI37" s="16"/>
      <c r="AJ37" s="17"/>
      <c r="AL37" s="18"/>
    </row>
    <row r="38" spans="1:38" x14ac:dyDescent="0.2">
      <c r="A38" s="18">
        <f t="shared" ca="1" si="4"/>
        <v>49</v>
      </c>
      <c r="B38" s="24">
        <f t="shared" ca="1" si="0"/>
        <v>0.6142652573618721</v>
      </c>
      <c r="C38" s="23">
        <f t="shared" ca="1" si="1"/>
        <v>347.93008219028383</v>
      </c>
      <c r="E38" s="18">
        <f t="shared" ca="1" si="5"/>
        <v>151</v>
      </c>
      <c r="F38" s="24">
        <f t="shared" ca="1" si="2"/>
        <v>8.6927177360316286</v>
      </c>
      <c r="G38" s="23">
        <f t="shared" ca="1" si="3"/>
        <v>12546.619338955159</v>
      </c>
      <c r="I38" s="4">
        <v>31</v>
      </c>
      <c r="R38" s="19"/>
      <c r="S38" s="23"/>
      <c r="U38" s="23"/>
      <c r="W38" s="10">
        <v>20000</v>
      </c>
      <c r="X38" s="10"/>
      <c r="Y38" s="17"/>
      <c r="AA38" s="18"/>
      <c r="AC38" s="10">
        <v>30000</v>
      </c>
      <c r="AF38" s="23"/>
      <c r="AH38" s="4">
        <v>10000</v>
      </c>
      <c r="AI38" s="16"/>
      <c r="AJ38" s="17"/>
      <c r="AL38" s="18"/>
    </row>
    <row r="39" spans="1:38" x14ac:dyDescent="0.2">
      <c r="A39" s="18">
        <f t="shared" ca="1" si="4"/>
        <v>54</v>
      </c>
      <c r="B39" s="24">
        <f t="shared" ca="1" si="0"/>
        <v>5.4543160134070146</v>
      </c>
      <c r="C39" s="23">
        <f t="shared" ca="1" si="1"/>
        <v>4426.2361922328437</v>
      </c>
      <c r="E39" s="18">
        <f t="shared" ca="1" si="5"/>
        <v>106</v>
      </c>
      <c r="F39" s="24">
        <f t="shared" ca="1" si="2"/>
        <v>4.5853215109917471</v>
      </c>
      <c r="G39" s="23">
        <f t="shared" ca="1" si="3"/>
        <v>6029.6450313752912</v>
      </c>
      <c r="I39" s="4">
        <v>32</v>
      </c>
      <c r="R39" s="19"/>
      <c r="S39" s="23"/>
      <c r="U39" s="23"/>
      <c r="W39" s="10">
        <v>22000</v>
      </c>
      <c r="X39" s="10"/>
      <c r="Y39" s="17"/>
      <c r="AA39" s="18"/>
      <c r="AC39" s="10">
        <v>31000</v>
      </c>
      <c r="AF39" s="23"/>
      <c r="AH39" s="4">
        <v>11000</v>
      </c>
      <c r="AI39" s="16"/>
      <c r="AJ39" s="17"/>
      <c r="AL39" s="18"/>
    </row>
    <row r="40" spans="1:38" x14ac:dyDescent="0.2">
      <c r="A40" s="18">
        <f t="shared" ca="1" si="4"/>
        <v>92</v>
      </c>
      <c r="B40" s="24">
        <f t="shared" ref="B40:B71" ca="1" si="6">VLOOKUP(A40,control,2,FALSE)</f>
        <v>5.3925770713520773</v>
      </c>
      <c r="C40" s="23">
        <f t="shared" ref="C40:C71" ca="1" si="7">VLOOKUP(A40,control,3,FALSE)</f>
        <v>14707.58675871268</v>
      </c>
      <c r="E40" s="18">
        <f t="shared" ca="1" si="5"/>
        <v>113</v>
      </c>
      <c r="F40" s="24">
        <f t="shared" ref="F40:F71" ca="1" si="8">VLOOKUP(E40,treatment,2,FALSE)</f>
        <v>13.197781054869752</v>
      </c>
      <c r="G40" s="23">
        <f t="shared" ref="G40:G71" ca="1" si="9">VLOOKUP(E40,treatment,3,FALSE)</f>
        <v>12882.237819428197</v>
      </c>
      <c r="I40" s="4">
        <v>33</v>
      </c>
      <c r="R40" s="19"/>
      <c r="S40" s="23"/>
      <c r="U40" s="23"/>
      <c r="W40" s="10">
        <v>24000</v>
      </c>
      <c r="X40" s="10"/>
      <c r="Y40" s="17"/>
      <c r="AA40" s="18"/>
      <c r="AC40" s="10">
        <v>32000</v>
      </c>
      <c r="AF40" s="23"/>
      <c r="AH40" s="4">
        <v>12000</v>
      </c>
      <c r="AI40" s="16"/>
      <c r="AJ40" s="17"/>
      <c r="AL40" s="18"/>
    </row>
    <row r="41" spans="1:38" x14ac:dyDescent="0.2">
      <c r="A41" s="18">
        <f t="shared" ca="1" si="4"/>
        <v>48</v>
      </c>
      <c r="B41" s="24">
        <f t="shared" ca="1" si="6"/>
        <v>9.4943707713147845</v>
      </c>
      <c r="C41" s="23">
        <f t="shared" ca="1" si="7"/>
        <v>5666.3726412140259</v>
      </c>
      <c r="E41" s="18">
        <f t="shared" ca="1" si="5"/>
        <v>107</v>
      </c>
      <c r="F41" s="24">
        <f t="shared" ca="1" si="8"/>
        <v>1.0783183246014647</v>
      </c>
      <c r="G41" s="23">
        <f t="shared" ca="1" si="9"/>
        <v>6136.0462522919515</v>
      </c>
      <c r="I41" s="4">
        <v>34</v>
      </c>
      <c r="R41" s="19"/>
      <c r="S41" s="23"/>
      <c r="U41" s="23"/>
      <c r="W41" s="10">
        <v>26000</v>
      </c>
      <c r="X41" s="10"/>
      <c r="Y41" s="17"/>
      <c r="AA41" s="18"/>
      <c r="AC41" s="10">
        <v>33000</v>
      </c>
      <c r="AF41" s="23"/>
      <c r="AH41" s="4">
        <v>13000</v>
      </c>
      <c r="AI41" s="16"/>
      <c r="AJ41" s="17"/>
      <c r="AL41" s="18"/>
    </row>
    <row r="42" spans="1:38" x14ac:dyDescent="0.2">
      <c r="A42" s="18">
        <f t="shared" ca="1" si="4"/>
        <v>53</v>
      </c>
      <c r="B42" s="24">
        <f t="shared" ca="1" si="6"/>
        <v>1.4811863849776941</v>
      </c>
      <c r="C42" s="23">
        <f t="shared" ca="1" si="7"/>
        <v>1227.6615437135929</v>
      </c>
      <c r="E42" s="18">
        <f t="shared" ca="1" si="5"/>
        <v>165</v>
      </c>
      <c r="F42" s="24">
        <f t="shared" ca="1" si="8"/>
        <v>13.938144354711699</v>
      </c>
      <c r="G42" s="23">
        <f t="shared" ca="1" si="9"/>
        <v>13338.147569751027</v>
      </c>
      <c r="I42" s="4">
        <v>35</v>
      </c>
      <c r="R42" s="19"/>
      <c r="S42" s="23"/>
      <c r="U42" s="23"/>
      <c r="W42" s="10">
        <v>28000</v>
      </c>
      <c r="X42" s="10"/>
      <c r="Y42" s="17"/>
      <c r="AA42" s="18"/>
      <c r="AC42" s="10">
        <v>34000</v>
      </c>
      <c r="AF42" s="23"/>
      <c r="AH42" s="4">
        <v>14000</v>
      </c>
      <c r="AI42" s="16"/>
      <c r="AJ42" s="17"/>
      <c r="AL42" s="18"/>
    </row>
    <row r="43" spans="1:38" x14ac:dyDescent="0.2">
      <c r="A43" s="18">
        <f t="shared" ca="1" si="4"/>
        <v>45</v>
      </c>
      <c r="B43" s="24">
        <f t="shared" ca="1" si="6"/>
        <v>5.2658437278400312</v>
      </c>
      <c r="C43" s="23">
        <f t="shared" ca="1" si="7"/>
        <v>5607.4193936362153</v>
      </c>
      <c r="E43" s="18">
        <f t="shared" ca="1" si="5"/>
        <v>178</v>
      </c>
      <c r="F43" s="24">
        <f t="shared" ca="1" si="8"/>
        <v>5.6182774859069955</v>
      </c>
      <c r="G43" s="23">
        <f t="shared" ca="1" si="9"/>
        <v>7311.8574149302749</v>
      </c>
      <c r="I43" s="4">
        <v>36</v>
      </c>
      <c r="R43" s="19"/>
      <c r="S43" s="23"/>
      <c r="U43" s="23"/>
      <c r="W43" s="10">
        <v>30000</v>
      </c>
      <c r="X43" s="10"/>
      <c r="Y43" s="17"/>
      <c r="AA43" s="18"/>
      <c r="AC43" s="10">
        <v>35000</v>
      </c>
      <c r="AF43" s="23"/>
      <c r="AH43" s="4">
        <v>15000</v>
      </c>
      <c r="AI43" s="16"/>
      <c r="AJ43" s="17"/>
      <c r="AL43" s="18"/>
    </row>
    <row r="44" spans="1:38" x14ac:dyDescent="0.2">
      <c r="A44" s="18">
        <f t="shared" ca="1" si="4"/>
        <v>17</v>
      </c>
      <c r="B44" s="24">
        <f t="shared" ca="1" si="6"/>
        <v>2.3804591266808512</v>
      </c>
      <c r="C44" s="23">
        <f t="shared" ca="1" si="7"/>
        <v>1547.3076696579021</v>
      </c>
      <c r="E44" s="18">
        <f t="shared" ca="1" si="5"/>
        <v>157</v>
      </c>
      <c r="F44" s="24">
        <f t="shared" ca="1" si="8"/>
        <v>4.7677875830079914</v>
      </c>
      <c r="G44" s="23">
        <f t="shared" ca="1" si="9"/>
        <v>6677.8176051740083</v>
      </c>
      <c r="I44" s="4">
        <v>37</v>
      </c>
      <c r="R44" s="19"/>
      <c r="S44" s="23"/>
      <c r="U44" s="23"/>
      <c r="W44" s="10">
        <v>32000</v>
      </c>
      <c r="X44" s="10"/>
      <c r="Y44" s="17"/>
      <c r="AA44" s="18"/>
      <c r="AC44" s="10">
        <v>36000</v>
      </c>
      <c r="AF44" s="23"/>
      <c r="AH44" s="4">
        <v>16000</v>
      </c>
      <c r="AI44" s="16"/>
      <c r="AJ44" s="17"/>
      <c r="AL44" s="18"/>
    </row>
    <row r="45" spans="1:38" x14ac:dyDescent="0.2">
      <c r="A45" s="18">
        <f t="shared" ca="1" si="4"/>
        <v>50</v>
      </c>
      <c r="B45" s="24">
        <f t="shared" ca="1" si="6"/>
        <v>7.1365385198688571</v>
      </c>
      <c r="C45" s="23">
        <f t="shared" ca="1" si="7"/>
        <v>5198.5565806135983</v>
      </c>
      <c r="E45" s="18">
        <f t="shared" ca="1" si="5"/>
        <v>115</v>
      </c>
      <c r="F45" s="24">
        <f t="shared" ca="1" si="8"/>
        <v>8.2341033909470696</v>
      </c>
      <c r="G45" s="23">
        <f t="shared" ca="1" si="9"/>
        <v>15783.230279664196</v>
      </c>
      <c r="I45" s="4">
        <v>38</v>
      </c>
      <c r="R45" s="19"/>
      <c r="S45" s="23"/>
      <c r="U45" s="23"/>
      <c r="W45" s="10">
        <v>34000</v>
      </c>
      <c r="X45" s="10"/>
      <c r="Y45" s="17"/>
      <c r="AA45" s="18"/>
      <c r="AC45" s="10">
        <v>37000</v>
      </c>
      <c r="AF45" s="23"/>
      <c r="AH45" s="4">
        <v>17000</v>
      </c>
      <c r="AI45" s="16"/>
      <c r="AJ45" s="17"/>
      <c r="AL45" s="18"/>
    </row>
    <row r="46" spans="1:38" x14ac:dyDescent="0.2">
      <c r="A46" s="18">
        <f t="shared" ca="1" si="4"/>
        <v>26</v>
      </c>
      <c r="B46" s="24">
        <f t="shared" ca="1" si="6"/>
        <v>5.1525255897525506</v>
      </c>
      <c r="C46" s="23">
        <f t="shared" ca="1" si="7"/>
        <v>3217.5851790241977</v>
      </c>
      <c r="E46" s="18">
        <f t="shared" ca="1" si="5"/>
        <v>168</v>
      </c>
      <c r="F46" s="24">
        <f t="shared" ca="1" si="8"/>
        <v>0.36194893791251592</v>
      </c>
      <c r="G46" s="23">
        <f t="shared" ca="1" si="9"/>
        <v>4850.1512476503631</v>
      </c>
      <c r="I46" s="4">
        <v>39</v>
      </c>
      <c r="R46" s="19"/>
      <c r="S46" s="23"/>
      <c r="U46" s="23"/>
      <c r="W46" s="10">
        <v>36000</v>
      </c>
      <c r="X46" s="10"/>
      <c r="Y46" s="17"/>
      <c r="AA46" s="18"/>
      <c r="AC46" s="10">
        <v>38000</v>
      </c>
      <c r="AF46" s="23"/>
      <c r="AH46" s="4">
        <v>18000</v>
      </c>
      <c r="AI46" s="16"/>
      <c r="AJ46" s="17"/>
      <c r="AL46" s="18"/>
    </row>
    <row r="47" spans="1:38" x14ac:dyDescent="0.2">
      <c r="A47" s="18">
        <f t="shared" ca="1" si="4"/>
        <v>11</v>
      </c>
      <c r="B47" s="24">
        <f t="shared" ca="1" si="6"/>
        <v>4.8890164803129901</v>
      </c>
      <c r="C47" s="23">
        <f t="shared" ca="1" si="7"/>
        <v>3230.1907857596816</v>
      </c>
      <c r="E47" s="18">
        <f t="shared" ca="1" si="5"/>
        <v>185</v>
      </c>
      <c r="F47" s="24">
        <f t="shared" ca="1" si="8"/>
        <v>4.3880452107411001</v>
      </c>
      <c r="G47" s="23">
        <f t="shared" ca="1" si="9"/>
        <v>6599.7752016007407</v>
      </c>
      <c r="I47" s="4">
        <v>40</v>
      </c>
      <c r="R47" s="19"/>
      <c r="S47" s="23"/>
      <c r="U47" s="23"/>
      <c r="W47" s="10">
        <v>38000</v>
      </c>
      <c r="X47" s="10"/>
      <c r="Y47" s="17"/>
      <c r="AA47" s="18"/>
      <c r="AC47" s="10">
        <v>39000</v>
      </c>
      <c r="AF47" s="23"/>
      <c r="AH47" s="4">
        <v>19000</v>
      </c>
      <c r="AI47" s="16"/>
      <c r="AJ47" s="17"/>
      <c r="AL47" s="18"/>
    </row>
    <row r="48" spans="1:38" x14ac:dyDescent="0.2">
      <c r="A48" s="18">
        <f t="shared" ca="1" si="4"/>
        <v>14</v>
      </c>
      <c r="B48" s="24">
        <f t="shared" ca="1" si="6"/>
        <v>6.3183526617630488</v>
      </c>
      <c r="C48" s="23">
        <f t="shared" ca="1" si="7"/>
        <v>7685.2876759782257</v>
      </c>
      <c r="E48" s="18">
        <f t="shared" ca="1" si="5"/>
        <v>188</v>
      </c>
      <c r="F48" s="24">
        <f t="shared" ca="1" si="8"/>
        <v>5.7583633342603848</v>
      </c>
      <c r="G48" s="23">
        <f t="shared" ca="1" si="9"/>
        <v>8471.1062642191937</v>
      </c>
      <c r="I48" s="4">
        <v>41</v>
      </c>
      <c r="R48" s="19"/>
      <c r="S48" s="23"/>
      <c r="U48" s="23"/>
      <c r="W48" s="10">
        <v>40000</v>
      </c>
      <c r="X48" s="10"/>
      <c r="Y48" s="17"/>
      <c r="AA48" s="18"/>
      <c r="AC48" s="10">
        <v>40000</v>
      </c>
      <c r="AF48" s="23"/>
      <c r="AH48" s="4">
        <v>20000</v>
      </c>
      <c r="AI48" s="16"/>
      <c r="AJ48" s="17"/>
      <c r="AL48" s="18"/>
    </row>
    <row r="49" spans="1:38" ht="13.5" thickBot="1" x14ac:dyDescent="0.25">
      <c r="A49" s="18">
        <f t="shared" ca="1" si="4"/>
        <v>66</v>
      </c>
      <c r="B49" s="24">
        <f t="shared" ca="1" si="6"/>
        <v>4.5890909370440784</v>
      </c>
      <c r="C49" s="23">
        <f t="shared" ca="1" si="7"/>
        <v>3985.5859304932392</v>
      </c>
      <c r="E49" s="18">
        <f t="shared" ca="1" si="5"/>
        <v>163</v>
      </c>
      <c r="F49" s="24">
        <f t="shared" ca="1" si="8"/>
        <v>6.2120762495952908</v>
      </c>
      <c r="G49" s="23">
        <f t="shared" ca="1" si="9"/>
        <v>7872.8021587178819</v>
      </c>
      <c r="I49" s="4">
        <v>42</v>
      </c>
      <c r="R49" s="19"/>
      <c r="S49" s="23"/>
      <c r="U49" s="23"/>
      <c r="W49" s="10">
        <v>42000</v>
      </c>
      <c r="X49" s="10"/>
      <c r="Y49" s="17"/>
      <c r="AA49" s="18"/>
      <c r="AC49" s="10">
        <v>41000</v>
      </c>
      <c r="AF49" s="23"/>
      <c r="AI49" s="26"/>
      <c r="AJ49" s="26"/>
      <c r="AL49" s="18"/>
    </row>
    <row r="50" spans="1:38" x14ac:dyDescent="0.2">
      <c r="A50" s="18">
        <f t="shared" ca="1" si="4"/>
        <v>22</v>
      </c>
      <c r="B50" s="24">
        <f t="shared" ca="1" si="6"/>
        <v>2.9395774234965528</v>
      </c>
      <c r="C50" s="23">
        <f t="shared" ca="1" si="7"/>
        <v>1482.4737602283785</v>
      </c>
      <c r="E50" s="18">
        <f t="shared" ca="1" si="5"/>
        <v>182</v>
      </c>
      <c r="F50" s="24">
        <f t="shared" ca="1" si="8"/>
        <v>6.8797872066389179</v>
      </c>
      <c r="G50" s="23">
        <f t="shared" ca="1" si="9"/>
        <v>6729.9170293805901</v>
      </c>
      <c r="I50" s="4">
        <v>43</v>
      </c>
      <c r="R50" s="19"/>
      <c r="S50" s="23"/>
      <c r="U50" s="23"/>
      <c r="W50" s="10">
        <v>44000</v>
      </c>
      <c r="X50" s="10"/>
      <c r="Y50" s="17"/>
      <c r="AA50" s="18"/>
      <c r="AC50" s="10">
        <v>42000</v>
      </c>
      <c r="AF50" s="23"/>
      <c r="AI50" s="16"/>
      <c r="AJ50" s="17"/>
      <c r="AL50" s="18"/>
    </row>
    <row r="51" spans="1:38" x14ac:dyDescent="0.2">
      <c r="A51" s="18">
        <f t="shared" ca="1" si="4"/>
        <v>27</v>
      </c>
      <c r="B51" s="24">
        <f t="shared" ca="1" si="6"/>
        <v>5.8440592010313779</v>
      </c>
      <c r="C51" s="23">
        <f t="shared" ca="1" si="7"/>
        <v>3219.0176474616469</v>
      </c>
      <c r="E51" s="18">
        <f t="shared" ca="1" si="5"/>
        <v>118</v>
      </c>
      <c r="F51" s="24">
        <f t="shared" ca="1" si="8"/>
        <v>9.0286165711156023</v>
      </c>
      <c r="G51" s="23">
        <f t="shared" ca="1" si="9"/>
        <v>15933.189685440435</v>
      </c>
      <c r="I51" s="4">
        <v>44</v>
      </c>
      <c r="R51" s="19"/>
      <c r="S51" s="23"/>
      <c r="U51" s="23"/>
      <c r="W51" s="10">
        <v>46000</v>
      </c>
      <c r="X51" s="10"/>
      <c r="Y51" s="17"/>
      <c r="AA51" s="18"/>
      <c r="AC51" s="10">
        <v>43000</v>
      </c>
      <c r="AF51" s="23"/>
      <c r="AI51" s="16"/>
      <c r="AJ51" s="17"/>
      <c r="AL51" s="18"/>
    </row>
    <row r="52" spans="1:38" x14ac:dyDescent="0.2">
      <c r="A52" s="18">
        <f t="shared" ca="1" si="4"/>
        <v>14</v>
      </c>
      <c r="B52" s="24">
        <f t="shared" ca="1" si="6"/>
        <v>6.3183526617630488</v>
      </c>
      <c r="C52" s="23">
        <f t="shared" ca="1" si="7"/>
        <v>7685.2876759782257</v>
      </c>
      <c r="E52" s="18">
        <f t="shared" ca="1" si="5"/>
        <v>158</v>
      </c>
      <c r="F52" s="24">
        <f t="shared" ca="1" si="8"/>
        <v>6.7875509279457855</v>
      </c>
      <c r="G52" s="23">
        <f t="shared" ca="1" si="9"/>
        <v>9897.9658623455998</v>
      </c>
      <c r="I52" s="4">
        <v>45</v>
      </c>
      <c r="R52" s="19"/>
      <c r="S52" s="23"/>
      <c r="U52" s="23"/>
      <c r="W52" s="10">
        <v>48000</v>
      </c>
      <c r="X52" s="10"/>
      <c r="Y52" s="17"/>
      <c r="AA52" s="18"/>
      <c r="AC52" s="10">
        <v>44000</v>
      </c>
      <c r="AF52" s="23"/>
      <c r="AI52" s="16"/>
      <c r="AJ52" s="17"/>
      <c r="AL52" s="18"/>
    </row>
    <row r="53" spans="1:38" x14ac:dyDescent="0.2">
      <c r="A53" s="18">
        <f t="shared" ca="1" si="4"/>
        <v>93</v>
      </c>
      <c r="B53" s="24">
        <f t="shared" ca="1" si="6"/>
        <v>10.677305853582503</v>
      </c>
      <c r="C53" s="23">
        <f t="shared" ca="1" si="7"/>
        <v>6598.5076173051566</v>
      </c>
      <c r="E53" s="18">
        <f t="shared" ca="1" si="5"/>
        <v>155</v>
      </c>
      <c r="F53" s="24">
        <f t="shared" ca="1" si="8"/>
        <v>9.0302136480258692</v>
      </c>
      <c r="G53" s="23">
        <f t="shared" ca="1" si="9"/>
        <v>10450.964895636245</v>
      </c>
      <c r="I53" s="4">
        <v>46</v>
      </c>
      <c r="R53" s="19"/>
      <c r="S53" s="23"/>
      <c r="U53" s="23"/>
      <c r="W53" s="10">
        <v>50000</v>
      </c>
      <c r="X53" s="10"/>
      <c r="Y53" s="17"/>
      <c r="AA53" s="18"/>
      <c r="AC53" s="10">
        <v>45000</v>
      </c>
      <c r="AF53" s="23"/>
      <c r="AI53" s="16"/>
      <c r="AJ53" s="17"/>
      <c r="AL53" s="18"/>
    </row>
    <row r="54" spans="1:38" x14ac:dyDescent="0.2">
      <c r="A54" s="18">
        <f t="shared" ca="1" si="4"/>
        <v>65</v>
      </c>
      <c r="B54" s="24">
        <f t="shared" ca="1" si="6"/>
        <v>7.0004381063863086</v>
      </c>
      <c r="C54" s="23">
        <f t="shared" ca="1" si="7"/>
        <v>4841.2815909688816</v>
      </c>
      <c r="E54" s="18">
        <f t="shared" ca="1" si="5"/>
        <v>162</v>
      </c>
      <c r="F54" s="24">
        <f t="shared" ca="1" si="8"/>
        <v>8.6992515166331383</v>
      </c>
      <c r="G54" s="23">
        <f t="shared" ca="1" si="9"/>
        <v>8758.4354975872939</v>
      </c>
      <c r="I54" s="4">
        <v>47</v>
      </c>
      <c r="R54" s="19"/>
      <c r="S54" s="23"/>
      <c r="U54" s="23"/>
      <c r="W54" s="10">
        <v>52000</v>
      </c>
      <c r="X54" s="10"/>
      <c r="Y54" s="17"/>
      <c r="AA54" s="18"/>
      <c r="AC54" s="10">
        <v>46000</v>
      </c>
      <c r="AF54" s="23"/>
      <c r="AI54" s="16"/>
      <c r="AJ54" s="17"/>
      <c r="AL54" s="18"/>
    </row>
    <row r="55" spans="1:38" x14ac:dyDescent="0.2">
      <c r="A55" s="18">
        <f t="shared" ca="1" si="4"/>
        <v>24</v>
      </c>
      <c r="B55" s="24">
        <f t="shared" ca="1" si="6"/>
        <v>11.653288106542895</v>
      </c>
      <c r="C55" s="23">
        <f t="shared" ca="1" si="7"/>
        <v>7932.2800402011826</v>
      </c>
      <c r="E55" s="18">
        <f t="shared" ca="1" si="5"/>
        <v>159</v>
      </c>
      <c r="F55" s="24">
        <f t="shared" ca="1" si="8"/>
        <v>10.007653010449244</v>
      </c>
      <c r="G55" s="23">
        <f t="shared" ca="1" si="9"/>
        <v>9993.6802355301843</v>
      </c>
      <c r="I55" s="4">
        <v>48</v>
      </c>
      <c r="R55" s="19"/>
      <c r="S55" s="23"/>
      <c r="U55" s="23"/>
      <c r="W55" s="10">
        <v>54000</v>
      </c>
      <c r="X55" s="10"/>
      <c r="Y55" s="17"/>
      <c r="AA55" s="18"/>
      <c r="AC55" s="10">
        <v>47000</v>
      </c>
      <c r="AF55" s="23"/>
      <c r="AI55" s="16"/>
      <c r="AJ55" s="17"/>
      <c r="AL55" s="18"/>
    </row>
    <row r="56" spans="1:38" x14ac:dyDescent="0.2">
      <c r="A56" s="18">
        <f t="shared" ca="1" si="4"/>
        <v>16</v>
      </c>
      <c r="B56" s="24">
        <f t="shared" ca="1" si="6"/>
        <v>4.1997952983587261</v>
      </c>
      <c r="C56" s="23">
        <f t="shared" ca="1" si="7"/>
        <v>4520.6827977691773</v>
      </c>
      <c r="E56" s="18">
        <f t="shared" ca="1" si="5"/>
        <v>183</v>
      </c>
      <c r="F56" s="24">
        <f t="shared" ca="1" si="8"/>
        <v>4.2867214370266726</v>
      </c>
      <c r="G56" s="23">
        <f t="shared" ca="1" si="9"/>
        <v>5057.2115051134315</v>
      </c>
      <c r="I56" s="4">
        <v>49</v>
      </c>
      <c r="R56" s="19"/>
      <c r="S56" s="23"/>
      <c r="U56" s="23"/>
      <c r="W56" s="10">
        <v>56000</v>
      </c>
      <c r="X56" s="10"/>
      <c r="Y56" s="17"/>
      <c r="AA56" s="18"/>
      <c r="AC56" s="10">
        <v>48000</v>
      </c>
      <c r="AF56" s="23"/>
      <c r="AI56" s="16"/>
      <c r="AJ56" s="17"/>
      <c r="AL56" s="18"/>
    </row>
    <row r="57" spans="1:38" x14ac:dyDescent="0.2">
      <c r="A57" s="18">
        <f t="shared" ca="1" si="4"/>
        <v>69</v>
      </c>
      <c r="B57" s="24">
        <f t="shared" ca="1" si="6"/>
        <v>10.890164504274921</v>
      </c>
      <c r="C57" s="23">
        <f t="shared" ca="1" si="7"/>
        <v>9305.2259917958236</v>
      </c>
      <c r="E57" s="18">
        <f t="shared" ca="1" si="5"/>
        <v>103</v>
      </c>
      <c r="F57" s="24">
        <f t="shared" ca="1" si="8"/>
        <v>3.1263016140702451</v>
      </c>
      <c r="G57" s="23">
        <f t="shared" ca="1" si="9"/>
        <v>6530.9439895774494</v>
      </c>
      <c r="I57" s="4">
        <v>50</v>
      </c>
      <c r="R57" s="19"/>
      <c r="S57" s="23"/>
      <c r="U57" s="23"/>
      <c r="W57" s="10">
        <v>58000</v>
      </c>
      <c r="X57" s="10"/>
      <c r="Y57" s="17"/>
      <c r="AA57" s="18"/>
      <c r="AC57" s="10">
        <v>49000</v>
      </c>
      <c r="AF57" s="23"/>
      <c r="AI57" s="16"/>
      <c r="AJ57" s="17"/>
      <c r="AL57" s="18"/>
    </row>
    <row r="58" spans="1:38" x14ac:dyDescent="0.2">
      <c r="A58" s="18">
        <f t="shared" ca="1" si="4"/>
        <v>40</v>
      </c>
      <c r="B58" s="24">
        <f t="shared" ca="1" si="6"/>
        <v>3.0389350020857511</v>
      </c>
      <c r="C58" s="23">
        <f t="shared" ca="1" si="7"/>
        <v>2514.2031509741892</v>
      </c>
      <c r="E58" s="18">
        <f t="shared" ca="1" si="5"/>
        <v>176</v>
      </c>
      <c r="F58" s="24">
        <f t="shared" ca="1" si="8"/>
        <v>3.8401089650958711</v>
      </c>
      <c r="G58" s="23">
        <f t="shared" ca="1" si="9"/>
        <v>4931.3006483768168</v>
      </c>
      <c r="I58" s="4">
        <v>51</v>
      </c>
      <c r="R58" s="19"/>
      <c r="S58" s="23"/>
      <c r="U58" s="23"/>
      <c r="W58" s="10">
        <v>60000</v>
      </c>
      <c r="X58" s="10"/>
      <c r="Y58" s="17"/>
      <c r="AA58" s="18"/>
      <c r="AC58" s="10">
        <v>50000</v>
      </c>
      <c r="AF58" s="23"/>
      <c r="AI58" s="16"/>
      <c r="AJ58" s="17"/>
      <c r="AL58" s="18"/>
    </row>
    <row r="59" spans="1:38" ht="13.5" thickBot="1" x14ac:dyDescent="0.25">
      <c r="A59" s="18">
        <f t="shared" ca="1" si="4"/>
        <v>91</v>
      </c>
      <c r="B59" s="24">
        <f t="shared" ca="1" si="6"/>
        <v>8.1165809269660354</v>
      </c>
      <c r="C59" s="23">
        <f t="shared" ca="1" si="7"/>
        <v>115200.02655662232</v>
      </c>
      <c r="E59" s="18">
        <f t="shared" ca="1" si="5"/>
        <v>163</v>
      </c>
      <c r="F59" s="24">
        <f t="shared" ca="1" si="8"/>
        <v>6.2120762495952908</v>
      </c>
      <c r="G59" s="23">
        <f t="shared" ca="1" si="9"/>
        <v>7872.8021587178819</v>
      </c>
      <c r="I59" s="4">
        <v>52</v>
      </c>
      <c r="R59" s="19"/>
      <c r="S59" s="23"/>
      <c r="U59" s="23"/>
      <c r="X59" s="26"/>
      <c r="Y59" s="26"/>
      <c r="AA59" s="18"/>
      <c r="AF59" s="23"/>
      <c r="AI59" s="16"/>
      <c r="AJ59" s="17"/>
      <c r="AL59" s="18"/>
    </row>
    <row r="60" spans="1:38" ht="15.75" x14ac:dyDescent="0.25">
      <c r="A60" s="18">
        <f t="shared" ca="1" si="4"/>
        <v>38</v>
      </c>
      <c r="B60" s="24">
        <f t="shared" ca="1" si="6"/>
        <v>8.5633725581160238</v>
      </c>
      <c r="C60" s="23">
        <f t="shared" ca="1" si="7"/>
        <v>3994.5465030110922</v>
      </c>
      <c r="E60" s="18">
        <f t="shared" ca="1" si="5"/>
        <v>123</v>
      </c>
      <c r="F60" s="24">
        <f t="shared" ca="1" si="8"/>
        <v>4.8447275495681374</v>
      </c>
      <c r="G60" s="23">
        <f t="shared" ca="1" si="9"/>
        <v>12813.828462325819</v>
      </c>
      <c r="H60" s="2"/>
      <c r="I60" s="4">
        <v>53</v>
      </c>
      <c r="R60" s="19"/>
      <c r="S60" s="23"/>
      <c r="U60" s="23"/>
      <c r="AA60" s="18"/>
      <c r="AF60" s="23"/>
      <c r="AI60" s="16"/>
      <c r="AJ60" s="17"/>
      <c r="AL60" s="18"/>
    </row>
    <row r="61" spans="1:38" x14ac:dyDescent="0.2">
      <c r="A61" s="18">
        <f t="shared" ca="1" si="4"/>
        <v>80</v>
      </c>
      <c r="B61" s="24">
        <f t="shared" ca="1" si="6"/>
        <v>7.6720232858929309</v>
      </c>
      <c r="C61" s="23">
        <f t="shared" ca="1" si="7"/>
        <v>5023.0276701199582</v>
      </c>
      <c r="E61" s="18">
        <f t="shared" ca="1" si="5"/>
        <v>186</v>
      </c>
      <c r="F61" s="24">
        <f t="shared" ca="1" si="8"/>
        <v>0.42522840947802132</v>
      </c>
      <c r="G61" s="23">
        <f t="shared" ca="1" si="9"/>
        <v>4934.8983672670574</v>
      </c>
      <c r="I61" s="4">
        <v>54</v>
      </c>
      <c r="R61" s="19"/>
      <c r="S61" s="23"/>
      <c r="U61" s="23"/>
      <c r="AA61" s="18"/>
      <c r="AF61" s="23"/>
      <c r="AI61" s="16"/>
      <c r="AJ61" s="17"/>
      <c r="AL61" s="18"/>
    </row>
    <row r="62" spans="1:38" x14ac:dyDescent="0.2">
      <c r="A62" s="18">
        <f t="shared" ca="1" si="4"/>
        <v>83</v>
      </c>
      <c r="B62" s="24">
        <f t="shared" ca="1" si="6"/>
        <v>10.070398192997285</v>
      </c>
      <c r="C62" s="23">
        <f t="shared" ca="1" si="7"/>
        <v>7454.4426672932641</v>
      </c>
      <c r="E62" s="18">
        <f t="shared" ca="1" si="5"/>
        <v>198</v>
      </c>
      <c r="F62" s="24">
        <f t="shared" ca="1" si="8"/>
        <v>7.525936333997592</v>
      </c>
      <c r="G62" s="23">
        <f t="shared" ca="1" si="9"/>
        <v>8810.7391949038883</v>
      </c>
      <c r="I62" s="4">
        <v>55</v>
      </c>
      <c r="R62" s="19"/>
      <c r="S62" s="23"/>
      <c r="U62" s="23"/>
      <c r="AA62" s="18"/>
      <c r="AF62" s="23"/>
      <c r="AI62" s="16"/>
      <c r="AJ62" s="17"/>
      <c r="AL62" s="18"/>
    </row>
    <row r="63" spans="1:38" x14ac:dyDescent="0.2">
      <c r="A63" s="18">
        <f t="shared" ca="1" si="4"/>
        <v>18</v>
      </c>
      <c r="B63" s="24">
        <f t="shared" ca="1" si="6"/>
        <v>5.1040899232915473</v>
      </c>
      <c r="C63" s="23">
        <f t="shared" ca="1" si="7"/>
        <v>2879.7711988053347</v>
      </c>
      <c r="E63" s="18">
        <f t="shared" ca="1" si="5"/>
        <v>164</v>
      </c>
      <c r="F63" s="24">
        <f t="shared" ca="1" si="8"/>
        <v>13.473532769882912</v>
      </c>
      <c r="G63" s="23">
        <f t="shared" ca="1" si="9"/>
        <v>13098.033942563619</v>
      </c>
      <c r="I63" s="4">
        <v>56</v>
      </c>
      <c r="R63" s="19"/>
      <c r="S63" s="23"/>
      <c r="U63" s="23"/>
      <c r="AA63" s="18"/>
      <c r="AF63" s="23"/>
      <c r="AI63" s="16"/>
      <c r="AJ63" s="17"/>
      <c r="AL63" s="18"/>
    </row>
    <row r="64" spans="1:38" x14ac:dyDescent="0.2">
      <c r="A64" s="18">
        <f t="shared" ca="1" si="4"/>
        <v>57</v>
      </c>
      <c r="B64" s="24">
        <f t="shared" ca="1" si="6"/>
        <v>6.1886942813581767</v>
      </c>
      <c r="C64" s="23">
        <f t="shared" ca="1" si="7"/>
        <v>19103.854266864706</v>
      </c>
      <c r="E64" s="18">
        <f t="shared" ca="1" si="5"/>
        <v>158</v>
      </c>
      <c r="F64" s="24">
        <f t="shared" ca="1" si="8"/>
        <v>6.7875509279457855</v>
      </c>
      <c r="G64" s="23">
        <f t="shared" ca="1" si="9"/>
        <v>9897.9658623455998</v>
      </c>
      <c r="I64" s="4">
        <v>57</v>
      </c>
      <c r="R64" s="19"/>
      <c r="S64" s="23"/>
      <c r="U64" s="23"/>
      <c r="AA64" s="18"/>
      <c r="AF64" s="23"/>
      <c r="AI64" s="16"/>
      <c r="AJ64" s="17"/>
      <c r="AL64" s="18"/>
    </row>
    <row r="65" spans="1:38" x14ac:dyDescent="0.2">
      <c r="A65" s="18">
        <f t="shared" ca="1" si="4"/>
        <v>42</v>
      </c>
      <c r="B65" s="24">
        <f t="shared" ca="1" si="6"/>
        <v>12.236518163684371</v>
      </c>
      <c r="C65" s="23">
        <f t="shared" ca="1" si="7"/>
        <v>7825.657381783948</v>
      </c>
      <c r="E65" s="18">
        <f t="shared" ca="1" si="5"/>
        <v>193</v>
      </c>
      <c r="F65" s="24">
        <f t="shared" ca="1" si="8"/>
        <v>6.3415313611741908</v>
      </c>
      <c r="G65" s="23">
        <f t="shared" ca="1" si="9"/>
        <v>8331.847268803027</v>
      </c>
      <c r="I65" s="4">
        <v>58</v>
      </c>
      <c r="R65" s="19"/>
      <c r="S65" s="23"/>
      <c r="U65" s="23"/>
      <c r="AA65" s="18"/>
      <c r="AF65" s="23"/>
      <c r="AI65" s="16"/>
      <c r="AJ65" s="17"/>
      <c r="AL65" s="18"/>
    </row>
    <row r="66" spans="1:38" x14ac:dyDescent="0.2">
      <c r="A66" s="18">
        <f t="shared" ca="1" si="4"/>
        <v>44</v>
      </c>
      <c r="B66" s="24">
        <f t="shared" ca="1" si="6"/>
        <v>1.6685108258472681</v>
      </c>
      <c r="C66" s="23">
        <f t="shared" ca="1" si="7"/>
        <v>602.25129584288857</v>
      </c>
      <c r="E66" s="18">
        <f t="shared" ca="1" si="5"/>
        <v>123</v>
      </c>
      <c r="F66" s="24">
        <f t="shared" ca="1" si="8"/>
        <v>4.8447275495681374</v>
      </c>
      <c r="G66" s="23">
        <f t="shared" ca="1" si="9"/>
        <v>12813.828462325819</v>
      </c>
      <c r="I66" s="4">
        <v>59</v>
      </c>
      <c r="R66" s="19"/>
      <c r="S66" s="23"/>
      <c r="U66" s="23"/>
      <c r="AA66" s="18"/>
      <c r="AF66" s="23"/>
      <c r="AI66" s="16"/>
      <c r="AJ66" s="17"/>
      <c r="AL66" s="18"/>
    </row>
    <row r="67" spans="1:38" x14ac:dyDescent="0.2">
      <c r="A67" s="18">
        <f t="shared" ca="1" si="4"/>
        <v>15</v>
      </c>
      <c r="B67" s="24">
        <f t="shared" ca="1" si="6"/>
        <v>3.9034690704966</v>
      </c>
      <c r="C67" s="23">
        <f t="shared" ca="1" si="7"/>
        <v>3228.510418855466</v>
      </c>
      <c r="E67" s="18">
        <f t="shared" ca="1" si="5"/>
        <v>117</v>
      </c>
      <c r="F67" s="24">
        <f t="shared" ca="1" si="8"/>
        <v>9.9693945714417964</v>
      </c>
      <c r="G67" s="23">
        <f t="shared" ca="1" si="9"/>
        <v>9842.2889756341883</v>
      </c>
      <c r="I67" s="4">
        <v>60</v>
      </c>
      <c r="R67" s="19"/>
      <c r="S67" s="23"/>
      <c r="U67" s="23"/>
      <c r="AA67" s="18"/>
      <c r="AF67" s="23"/>
      <c r="AI67" s="16"/>
      <c r="AJ67" s="17"/>
      <c r="AL67" s="18"/>
    </row>
    <row r="68" spans="1:38" x14ac:dyDescent="0.2">
      <c r="A68" s="18">
        <f t="shared" ca="1" si="4"/>
        <v>61</v>
      </c>
      <c r="B68" s="24">
        <f t="shared" ca="1" si="6"/>
        <v>6.4335804859150372</v>
      </c>
      <c r="C68" s="23">
        <f t="shared" ca="1" si="7"/>
        <v>4568.0479762931027</v>
      </c>
      <c r="E68" s="18">
        <f t="shared" ca="1" si="5"/>
        <v>106</v>
      </c>
      <c r="F68" s="24">
        <f t="shared" ca="1" si="8"/>
        <v>4.5853215109917471</v>
      </c>
      <c r="G68" s="23">
        <f t="shared" ca="1" si="9"/>
        <v>6029.6450313752912</v>
      </c>
      <c r="I68" s="4">
        <v>61</v>
      </c>
      <c r="R68" s="19"/>
      <c r="S68" s="23"/>
      <c r="U68" s="23"/>
      <c r="AA68" s="18"/>
      <c r="AF68" s="23"/>
      <c r="AI68" s="16"/>
      <c r="AJ68" s="17"/>
      <c r="AL68" s="18"/>
    </row>
    <row r="69" spans="1:38" x14ac:dyDescent="0.2">
      <c r="A69" s="18">
        <f t="shared" ca="1" si="4"/>
        <v>66</v>
      </c>
      <c r="B69" s="24">
        <f t="shared" ca="1" si="6"/>
        <v>4.5890909370440784</v>
      </c>
      <c r="C69" s="23">
        <f t="shared" ca="1" si="7"/>
        <v>3985.5859304932392</v>
      </c>
      <c r="E69" s="18">
        <f t="shared" ca="1" si="5"/>
        <v>123</v>
      </c>
      <c r="F69" s="24">
        <f t="shared" ca="1" si="8"/>
        <v>4.8447275495681374</v>
      </c>
      <c r="G69" s="23">
        <f t="shared" ca="1" si="9"/>
        <v>12813.828462325819</v>
      </c>
      <c r="I69" s="4">
        <v>62</v>
      </c>
      <c r="R69" s="19"/>
      <c r="S69" s="23"/>
      <c r="U69" s="23"/>
      <c r="AA69" s="18"/>
      <c r="AF69" s="23"/>
      <c r="AL69" s="18"/>
    </row>
    <row r="70" spans="1:38" x14ac:dyDescent="0.2">
      <c r="A70" s="18">
        <f t="shared" ca="1" si="4"/>
        <v>49</v>
      </c>
      <c r="B70" s="24">
        <f t="shared" ca="1" si="6"/>
        <v>0.6142652573618721</v>
      </c>
      <c r="C70" s="23">
        <f t="shared" ca="1" si="7"/>
        <v>347.93008219028383</v>
      </c>
      <c r="E70" s="18">
        <f t="shared" ca="1" si="5"/>
        <v>156</v>
      </c>
      <c r="F70" s="24">
        <f t="shared" ca="1" si="8"/>
        <v>6.8941840992429047</v>
      </c>
      <c r="G70" s="23">
        <f t="shared" ca="1" si="9"/>
        <v>6688.9246244221822</v>
      </c>
      <c r="I70" s="4">
        <v>63</v>
      </c>
      <c r="R70" s="19"/>
      <c r="S70" s="23"/>
      <c r="U70" s="23"/>
      <c r="AA70" s="18"/>
      <c r="AF70" s="23"/>
      <c r="AL70" s="18"/>
    </row>
    <row r="71" spans="1:38" x14ac:dyDescent="0.2">
      <c r="A71" s="18">
        <f t="shared" ca="1" si="4"/>
        <v>75</v>
      </c>
      <c r="B71" s="24">
        <f t="shared" ca="1" si="6"/>
        <v>5.7277818048669413</v>
      </c>
      <c r="C71" s="23">
        <f t="shared" ca="1" si="7"/>
        <v>3356.8887545489042</v>
      </c>
      <c r="E71" s="18">
        <f t="shared" ca="1" si="5"/>
        <v>194</v>
      </c>
      <c r="F71" s="24">
        <f t="shared" ca="1" si="8"/>
        <v>5.6876624527104056</v>
      </c>
      <c r="G71" s="23">
        <f t="shared" ca="1" si="9"/>
        <v>6866.5153594941958</v>
      </c>
      <c r="I71" s="4">
        <v>64</v>
      </c>
      <c r="R71" s="19"/>
      <c r="S71" s="23"/>
      <c r="U71" s="23"/>
      <c r="AA71" s="18"/>
      <c r="AF71" s="23"/>
      <c r="AL71" s="18"/>
    </row>
    <row r="72" spans="1:38" x14ac:dyDescent="0.2">
      <c r="A72" s="18">
        <f t="shared" ca="1" si="4"/>
        <v>95</v>
      </c>
      <c r="B72" s="24">
        <f t="shared" ref="B72:B103" ca="1" si="10">VLOOKUP(A72,control,2,FALSE)</f>
        <v>0.41208377176804351</v>
      </c>
      <c r="C72" s="23">
        <f t="shared" ref="C72:C107" ca="1" si="11">VLOOKUP(A72,control,3,FALSE)</f>
        <v>936.69917305127171</v>
      </c>
      <c r="E72" s="18">
        <f t="shared" ca="1" si="5"/>
        <v>148</v>
      </c>
      <c r="F72" s="24">
        <f t="shared" ref="F72:F103" ca="1" si="12">VLOOKUP(E72,treatment,2,FALSE)</f>
        <v>0.83913410236726871</v>
      </c>
      <c r="G72" s="23">
        <f t="shared" ref="G72:G107" ca="1" si="13">VLOOKUP(E72,treatment,3,FALSE)</f>
        <v>2774.8563919978606</v>
      </c>
      <c r="I72" s="4">
        <v>65</v>
      </c>
      <c r="R72" s="19"/>
      <c r="S72" s="23"/>
      <c r="U72" s="23"/>
      <c r="AA72" s="18"/>
      <c r="AF72" s="23"/>
      <c r="AL72" s="18"/>
    </row>
    <row r="73" spans="1:38" x14ac:dyDescent="0.2">
      <c r="A73" s="18">
        <f t="shared" ref="A73:A107" ca="1" si="14">INT(RAND()*100)+1</f>
        <v>3</v>
      </c>
      <c r="B73" s="24">
        <f t="shared" ca="1" si="10"/>
        <v>11.051414633832911</v>
      </c>
      <c r="C73" s="23">
        <f t="shared" ca="1" si="11"/>
        <v>5786.2548009459551</v>
      </c>
      <c r="E73" s="18">
        <f t="shared" ref="E73:E107" ca="1" si="15">INT(RAND()*100)+101</f>
        <v>177</v>
      </c>
      <c r="F73" s="24">
        <f t="shared" ca="1" si="12"/>
        <v>2.1396817346653152</v>
      </c>
      <c r="G73" s="23">
        <f t="shared" ca="1" si="13"/>
        <v>11003.815217742205</v>
      </c>
      <c r="I73" s="4">
        <v>66</v>
      </c>
      <c r="R73" s="19"/>
      <c r="S73" s="23"/>
      <c r="U73" s="23"/>
      <c r="AA73" s="18"/>
      <c r="AF73" s="23"/>
      <c r="AL73" s="18"/>
    </row>
    <row r="74" spans="1:38" x14ac:dyDescent="0.2">
      <c r="A74" s="18">
        <f t="shared" ca="1" si="14"/>
        <v>82</v>
      </c>
      <c r="B74" s="24">
        <f t="shared" ca="1" si="10"/>
        <v>3.4716013057436403</v>
      </c>
      <c r="C74" s="23">
        <f t="shared" ca="1" si="11"/>
        <v>1677.7465345623355</v>
      </c>
      <c r="E74" s="18">
        <f t="shared" ca="1" si="15"/>
        <v>131</v>
      </c>
      <c r="F74" s="24">
        <f t="shared" ca="1" si="12"/>
        <v>5.7788967061002046</v>
      </c>
      <c r="G74" s="23">
        <f t="shared" ca="1" si="13"/>
        <v>9044.4459153021289</v>
      </c>
      <c r="I74" s="4">
        <v>67</v>
      </c>
      <c r="R74" s="19"/>
      <c r="S74" s="23"/>
      <c r="U74" s="23"/>
      <c r="AA74" s="18"/>
      <c r="AF74" s="23"/>
      <c r="AL74" s="18"/>
    </row>
    <row r="75" spans="1:38" x14ac:dyDescent="0.2">
      <c r="A75" s="18">
        <f t="shared" ca="1" si="14"/>
        <v>66</v>
      </c>
      <c r="B75" s="24">
        <f t="shared" ca="1" si="10"/>
        <v>4.5890909370440784</v>
      </c>
      <c r="C75" s="23">
        <f t="shared" ca="1" si="11"/>
        <v>3985.5859304932392</v>
      </c>
      <c r="E75" s="18">
        <f t="shared" ca="1" si="15"/>
        <v>111</v>
      </c>
      <c r="F75" s="24">
        <f t="shared" ca="1" si="12"/>
        <v>5.7500603637393732</v>
      </c>
      <c r="G75" s="23">
        <f t="shared" ca="1" si="13"/>
        <v>7055.212383303272</v>
      </c>
      <c r="I75" s="4">
        <v>68</v>
      </c>
      <c r="R75" s="19"/>
      <c r="S75" s="23"/>
      <c r="U75" s="23"/>
      <c r="AA75" s="18"/>
      <c r="AF75" s="23"/>
      <c r="AL75" s="18"/>
    </row>
    <row r="76" spans="1:38" x14ac:dyDescent="0.2">
      <c r="A76" s="18">
        <f t="shared" ca="1" si="14"/>
        <v>77</v>
      </c>
      <c r="B76" s="24">
        <f t="shared" ca="1" si="10"/>
        <v>11.324641211559015</v>
      </c>
      <c r="C76" s="23">
        <f t="shared" ca="1" si="11"/>
        <v>7634.6497425745356</v>
      </c>
      <c r="E76" s="18">
        <f t="shared" ca="1" si="15"/>
        <v>108</v>
      </c>
      <c r="F76" s="24">
        <f t="shared" ca="1" si="12"/>
        <v>6.3549480621204992</v>
      </c>
      <c r="G76" s="23">
        <f t="shared" ca="1" si="13"/>
        <v>6291.6709165529246</v>
      </c>
      <c r="I76" s="4">
        <v>69</v>
      </c>
      <c r="R76" s="19"/>
      <c r="S76" s="23"/>
      <c r="U76" s="23"/>
      <c r="AA76" s="18"/>
      <c r="AF76" s="23"/>
      <c r="AL76" s="18"/>
    </row>
    <row r="77" spans="1:38" x14ac:dyDescent="0.2">
      <c r="A77" s="18">
        <f t="shared" ca="1" si="14"/>
        <v>44</v>
      </c>
      <c r="B77" s="24">
        <f t="shared" ca="1" si="10"/>
        <v>1.6685108258472681</v>
      </c>
      <c r="C77" s="23">
        <f t="shared" ca="1" si="11"/>
        <v>602.25129584288857</v>
      </c>
      <c r="E77" s="18">
        <f t="shared" ca="1" si="15"/>
        <v>118</v>
      </c>
      <c r="F77" s="24">
        <f t="shared" ca="1" si="12"/>
        <v>9.0286165711156023</v>
      </c>
      <c r="G77" s="23">
        <f t="shared" ca="1" si="13"/>
        <v>15933.189685440435</v>
      </c>
      <c r="I77" s="4">
        <v>70</v>
      </c>
      <c r="R77" s="19"/>
      <c r="S77" s="23"/>
      <c r="U77" s="23"/>
      <c r="AA77" s="18"/>
      <c r="AF77" s="23"/>
      <c r="AL77" s="18"/>
    </row>
    <row r="78" spans="1:38" x14ac:dyDescent="0.2">
      <c r="A78" s="18">
        <f t="shared" ca="1" si="14"/>
        <v>95</v>
      </c>
      <c r="B78" s="24">
        <f t="shared" ca="1" si="10"/>
        <v>0.41208377176804351</v>
      </c>
      <c r="C78" s="23">
        <f t="shared" ca="1" si="11"/>
        <v>936.69917305127171</v>
      </c>
      <c r="E78" s="18">
        <f t="shared" ca="1" si="15"/>
        <v>195</v>
      </c>
      <c r="F78" s="24">
        <f t="shared" ca="1" si="12"/>
        <v>5.177889150290313</v>
      </c>
      <c r="G78" s="23">
        <f t="shared" ca="1" si="13"/>
        <v>8633.0328871896327</v>
      </c>
      <c r="I78" s="4">
        <v>71</v>
      </c>
      <c r="R78" s="19"/>
      <c r="S78" s="23"/>
      <c r="U78" s="23"/>
      <c r="AA78" s="18"/>
      <c r="AF78" s="23"/>
      <c r="AL78" s="18"/>
    </row>
    <row r="79" spans="1:38" x14ac:dyDescent="0.2">
      <c r="A79" s="18">
        <f t="shared" ca="1" si="14"/>
        <v>1</v>
      </c>
      <c r="B79" s="24">
        <f t="shared" ca="1" si="10"/>
        <v>5.5230222229378008</v>
      </c>
      <c r="C79" s="23">
        <f t="shared" ca="1" si="11"/>
        <v>3641.7574384520349</v>
      </c>
      <c r="E79" s="18">
        <f t="shared" ca="1" si="15"/>
        <v>158</v>
      </c>
      <c r="F79" s="24">
        <f t="shared" ca="1" si="12"/>
        <v>6.7875509279457855</v>
      </c>
      <c r="G79" s="23">
        <f t="shared" ca="1" si="13"/>
        <v>9897.9658623455998</v>
      </c>
      <c r="I79" s="4">
        <v>72</v>
      </c>
      <c r="R79" s="19"/>
      <c r="S79" s="23"/>
      <c r="U79" s="23"/>
      <c r="AA79" s="18"/>
      <c r="AF79" s="23"/>
      <c r="AL79" s="18"/>
    </row>
    <row r="80" spans="1:38" x14ac:dyDescent="0.2">
      <c r="A80" s="18">
        <f t="shared" ca="1" si="14"/>
        <v>87</v>
      </c>
      <c r="B80" s="24">
        <f t="shared" ca="1" si="10"/>
        <v>6.4890227275573649</v>
      </c>
      <c r="C80" s="23">
        <f t="shared" ca="1" si="11"/>
        <v>9353.7826836702734</v>
      </c>
      <c r="E80" s="18">
        <f t="shared" ca="1" si="15"/>
        <v>179</v>
      </c>
      <c r="F80" s="24">
        <f t="shared" ca="1" si="12"/>
        <v>8.6751946655806869</v>
      </c>
      <c r="G80" s="23">
        <f t="shared" ca="1" si="13"/>
        <v>8539.9214385549567</v>
      </c>
      <c r="I80" s="4">
        <v>73</v>
      </c>
      <c r="R80" s="19"/>
      <c r="S80" s="23"/>
      <c r="U80" s="23"/>
      <c r="AA80" s="18"/>
      <c r="AF80" s="23"/>
      <c r="AL80" s="18"/>
    </row>
    <row r="81" spans="1:38" x14ac:dyDescent="0.2">
      <c r="A81" s="18">
        <f t="shared" ca="1" si="14"/>
        <v>15</v>
      </c>
      <c r="B81" s="24">
        <f t="shared" ca="1" si="10"/>
        <v>3.9034690704966</v>
      </c>
      <c r="C81" s="23">
        <f t="shared" ca="1" si="11"/>
        <v>3228.510418855466</v>
      </c>
      <c r="E81" s="18">
        <f t="shared" ca="1" si="15"/>
        <v>127</v>
      </c>
      <c r="F81" s="24">
        <f t="shared" ca="1" si="12"/>
        <v>5.8625038404747096</v>
      </c>
      <c r="G81" s="23">
        <f t="shared" ca="1" si="13"/>
        <v>9938.7644492985546</v>
      </c>
      <c r="I81" s="4">
        <v>74</v>
      </c>
      <c r="R81" s="19"/>
      <c r="S81" s="23"/>
      <c r="U81" s="23"/>
      <c r="AA81" s="18"/>
      <c r="AF81" s="23"/>
      <c r="AL81" s="18"/>
    </row>
    <row r="82" spans="1:38" x14ac:dyDescent="0.2">
      <c r="A82" s="18">
        <f t="shared" ca="1" si="14"/>
        <v>2</v>
      </c>
      <c r="B82" s="24">
        <f t="shared" ca="1" si="10"/>
        <v>5.1919646630865142</v>
      </c>
      <c r="C82" s="23">
        <f t="shared" ca="1" si="11"/>
        <v>12121.525911710989</v>
      </c>
      <c r="E82" s="18">
        <f t="shared" ca="1" si="15"/>
        <v>132</v>
      </c>
      <c r="F82" s="24">
        <f t="shared" ca="1" si="12"/>
        <v>8.9838356864513536</v>
      </c>
      <c r="G82" s="23">
        <f t="shared" ca="1" si="13"/>
        <v>14670.617442142542</v>
      </c>
      <c r="I82" s="4">
        <v>75</v>
      </c>
      <c r="R82" s="19"/>
      <c r="S82" s="23"/>
      <c r="U82" s="23"/>
      <c r="AA82" s="18"/>
      <c r="AF82" s="23"/>
      <c r="AL82" s="18"/>
    </row>
    <row r="83" spans="1:38" x14ac:dyDescent="0.2">
      <c r="A83" s="18">
        <f t="shared" ca="1" si="14"/>
        <v>89</v>
      </c>
      <c r="B83" s="24">
        <f t="shared" ca="1" si="10"/>
        <v>10.629234487620304</v>
      </c>
      <c r="C83" s="23">
        <f t="shared" ca="1" si="11"/>
        <v>7358.8127252886152</v>
      </c>
      <c r="E83" s="18">
        <f t="shared" ca="1" si="15"/>
        <v>105</v>
      </c>
      <c r="F83" s="24">
        <f t="shared" ca="1" si="12"/>
        <v>4.9495945917755577</v>
      </c>
      <c r="G83" s="23">
        <f t="shared" ca="1" si="13"/>
        <v>5949.4747580031508</v>
      </c>
      <c r="I83" s="4">
        <v>76</v>
      </c>
      <c r="R83" s="19"/>
      <c r="S83" s="23"/>
      <c r="U83" s="23"/>
      <c r="AA83" s="18"/>
      <c r="AF83" s="23"/>
      <c r="AL83" s="18"/>
    </row>
    <row r="84" spans="1:38" x14ac:dyDescent="0.2">
      <c r="A84" s="18">
        <f t="shared" ca="1" si="14"/>
        <v>16</v>
      </c>
      <c r="B84" s="24">
        <f t="shared" ca="1" si="10"/>
        <v>4.1997952983587261</v>
      </c>
      <c r="C84" s="23">
        <f t="shared" ca="1" si="11"/>
        <v>4520.6827977691773</v>
      </c>
      <c r="E84" s="18">
        <f t="shared" ca="1" si="15"/>
        <v>115</v>
      </c>
      <c r="F84" s="24">
        <f t="shared" ca="1" si="12"/>
        <v>8.2341033909470696</v>
      </c>
      <c r="G84" s="23">
        <f t="shared" ca="1" si="13"/>
        <v>15783.230279664196</v>
      </c>
      <c r="I84" s="4">
        <v>77</v>
      </c>
      <c r="R84" s="19"/>
      <c r="S84" s="23"/>
      <c r="U84" s="23"/>
      <c r="AA84" s="18"/>
      <c r="AF84" s="23"/>
      <c r="AL84" s="18"/>
    </row>
    <row r="85" spans="1:38" x14ac:dyDescent="0.2">
      <c r="A85" s="18">
        <f t="shared" ca="1" si="14"/>
        <v>90</v>
      </c>
      <c r="B85" s="24">
        <f t="shared" ca="1" si="10"/>
        <v>3.7268421887327379</v>
      </c>
      <c r="C85" s="23">
        <f t="shared" ca="1" si="11"/>
        <v>2838.2041594188881</v>
      </c>
      <c r="E85" s="18">
        <f t="shared" ca="1" si="15"/>
        <v>128</v>
      </c>
      <c r="F85" s="24">
        <f t="shared" ca="1" si="12"/>
        <v>8.018817186743636</v>
      </c>
      <c r="G85" s="23">
        <f t="shared" ca="1" si="13"/>
        <v>13424.814908151546</v>
      </c>
      <c r="I85" s="4">
        <v>78</v>
      </c>
      <c r="R85" s="19"/>
      <c r="S85" s="23"/>
      <c r="U85" s="23"/>
      <c r="AA85" s="18"/>
      <c r="AF85" s="23"/>
      <c r="AL85" s="18"/>
    </row>
    <row r="86" spans="1:38" x14ac:dyDescent="0.2">
      <c r="A86" s="18">
        <f t="shared" ca="1" si="14"/>
        <v>90</v>
      </c>
      <c r="B86" s="24">
        <f t="shared" ca="1" si="10"/>
        <v>3.7268421887327379</v>
      </c>
      <c r="C86" s="23">
        <f t="shared" ca="1" si="11"/>
        <v>2838.2041594188881</v>
      </c>
      <c r="E86" s="18">
        <f t="shared" ca="1" si="15"/>
        <v>158</v>
      </c>
      <c r="F86" s="24">
        <f t="shared" ca="1" si="12"/>
        <v>6.7875509279457855</v>
      </c>
      <c r="G86" s="23">
        <f t="shared" ca="1" si="13"/>
        <v>9897.9658623455998</v>
      </c>
      <c r="I86" s="4">
        <v>79</v>
      </c>
      <c r="R86" s="19"/>
      <c r="S86" s="23"/>
      <c r="U86" s="23"/>
      <c r="AA86" s="18"/>
      <c r="AF86" s="23"/>
      <c r="AL86" s="18"/>
    </row>
    <row r="87" spans="1:38" x14ac:dyDescent="0.2">
      <c r="A87" s="18">
        <f t="shared" ca="1" si="14"/>
        <v>2</v>
      </c>
      <c r="B87" s="24">
        <f t="shared" ca="1" si="10"/>
        <v>5.1919646630865142</v>
      </c>
      <c r="C87" s="23">
        <f t="shared" ca="1" si="11"/>
        <v>12121.525911710989</v>
      </c>
      <c r="E87" s="18">
        <f t="shared" ca="1" si="15"/>
        <v>140</v>
      </c>
      <c r="F87" s="24">
        <f t="shared" ca="1" si="12"/>
        <v>4.5103596199229772</v>
      </c>
      <c r="G87" s="23">
        <f t="shared" ca="1" si="13"/>
        <v>6376.9405190324496</v>
      </c>
      <c r="I87" s="4">
        <v>80</v>
      </c>
      <c r="R87" s="19"/>
      <c r="S87" s="23"/>
      <c r="U87" s="23"/>
      <c r="AA87" s="18"/>
      <c r="AF87" s="23"/>
      <c r="AL87" s="18"/>
    </row>
    <row r="88" spans="1:38" x14ac:dyDescent="0.2">
      <c r="A88" s="18">
        <f t="shared" ca="1" si="14"/>
        <v>66</v>
      </c>
      <c r="B88" s="24">
        <f t="shared" ca="1" si="10"/>
        <v>4.5890909370440784</v>
      </c>
      <c r="C88" s="23">
        <f t="shared" ca="1" si="11"/>
        <v>3985.5859304932392</v>
      </c>
      <c r="E88" s="18">
        <f t="shared" ca="1" si="15"/>
        <v>175</v>
      </c>
      <c r="F88" s="24">
        <f t="shared" ca="1" si="12"/>
        <v>5.1862925489276623</v>
      </c>
      <c r="G88" s="23">
        <f t="shared" ca="1" si="13"/>
        <v>7339.102737667672</v>
      </c>
      <c r="I88" s="4">
        <v>81</v>
      </c>
      <c r="R88" s="19"/>
      <c r="S88" s="23"/>
      <c r="U88" s="23"/>
      <c r="AA88" s="18"/>
      <c r="AF88" s="23"/>
      <c r="AL88" s="18"/>
    </row>
    <row r="89" spans="1:38" x14ac:dyDescent="0.2">
      <c r="A89" s="18">
        <f t="shared" ca="1" si="14"/>
        <v>88</v>
      </c>
      <c r="B89" s="24">
        <f t="shared" ca="1" si="10"/>
        <v>0.62931492176215387</v>
      </c>
      <c r="C89" s="23">
        <f t="shared" ca="1" si="11"/>
        <v>3964.2959787645282</v>
      </c>
      <c r="E89" s="18">
        <f t="shared" ca="1" si="15"/>
        <v>133</v>
      </c>
      <c r="F89" s="24">
        <f t="shared" ca="1" si="12"/>
        <v>14.262082433239351</v>
      </c>
      <c r="G89" s="23">
        <f t="shared" ca="1" si="13"/>
        <v>13960.901743330987</v>
      </c>
      <c r="I89" s="4">
        <v>82</v>
      </c>
      <c r="R89" s="19"/>
      <c r="S89" s="23"/>
      <c r="U89" s="23"/>
      <c r="AA89" s="18"/>
      <c r="AF89" s="23"/>
      <c r="AL89" s="18"/>
    </row>
    <row r="90" spans="1:38" x14ac:dyDescent="0.2">
      <c r="A90" s="18">
        <f t="shared" ca="1" si="14"/>
        <v>85</v>
      </c>
      <c r="B90" s="24">
        <f t="shared" ca="1" si="10"/>
        <v>10.948090740498266</v>
      </c>
      <c r="C90" s="23">
        <f t="shared" ca="1" si="11"/>
        <v>9027.9218998747128</v>
      </c>
      <c r="E90" s="18">
        <f t="shared" ca="1" si="15"/>
        <v>139</v>
      </c>
      <c r="F90" s="24">
        <f t="shared" ca="1" si="12"/>
        <v>12.061027786969371</v>
      </c>
      <c r="G90" s="23">
        <f t="shared" ca="1" si="13"/>
        <v>36909.61325616765</v>
      </c>
      <c r="I90" s="4">
        <v>83</v>
      </c>
      <c r="R90" s="19"/>
      <c r="S90" s="23"/>
      <c r="U90" s="23"/>
      <c r="AA90" s="18"/>
      <c r="AF90" s="23"/>
      <c r="AL90" s="18"/>
    </row>
    <row r="91" spans="1:38" x14ac:dyDescent="0.2">
      <c r="A91" s="18">
        <f t="shared" ca="1" si="14"/>
        <v>50</v>
      </c>
      <c r="B91" s="24">
        <f t="shared" ca="1" si="10"/>
        <v>7.1365385198688571</v>
      </c>
      <c r="C91" s="23">
        <f t="shared" ca="1" si="11"/>
        <v>5198.5565806135983</v>
      </c>
      <c r="E91" s="18">
        <f t="shared" ca="1" si="15"/>
        <v>111</v>
      </c>
      <c r="F91" s="24">
        <f t="shared" ca="1" si="12"/>
        <v>5.7500603637393732</v>
      </c>
      <c r="G91" s="23">
        <f t="shared" ca="1" si="13"/>
        <v>7055.212383303272</v>
      </c>
      <c r="I91" s="4">
        <v>84</v>
      </c>
      <c r="R91" s="19"/>
      <c r="S91" s="23"/>
      <c r="U91" s="23"/>
      <c r="AA91" s="18"/>
      <c r="AF91" s="23"/>
      <c r="AL91" s="18"/>
    </row>
    <row r="92" spans="1:38" x14ac:dyDescent="0.2">
      <c r="A92" s="18">
        <f t="shared" ca="1" si="14"/>
        <v>36</v>
      </c>
      <c r="B92" s="24">
        <f t="shared" ca="1" si="10"/>
        <v>10.12371956978861</v>
      </c>
      <c r="C92" s="23">
        <f t="shared" ca="1" si="11"/>
        <v>7571.0441966944963</v>
      </c>
      <c r="E92" s="18">
        <f t="shared" ca="1" si="15"/>
        <v>174</v>
      </c>
      <c r="F92" s="24">
        <f t="shared" ca="1" si="12"/>
        <v>12.822125181777842</v>
      </c>
      <c r="G92" s="23">
        <f t="shared" ca="1" si="13"/>
        <v>12538.797167065097</v>
      </c>
      <c r="I92" s="4">
        <v>85</v>
      </c>
      <c r="R92" s="19"/>
      <c r="S92" s="23"/>
      <c r="U92" s="23"/>
      <c r="AA92" s="18"/>
      <c r="AF92" s="23"/>
      <c r="AL92" s="18"/>
    </row>
    <row r="93" spans="1:38" x14ac:dyDescent="0.2">
      <c r="A93" s="18">
        <f t="shared" ca="1" si="14"/>
        <v>32</v>
      </c>
      <c r="B93" s="24">
        <f t="shared" ca="1" si="10"/>
        <v>2.0781199271286472</v>
      </c>
      <c r="C93" s="23">
        <f t="shared" ca="1" si="11"/>
        <v>1198.1531341399686</v>
      </c>
      <c r="E93" s="18">
        <f t="shared" ca="1" si="15"/>
        <v>144</v>
      </c>
      <c r="F93" s="24">
        <f t="shared" ca="1" si="12"/>
        <v>7.8859323315056349</v>
      </c>
      <c r="G93" s="23">
        <f t="shared" ca="1" si="13"/>
        <v>12466.149879986684</v>
      </c>
      <c r="I93" s="4">
        <v>86</v>
      </c>
      <c r="R93" s="19"/>
      <c r="S93" s="23"/>
      <c r="U93" s="23"/>
      <c r="AA93" s="18"/>
      <c r="AF93" s="23"/>
      <c r="AL93" s="18"/>
    </row>
    <row r="94" spans="1:38" x14ac:dyDescent="0.2">
      <c r="A94" s="18">
        <f t="shared" ca="1" si="14"/>
        <v>87</v>
      </c>
      <c r="B94" s="24">
        <f t="shared" ca="1" si="10"/>
        <v>6.4890227275573649</v>
      </c>
      <c r="C94" s="23">
        <f t="shared" ca="1" si="11"/>
        <v>9353.7826836702734</v>
      </c>
      <c r="E94" s="18">
        <f t="shared" ca="1" si="15"/>
        <v>131</v>
      </c>
      <c r="F94" s="24">
        <f t="shared" ca="1" si="12"/>
        <v>5.7788967061002046</v>
      </c>
      <c r="G94" s="23">
        <f t="shared" ca="1" si="13"/>
        <v>9044.4459153021289</v>
      </c>
      <c r="I94" s="4">
        <v>87</v>
      </c>
      <c r="R94" s="19"/>
      <c r="S94" s="23"/>
      <c r="U94" s="23"/>
      <c r="AA94" s="18"/>
      <c r="AF94" s="23"/>
      <c r="AL94" s="18"/>
    </row>
    <row r="95" spans="1:38" x14ac:dyDescent="0.2">
      <c r="A95" s="18">
        <f t="shared" ca="1" si="14"/>
        <v>94</v>
      </c>
      <c r="B95" s="24">
        <f t="shared" ca="1" si="10"/>
        <v>6.0363700869362384</v>
      </c>
      <c r="C95" s="23">
        <f t="shared" ca="1" si="11"/>
        <v>7500.0210888805523</v>
      </c>
      <c r="E95" s="18">
        <f t="shared" ca="1" si="15"/>
        <v>118</v>
      </c>
      <c r="F95" s="24">
        <f t="shared" ca="1" si="12"/>
        <v>9.0286165711156023</v>
      </c>
      <c r="G95" s="23">
        <f t="shared" ca="1" si="13"/>
        <v>15933.189685440435</v>
      </c>
      <c r="I95" s="4">
        <v>88</v>
      </c>
      <c r="R95" s="19"/>
      <c r="S95" s="23"/>
      <c r="U95" s="23"/>
      <c r="AA95" s="18"/>
      <c r="AF95" s="23"/>
      <c r="AL95" s="18"/>
    </row>
    <row r="96" spans="1:38" x14ac:dyDescent="0.2">
      <c r="A96" s="18">
        <f t="shared" ca="1" si="14"/>
        <v>90</v>
      </c>
      <c r="B96" s="24">
        <f t="shared" ca="1" si="10"/>
        <v>3.7268421887327379</v>
      </c>
      <c r="C96" s="23">
        <f t="shared" ca="1" si="11"/>
        <v>2838.2041594188881</v>
      </c>
      <c r="E96" s="18">
        <f t="shared" ca="1" si="15"/>
        <v>151</v>
      </c>
      <c r="F96" s="24">
        <f t="shared" ca="1" si="12"/>
        <v>8.6927177360316286</v>
      </c>
      <c r="G96" s="23">
        <f t="shared" ca="1" si="13"/>
        <v>12546.619338955159</v>
      </c>
      <c r="I96" s="4">
        <v>89</v>
      </c>
      <c r="R96" s="19"/>
      <c r="S96" s="23"/>
      <c r="U96" s="23"/>
      <c r="AA96" s="18"/>
      <c r="AF96" s="23"/>
      <c r="AL96" s="18"/>
    </row>
    <row r="97" spans="1:38" x14ac:dyDescent="0.2">
      <c r="A97" s="18">
        <f t="shared" ca="1" si="14"/>
        <v>5</v>
      </c>
      <c r="B97" s="24">
        <f t="shared" ca="1" si="10"/>
        <v>7.5310069563682553</v>
      </c>
      <c r="C97" s="23">
        <f t="shared" ca="1" si="11"/>
        <v>13883.478772580404</v>
      </c>
      <c r="E97" s="18">
        <f t="shared" ca="1" si="15"/>
        <v>103</v>
      </c>
      <c r="F97" s="24">
        <f t="shared" ca="1" si="12"/>
        <v>3.1263016140702451</v>
      </c>
      <c r="G97" s="23">
        <f t="shared" ca="1" si="13"/>
        <v>6530.9439895774494</v>
      </c>
      <c r="I97" s="4">
        <v>90</v>
      </c>
      <c r="R97" s="19"/>
      <c r="S97" s="23"/>
      <c r="U97" s="23"/>
      <c r="AA97" s="18"/>
      <c r="AF97" s="23"/>
      <c r="AL97" s="18"/>
    </row>
    <row r="98" spans="1:38" x14ac:dyDescent="0.2">
      <c r="A98" s="18">
        <f t="shared" ca="1" si="14"/>
        <v>12</v>
      </c>
      <c r="B98" s="24">
        <f t="shared" ca="1" si="10"/>
        <v>3.7696169751314508</v>
      </c>
      <c r="C98" s="23">
        <f t="shared" ca="1" si="11"/>
        <v>2868.1762034873132</v>
      </c>
      <c r="E98" s="18">
        <f t="shared" ca="1" si="15"/>
        <v>119</v>
      </c>
      <c r="F98" s="24">
        <f t="shared" ca="1" si="12"/>
        <v>13.630870919775116</v>
      </c>
      <c r="G98" s="23">
        <f t="shared" ca="1" si="13"/>
        <v>17970.13463327743</v>
      </c>
      <c r="I98" s="4">
        <v>91</v>
      </c>
      <c r="R98" s="19"/>
      <c r="S98" s="23"/>
      <c r="U98" s="23"/>
      <c r="AA98" s="18"/>
      <c r="AF98" s="23"/>
      <c r="AL98" s="18"/>
    </row>
    <row r="99" spans="1:38" x14ac:dyDescent="0.2">
      <c r="A99" s="18">
        <f t="shared" ca="1" si="14"/>
        <v>6</v>
      </c>
      <c r="B99" s="24">
        <f t="shared" ca="1" si="10"/>
        <v>6.9245256956464782</v>
      </c>
      <c r="C99" s="23">
        <f t="shared" ca="1" si="11"/>
        <v>13344.619043650619</v>
      </c>
      <c r="E99" s="18">
        <f t="shared" ca="1" si="15"/>
        <v>163</v>
      </c>
      <c r="F99" s="24">
        <f t="shared" ca="1" si="12"/>
        <v>6.2120762495952908</v>
      </c>
      <c r="G99" s="23">
        <f t="shared" ca="1" si="13"/>
        <v>7872.8021587178819</v>
      </c>
      <c r="I99" s="4">
        <v>92</v>
      </c>
      <c r="R99" s="19"/>
      <c r="S99" s="23"/>
      <c r="U99" s="23"/>
      <c r="AA99" s="18"/>
      <c r="AF99" s="23"/>
      <c r="AL99" s="18"/>
    </row>
    <row r="100" spans="1:38" x14ac:dyDescent="0.2">
      <c r="A100" s="18">
        <f t="shared" ca="1" si="14"/>
        <v>91</v>
      </c>
      <c r="B100" s="24">
        <f t="shared" ca="1" si="10"/>
        <v>8.1165809269660354</v>
      </c>
      <c r="C100" s="23">
        <f t="shared" ca="1" si="11"/>
        <v>115200.02655662232</v>
      </c>
      <c r="E100" s="18">
        <f t="shared" ca="1" si="15"/>
        <v>117</v>
      </c>
      <c r="F100" s="24">
        <f t="shared" ca="1" si="12"/>
        <v>9.9693945714417964</v>
      </c>
      <c r="G100" s="23">
        <f t="shared" ca="1" si="13"/>
        <v>9842.2889756341883</v>
      </c>
      <c r="I100" s="4">
        <v>93</v>
      </c>
      <c r="R100" s="19"/>
      <c r="S100" s="23"/>
      <c r="U100" s="23"/>
      <c r="AA100" s="18"/>
      <c r="AF100" s="23"/>
      <c r="AL100" s="18"/>
    </row>
    <row r="101" spans="1:38" x14ac:dyDescent="0.2">
      <c r="A101" s="18">
        <f t="shared" ca="1" si="14"/>
        <v>39</v>
      </c>
      <c r="B101" s="24">
        <f t="shared" ca="1" si="10"/>
        <v>0.52728268787334431</v>
      </c>
      <c r="C101" s="23">
        <f t="shared" ca="1" si="11"/>
        <v>11384.432571411606</v>
      </c>
      <c r="E101" s="18">
        <f t="shared" ca="1" si="15"/>
        <v>107</v>
      </c>
      <c r="F101" s="24">
        <f t="shared" ca="1" si="12"/>
        <v>1.0783183246014647</v>
      </c>
      <c r="G101" s="23">
        <f t="shared" ca="1" si="13"/>
        <v>6136.0462522919515</v>
      </c>
      <c r="I101" s="4">
        <v>94</v>
      </c>
      <c r="R101" s="19"/>
      <c r="S101" s="23"/>
      <c r="U101" s="23"/>
      <c r="AA101" s="18"/>
      <c r="AF101" s="23"/>
      <c r="AL101" s="18"/>
    </row>
    <row r="102" spans="1:38" x14ac:dyDescent="0.2">
      <c r="A102" s="18">
        <f t="shared" ca="1" si="14"/>
        <v>42</v>
      </c>
      <c r="B102" s="24">
        <f t="shared" ca="1" si="10"/>
        <v>12.236518163684371</v>
      </c>
      <c r="C102" s="23">
        <f t="shared" ca="1" si="11"/>
        <v>7825.657381783948</v>
      </c>
      <c r="E102" s="18">
        <f t="shared" ca="1" si="15"/>
        <v>157</v>
      </c>
      <c r="F102" s="24">
        <f t="shared" ca="1" si="12"/>
        <v>4.7677875830079914</v>
      </c>
      <c r="G102" s="23">
        <f t="shared" ca="1" si="13"/>
        <v>6677.8176051740083</v>
      </c>
      <c r="I102" s="4">
        <v>95</v>
      </c>
      <c r="R102" s="19"/>
      <c r="S102" s="23"/>
      <c r="U102" s="23"/>
      <c r="AA102" s="18"/>
      <c r="AF102" s="23"/>
      <c r="AL102" s="18"/>
    </row>
    <row r="103" spans="1:38" x14ac:dyDescent="0.2">
      <c r="A103" s="18">
        <f t="shared" ca="1" si="14"/>
        <v>32</v>
      </c>
      <c r="B103" s="24">
        <f t="shared" ca="1" si="10"/>
        <v>2.0781199271286472</v>
      </c>
      <c r="C103" s="23">
        <f t="shared" ca="1" si="11"/>
        <v>1198.1531341399686</v>
      </c>
      <c r="E103" s="18">
        <f t="shared" ca="1" si="15"/>
        <v>184</v>
      </c>
      <c r="F103" s="24">
        <f t="shared" ca="1" si="12"/>
        <v>13.746491650811786</v>
      </c>
      <c r="G103" s="23">
        <f t="shared" ca="1" si="13"/>
        <v>14159.687276564517</v>
      </c>
      <c r="I103" s="4">
        <v>96</v>
      </c>
      <c r="R103" s="19"/>
      <c r="S103" s="23"/>
      <c r="U103" s="23"/>
      <c r="AA103" s="18"/>
      <c r="AF103" s="23"/>
      <c r="AL103" s="18"/>
    </row>
    <row r="104" spans="1:38" x14ac:dyDescent="0.2">
      <c r="A104" s="18">
        <f t="shared" ca="1" si="14"/>
        <v>7</v>
      </c>
      <c r="B104" s="24">
        <f t="shared" ref="B104:B135" ca="1" si="16">VLOOKUP(A104,control,2,FALSE)</f>
        <v>6.9295998689004641</v>
      </c>
      <c r="C104" s="23">
        <f t="shared" ca="1" si="11"/>
        <v>5326.9273592200743</v>
      </c>
      <c r="E104" s="18">
        <f t="shared" ca="1" si="15"/>
        <v>171</v>
      </c>
      <c r="F104" s="24">
        <f t="shared" ref="F104:F135" ca="1" si="17">VLOOKUP(E104,treatment,2,FALSE)</f>
        <v>11.126572109243085</v>
      </c>
      <c r="G104" s="23">
        <f t="shared" ca="1" si="13"/>
        <v>13769.325166504534</v>
      </c>
      <c r="I104" s="4">
        <v>97</v>
      </c>
      <c r="R104" s="19"/>
      <c r="S104" s="23"/>
      <c r="U104" s="23"/>
      <c r="AA104" s="18"/>
      <c r="AF104" s="23"/>
      <c r="AL104" s="18"/>
    </row>
    <row r="105" spans="1:38" x14ac:dyDescent="0.2">
      <c r="A105" s="18">
        <f t="shared" ca="1" si="14"/>
        <v>18</v>
      </c>
      <c r="B105" s="24">
        <f t="shared" ca="1" si="16"/>
        <v>5.1040899232915473</v>
      </c>
      <c r="C105" s="23">
        <f t="shared" ca="1" si="11"/>
        <v>2879.7711988053347</v>
      </c>
      <c r="E105" s="18">
        <f t="shared" ca="1" si="15"/>
        <v>149</v>
      </c>
      <c r="F105" s="24">
        <f t="shared" ca="1" si="17"/>
        <v>12.143761707957653</v>
      </c>
      <c r="G105" s="23">
        <f t="shared" ca="1" si="13"/>
        <v>11829.126795409478</v>
      </c>
      <c r="I105" s="4">
        <v>98</v>
      </c>
      <c r="R105" s="19"/>
      <c r="S105" s="23"/>
      <c r="U105" s="23"/>
      <c r="AA105" s="18"/>
      <c r="AF105" s="23"/>
      <c r="AL105" s="18"/>
    </row>
    <row r="106" spans="1:38" x14ac:dyDescent="0.2">
      <c r="A106" s="18">
        <f t="shared" ca="1" si="14"/>
        <v>95</v>
      </c>
      <c r="B106" s="24">
        <f t="shared" ca="1" si="16"/>
        <v>0.41208377176804351</v>
      </c>
      <c r="C106" s="23">
        <f t="shared" ca="1" si="11"/>
        <v>936.69917305127171</v>
      </c>
      <c r="E106" s="18">
        <f t="shared" ca="1" si="15"/>
        <v>150</v>
      </c>
      <c r="F106" s="24">
        <f t="shared" ca="1" si="17"/>
        <v>6.0049740413370554</v>
      </c>
      <c r="G106" s="23">
        <f t="shared" ca="1" si="13"/>
        <v>9379.3806111566773</v>
      </c>
      <c r="I106" s="4">
        <v>99</v>
      </c>
      <c r="R106" s="19"/>
      <c r="S106" s="23"/>
      <c r="U106" s="23"/>
      <c r="AA106" s="18"/>
      <c r="AF106" s="23"/>
      <c r="AL106" s="18"/>
    </row>
    <row r="107" spans="1:38" x14ac:dyDescent="0.2">
      <c r="A107" s="18">
        <f t="shared" ca="1" si="14"/>
        <v>92</v>
      </c>
      <c r="B107" s="24">
        <f t="shared" ca="1" si="16"/>
        <v>5.3925770713520773</v>
      </c>
      <c r="C107" s="23">
        <f t="shared" ca="1" si="11"/>
        <v>14707.58675871268</v>
      </c>
      <c r="E107" s="18">
        <f t="shared" ca="1" si="15"/>
        <v>189</v>
      </c>
      <c r="F107" s="24">
        <f t="shared" ca="1" si="17"/>
        <v>6.5783863718503444</v>
      </c>
      <c r="G107" s="23">
        <f t="shared" ca="1" si="13"/>
        <v>7607.3842817706518</v>
      </c>
      <c r="I107" s="4">
        <v>100</v>
      </c>
      <c r="R107" s="19"/>
      <c r="S107" s="23"/>
      <c r="U107" s="23"/>
      <c r="AA107" s="18"/>
      <c r="AF107" s="23"/>
      <c r="AL107" s="18"/>
    </row>
    <row r="108" spans="1:38" x14ac:dyDescent="0.2">
      <c r="I108" s="4">
        <v>101</v>
      </c>
      <c r="R108" s="19"/>
      <c r="S108" s="23"/>
      <c r="U108" s="23"/>
      <c r="AA108" s="18"/>
      <c r="AF108" s="23"/>
      <c r="AL108" s="18"/>
    </row>
    <row r="109" spans="1:38" x14ac:dyDescent="0.2">
      <c r="A109" s="15" t="s">
        <v>12</v>
      </c>
      <c r="B109" s="24">
        <f ca="1">AVERAGE(B8:B107)</f>
        <v>5.7456785768404668</v>
      </c>
      <c r="C109" s="23">
        <f ca="1">AVERAGE(C8:C107)</f>
        <v>7726.5123503118348</v>
      </c>
      <c r="F109" s="24">
        <f ca="1">AVERAGE(F8:F107)</f>
        <v>7.1586711983093378</v>
      </c>
      <c r="G109" s="23">
        <f ca="1">AVERAGE(G8:G107)</f>
        <v>9983.4099888871078</v>
      </c>
      <c r="I109" s="4">
        <v>102</v>
      </c>
      <c r="R109" s="19"/>
      <c r="S109" s="23"/>
      <c r="U109" s="23"/>
      <c r="AA109" s="18"/>
      <c r="AF109" s="23"/>
      <c r="AL109" s="18"/>
    </row>
    <row r="110" spans="1:38" x14ac:dyDescent="0.2">
      <c r="I110" s="4">
        <v>103</v>
      </c>
      <c r="R110" s="19"/>
      <c r="S110" s="23"/>
      <c r="U110" s="23"/>
      <c r="AA110" s="18"/>
      <c r="AF110" s="23"/>
      <c r="AL110" s="18"/>
    </row>
    <row r="111" spans="1:38" x14ac:dyDescent="0.2">
      <c r="A111"/>
      <c r="B111"/>
      <c r="C111"/>
      <c r="D111"/>
      <c r="E111"/>
      <c r="F111"/>
      <c r="G111"/>
      <c r="I111" s="4">
        <v>104</v>
      </c>
      <c r="R111" s="19"/>
      <c r="S111" s="23"/>
      <c r="U111" s="23"/>
      <c r="AA111" s="18"/>
      <c r="AF111" s="23"/>
      <c r="AL111" s="18"/>
    </row>
    <row r="112" spans="1:38" x14ac:dyDescent="0.2">
      <c r="A112"/>
      <c r="B112"/>
      <c r="C112"/>
      <c r="D112"/>
      <c r="E112"/>
      <c r="F112"/>
      <c r="G112"/>
      <c r="I112" s="4">
        <v>105</v>
      </c>
      <c r="R112" s="19"/>
      <c r="S112" s="23"/>
      <c r="U112" s="23"/>
      <c r="AA112" s="18"/>
      <c r="AF112" s="23"/>
      <c r="AL112" s="18"/>
    </row>
    <row r="113" spans="1:38" x14ac:dyDescent="0.2">
      <c r="A113"/>
      <c r="B113"/>
      <c r="C113"/>
      <c r="D113"/>
      <c r="E113"/>
      <c r="F113"/>
      <c r="G113"/>
      <c r="I113" s="4">
        <v>106</v>
      </c>
      <c r="R113" s="19"/>
      <c r="S113" s="23"/>
      <c r="U113" s="23"/>
      <c r="AA113" s="18"/>
      <c r="AF113" s="23"/>
      <c r="AL113" s="18"/>
    </row>
    <row r="114" spans="1:38" x14ac:dyDescent="0.2">
      <c r="A114"/>
      <c r="B114"/>
      <c r="C114"/>
      <c r="D114"/>
      <c r="E114"/>
      <c r="F114"/>
      <c r="G114"/>
      <c r="I114" s="4">
        <v>107</v>
      </c>
      <c r="R114" s="19"/>
      <c r="S114" s="23"/>
      <c r="U114" s="23"/>
      <c r="AA114" s="18"/>
      <c r="AF114" s="23"/>
      <c r="AL114" s="18"/>
    </row>
    <row r="115" spans="1:38" x14ac:dyDescent="0.2">
      <c r="I115" s="4">
        <v>108</v>
      </c>
      <c r="R115" s="19"/>
      <c r="S115" s="23"/>
      <c r="U115" s="23"/>
      <c r="AA115" s="18"/>
      <c r="AF115" s="23"/>
      <c r="AL115" s="18"/>
    </row>
    <row r="116" spans="1:38" x14ac:dyDescent="0.2">
      <c r="I116" s="4">
        <v>109</v>
      </c>
      <c r="R116" s="19"/>
      <c r="S116" s="23"/>
      <c r="U116" s="23"/>
      <c r="AA116" s="18"/>
      <c r="AF116" s="23"/>
      <c r="AL116" s="18"/>
    </row>
    <row r="117" spans="1:38" x14ac:dyDescent="0.2">
      <c r="I117" s="4">
        <v>110</v>
      </c>
      <c r="R117" s="19"/>
      <c r="S117" s="23"/>
      <c r="U117" s="23"/>
      <c r="AA117" s="18"/>
      <c r="AF117" s="23"/>
      <c r="AL117" s="18"/>
    </row>
    <row r="118" spans="1:38" x14ac:dyDescent="0.2">
      <c r="I118" s="4">
        <v>111</v>
      </c>
      <c r="R118" s="19"/>
      <c r="S118" s="23"/>
      <c r="U118" s="23"/>
      <c r="AA118" s="18"/>
      <c r="AF118" s="23"/>
      <c r="AL118" s="18"/>
    </row>
    <row r="119" spans="1:38" x14ac:dyDescent="0.2">
      <c r="I119" s="4">
        <v>112</v>
      </c>
      <c r="R119" s="19"/>
      <c r="S119" s="23"/>
      <c r="U119" s="23"/>
      <c r="AA119" s="18"/>
      <c r="AF119" s="23"/>
      <c r="AL119" s="18"/>
    </row>
    <row r="120" spans="1:38" x14ac:dyDescent="0.2">
      <c r="I120" s="4">
        <v>113</v>
      </c>
      <c r="R120" s="19"/>
      <c r="S120" s="23"/>
      <c r="U120" s="23"/>
      <c r="AA120" s="18"/>
      <c r="AF120" s="23"/>
      <c r="AL120" s="18"/>
    </row>
    <row r="121" spans="1:38" x14ac:dyDescent="0.2">
      <c r="I121" s="4">
        <v>114</v>
      </c>
      <c r="R121" s="19"/>
      <c r="S121" s="23"/>
      <c r="U121" s="23"/>
      <c r="AA121" s="18"/>
      <c r="AF121" s="23"/>
      <c r="AL121" s="18"/>
    </row>
    <row r="122" spans="1:38" x14ac:dyDescent="0.2">
      <c r="I122" s="4">
        <v>115</v>
      </c>
      <c r="R122" s="19"/>
      <c r="S122" s="23"/>
      <c r="U122" s="23"/>
      <c r="AA122" s="18"/>
      <c r="AF122" s="23"/>
      <c r="AL122" s="18"/>
    </row>
    <row r="123" spans="1:38" x14ac:dyDescent="0.2">
      <c r="I123" s="4">
        <v>116</v>
      </c>
      <c r="R123" s="19"/>
      <c r="S123" s="23"/>
      <c r="U123" s="23"/>
      <c r="AA123" s="18"/>
      <c r="AF123" s="23"/>
      <c r="AL123" s="18"/>
    </row>
    <row r="124" spans="1:38" x14ac:dyDescent="0.2">
      <c r="I124" s="4">
        <v>117</v>
      </c>
      <c r="R124" s="19"/>
      <c r="S124" s="23"/>
      <c r="U124" s="23"/>
      <c r="AA124" s="18"/>
      <c r="AF124" s="23"/>
      <c r="AL124" s="18"/>
    </row>
    <row r="125" spans="1:38" x14ac:dyDescent="0.2">
      <c r="I125" s="4">
        <v>118</v>
      </c>
      <c r="R125" s="19"/>
      <c r="S125" s="23"/>
      <c r="U125" s="23"/>
      <c r="AA125" s="18"/>
      <c r="AF125" s="23"/>
      <c r="AL125" s="18"/>
    </row>
    <row r="126" spans="1:38" x14ac:dyDescent="0.2">
      <c r="I126" s="4">
        <v>119</v>
      </c>
      <c r="R126" s="19"/>
      <c r="S126" s="23"/>
      <c r="U126" s="23"/>
      <c r="AA126" s="18"/>
      <c r="AF126" s="23"/>
      <c r="AL126" s="18"/>
    </row>
    <row r="127" spans="1:38" x14ac:dyDescent="0.2">
      <c r="I127" s="4">
        <v>120</v>
      </c>
      <c r="R127" s="19"/>
      <c r="S127" s="23"/>
      <c r="U127" s="23"/>
      <c r="AA127" s="18"/>
      <c r="AF127" s="23"/>
      <c r="AL127" s="18"/>
    </row>
    <row r="128" spans="1:38" x14ac:dyDescent="0.2">
      <c r="I128" s="4">
        <v>121</v>
      </c>
      <c r="R128" s="19"/>
      <c r="S128" s="23"/>
      <c r="U128" s="23"/>
      <c r="AA128" s="18"/>
      <c r="AF128" s="23"/>
      <c r="AL128" s="18"/>
    </row>
    <row r="129" spans="9:38" x14ac:dyDescent="0.2">
      <c r="I129" s="4">
        <v>122</v>
      </c>
      <c r="R129" s="19"/>
      <c r="S129" s="23"/>
      <c r="U129" s="23"/>
      <c r="AA129" s="18"/>
      <c r="AF129" s="23"/>
      <c r="AL129" s="18"/>
    </row>
    <row r="130" spans="9:38" x14ac:dyDescent="0.2">
      <c r="I130" s="4">
        <v>123</v>
      </c>
      <c r="R130" s="19"/>
      <c r="S130" s="23"/>
      <c r="U130" s="23"/>
      <c r="AA130" s="18"/>
      <c r="AF130" s="23"/>
      <c r="AL130" s="18"/>
    </row>
    <row r="131" spans="9:38" x14ac:dyDescent="0.2">
      <c r="I131" s="4">
        <v>124</v>
      </c>
      <c r="R131" s="19"/>
      <c r="S131" s="23"/>
      <c r="U131" s="23"/>
      <c r="AA131" s="18"/>
      <c r="AF131" s="23"/>
      <c r="AL131" s="18"/>
    </row>
    <row r="132" spans="9:38" x14ac:dyDescent="0.2">
      <c r="I132" s="4">
        <v>125</v>
      </c>
      <c r="R132" s="19"/>
      <c r="S132" s="23"/>
      <c r="U132" s="23"/>
      <c r="AA132" s="18"/>
      <c r="AF132" s="23"/>
      <c r="AL132" s="18"/>
    </row>
    <row r="133" spans="9:38" x14ac:dyDescent="0.2">
      <c r="I133" s="4">
        <v>126</v>
      </c>
      <c r="R133" s="19"/>
      <c r="S133" s="23"/>
      <c r="U133" s="23"/>
      <c r="AA133" s="18"/>
      <c r="AF133" s="23"/>
      <c r="AL133" s="18"/>
    </row>
    <row r="134" spans="9:38" x14ac:dyDescent="0.2">
      <c r="I134" s="4">
        <v>127</v>
      </c>
      <c r="R134" s="19"/>
      <c r="S134" s="23"/>
      <c r="U134" s="23"/>
      <c r="AA134" s="18"/>
      <c r="AF134" s="23"/>
      <c r="AL134" s="18"/>
    </row>
    <row r="135" spans="9:38" x14ac:dyDescent="0.2">
      <c r="I135" s="4">
        <v>128</v>
      </c>
      <c r="R135" s="19"/>
      <c r="S135" s="23"/>
      <c r="U135" s="23"/>
      <c r="AA135" s="18"/>
      <c r="AF135" s="23"/>
      <c r="AL135" s="18"/>
    </row>
    <row r="136" spans="9:38" x14ac:dyDescent="0.2">
      <c r="I136" s="4">
        <v>129</v>
      </c>
      <c r="R136" s="19"/>
      <c r="S136" s="23"/>
      <c r="U136" s="23"/>
      <c r="AA136" s="18"/>
      <c r="AF136" s="23"/>
      <c r="AL136" s="18"/>
    </row>
    <row r="137" spans="9:38" x14ac:dyDescent="0.2">
      <c r="I137" s="4">
        <v>130</v>
      </c>
      <c r="R137" s="19"/>
      <c r="S137" s="23"/>
      <c r="U137" s="23"/>
      <c r="AA137" s="18"/>
      <c r="AF137" s="23"/>
      <c r="AL137" s="18"/>
    </row>
    <row r="138" spans="9:38" x14ac:dyDescent="0.2">
      <c r="I138" s="4">
        <v>131</v>
      </c>
      <c r="R138" s="19"/>
      <c r="S138" s="23"/>
      <c r="U138" s="23"/>
      <c r="AA138" s="18"/>
      <c r="AF138" s="23"/>
      <c r="AL138" s="18"/>
    </row>
    <row r="139" spans="9:38" x14ac:dyDescent="0.2">
      <c r="I139" s="4">
        <v>132</v>
      </c>
      <c r="R139" s="19"/>
      <c r="S139" s="23"/>
      <c r="U139" s="23"/>
      <c r="AA139" s="18"/>
      <c r="AF139" s="23"/>
      <c r="AL139" s="18"/>
    </row>
    <row r="140" spans="9:38" x14ac:dyDescent="0.2">
      <c r="I140" s="4">
        <v>133</v>
      </c>
      <c r="R140" s="19"/>
      <c r="S140" s="23"/>
      <c r="U140" s="23"/>
      <c r="AA140" s="18"/>
      <c r="AF140" s="23"/>
      <c r="AL140" s="18"/>
    </row>
    <row r="141" spans="9:38" x14ac:dyDescent="0.2">
      <c r="I141" s="4">
        <v>134</v>
      </c>
      <c r="R141" s="19"/>
      <c r="S141" s="23"/>
      <c r="U141" s="23"/>
      <c r="AA141" s="18"/>
      <c r="AF141" s="23"/>
      <c r="AL141" s="18"/>
    </row>
    <row r="142" spans="9:38" x14ac:dyDescent="0.2">
      <c r="I142" s="4">
        <v>135</v>
      </c>
      <c r="R142" s="19"/>
      <c r="S142" s="23"/>
      <c r="U142" s="23"/>
      <c r="AA142" s="18"/>
      <c r="AF142" s="23"/>
      <c r="AL142" s="18"/>
    </row>
    <row r="143" spans="9:38" x14ac:dyDescent="0.2">
      <c r="I143" s="4">
        <v>136</v>
      </c>
      <c r="R143" s="19"/>
      <c r="S143" s="23"/>
      <c r="U143" s="23"/>
      <c r="AA143" s="18"/>
      <c r="AF143" s="23"/>
      <c r="AL143" s="18"/>
    </row>
    <row r="144" spans="9:38" x14ac:dyDescent="0.2">
      <c r="I144" s="4">
        <v>137</v>
      </c>
      <c r="R144" s="19"/>
      <c r="S144" s="23"/>
      <c r="U144" s="23"/>
      <c r="AA144" s="18"/>
      <c r="AF144" s="23"/>
      <c r="AL144" s="18"/>
    </row>
    <row r="145" spans="9:38" x14ac:dyDescent="0.2">
      <c r="I145" s="4">
        <v>138</v>
      </c>
      <c r="R145" s="19"/>
      <c r="S145" s="23"/>
      <c r="U145" s="23"/>
      <c r="AA145" s="18"/>
      <c r="AF145" s="23"/>
      <c r="AL145" s="18"/>
    </row>
    <row r="146" spans="9:38" x14ac:dyDescent="0.2">
      <c r="I146" s="4">
        <v>139</v>
      </c>
      <c r="R146" s="19"/>
      <c r="S146" s="23"/>
      <c r="U146" s="23"/>
      <c r="AA146" s="18"/>
      <c r="AF146" s="23"/>
      <c r="AL146" s="18"/>
    </row>
    <row r="147" spans="9:38" x14ac:dyDescent="0.2">
      <c r="I147" s="4">
        <v>140</v>
      </c>
      <c r="R147" s="19"/>
      <c r="S147" s="23"/>
      <c r="U147" s="23"/>
      <c r="AA147" s="18"/>
      <c r="AF147" s="23"/>
      <c r="AL147" s="18"/>
    </row>
    <row r="148" spans="9:38" x14ac:dyDescent="0.2">
      <c r="I148" s="4">
        <v>141</v>
      </c>
      <c r="R148" s="19"/>
      <c r="S148" s="23"/>
      <c r="U148" s="23"/>
      <c r="AA148" s="18"/>
      <c r="AF148" s="23"/>
      <c r="AL148" s="18"/>
    </row>
    <row r="149" spans="9:38" x14ac:dyDescent="0.2">
      <c r="I149" s="4">
        <v>142</v>
      </c>
      <c r="R149" s="19"/>
      <c r="S149" s="23"/>
      <c r="U149" s="23"/>
      <c r="AA149" s="18"/>
      <c r="AF149" s="23"/>
      <c r="AL149" s="18"/>
    </row>
    <row r="150" spans="9:38" x14ac:dyDescent="0.2">
      <c r="I150" s="4">
        <v>143</v>
      </c>
      <c r="R150" s="19"/>
      <c r="S150" s="23"/>
      <c r="U150" s="23"/>
      <c r="AA150" s="18"/>
      <c r="AF150" s="23"/>
      <c r="AL150" s="18"/>
    </row>
    <row r="151" spans="9:38" x14ac:dyDescent="0.2">
      <c r="I151" s="4">
        <v>144</v>
      </c>
      <c r="R151" s="19"/>
      <c r="S151" s="23"/>
      <c r="U151" s="23"/>
      <c r="AA151" s="18"/>
      <c r="AF151" s="23"/>
      <c r="AL151" s="18"/>
    </row>
    <row r="152" spans="9:38" x14ac:dyDescent="0.2">
      <c r="I152" s="4">
        <v>145</v>
      </c>
      <c r="R152" s="19"/>
      <c r="S152" s="23"/>
      <c r="U152" s="23"/>
      <c r="AA152" s="18"/>
      <c r="AF152" s="23"/>
      <c r="AL152" s="18"/>
    </row>
    <row r="153" spans="9:38" x14ac:dyDescent="0.2">
      <c r="I153" s="4">
        <v>146</v>
      </c>
      <c r="R153" s="19"/>
      <c r="S153" s="23"/>
      <c r="U153" s="23"/>
      <c r="AA153" s="18"/>
      <c r="AF153" s="23"/>
      <c r="AL153" s="18"/>
    </row>
    <row r="154" spans="9:38" x14ac:dyDescent="0.2">
      <c r="I154" s="4">
        <v>147</v>
      </c>
      <c r="R154" s="19"/>
      <c r="S154" s="23"/>
      <c r="U154" s="23"/>
      <c r="AA154" s="18"/>
      <c r="AF154" s="23"/>
      <c r="AL154" s="18"/>
    </row>
    <row r="155" spans="9:38" x14ac:dyDescent="0.2">
      <c r="I155" s="4">
        <v>148</v>
      </c>
      <c r="R155" s="19"/>
      <c r="S155" s="23"/>
      <c r="U155" s="23"/>
      <c r="AA155" s="18"/>
      <c r="AF155" s="23"/>
      <c r="AL155" s="18"/>
    </row>
    <row r="156" spans="9:38" x14ac:dyDescent="0.2">
      <c r="I156" s="4">
        <v>149</v>
      </c>
      <c r="R156" s="19"/>
      <c r="S156" s="23"/>
      <c r="U156" s="23"/>
      <c r="AA156" s="18"/>
      <c r="AF156" s="23"/>
      <c r="AL156" s="18"/>
    </row>
    <row r="157" spans="9:38" x14ac:dyDescent="0.2">
      <c r="I157" s="4">
        <v>150</v>
      </c>
      <c r="R157" s="19"/>
      <c r="S157" s="23"/>
      <c r="U157" s="23"/>
      <c r="AA157" s="18"/>
      <c r="AF157" s="23"/>
      <c r="AL157" s="18"/>
    </row>
    <row r="158" spans="9:38" x14ac:dyDescent="0.2">
      <c r="I158" s="4">
        <v>151</v>
      </c>
      <c r="R158" s="19"/>
      <c r="S158" s="23"/>
      <c r="U158" s="23"/>
      <c r="AA158" s="18"/>
      <c r="AF158" s="23"/>
      <c r="AL158" s="18"/>
    </row>
    <row r="159" spans="9:38" x14ac:dyDescent="0.2">
      <c r="I159" s="4">
        <v>152</v>
      </c>
      <c r="R159" s="19"/>
      <c r="S159" s="23"/>
      <c r="U159" s="23"/>
      <c r="AA159" s="18"/>
      <c r="AF159" s="23"/>
      <c r="AL159" s="18"/>
    </row>
    <row r="160" spans="9:38" x14ac:dyDescent="0.2">
      <c r="I160" s="4">
        <v>153</v>
      </c>
      <c r="R160" s="19"/>
      <c r="S160" s="23"/>
      <c r="U160" s="23"/>
      <c r="AA160" s="18"/>
      <c r="AF160" s="23"/>
      <c r="AL160" s="18"/>
    </row>
    <row r="161" spans="9:38" x14ac:dyDescent="0.2">
      <c r="I161" s="4">
        <v>154</v>
      </c>
      <c r="R161" s="19"/>
      <c r="S161" s="23"/>
      <c r="U161" s="23"/>
      <c r="AA161" s="18"/>
      <c r="AF161" s="23"/>
      <c r="AL161" s="18"/>
    </row>
    <row r="162" spans="9:38" x14ac:dyDescent="0.2">
      <c r="I162" s="4">
        <v>155</v>
      </c>
      <c r="R162" s="19"/>
      <c r="S162" s="23"/>
      <c r="U162" s="23"/>
      <c r="AA162" s="18"/>
      <c r="AF162" s="23"/>
      <c r="AL162" s="18"/>
    </row>
    <row r="163" spans="9:38" x14ac:dyDescent="0.2">
      <c r="I163" s="4">
        <v>156</v>
      </c>
      <c r="R163" s="19"/>
      <c r="S163" s="23"/>
      <c r="U163" s="23"/>
      <c r="AA163" s="18"/>
      <c r="AF163" s="23"/>
      <c r="AL163" s="18"/>
    </row>
    <row r="164" spans="9:38" x14ac:dyDescent="0.2">
      <c r="I164" s="4">
        <v>157</v>
      </c>
      <c r="R164" s="19"/>
      <c r="S164" s="23"/>
      <c r="U164" s="23"/>
      <c r="AA164" s="18"/>
      <c r="AF164" s="23"/>
      <c r="AL164" s="18"/>
    </row>
    <row r="165" spans="9:38" x14ac:dyDescent="0.2">
      <c r="I165" s="4">
        <v>158</v>
      </c>
      <c r="R165" s="19"/>
      <c r="S165" s="23"/>
      <c r="U165" s="23"/>
      <c r="AA165" s="18"/>
      <c r="AF165" s="23"/>
      <c r="AL165" s="18"/>
    </row>
    <row r="166" spans="9:38" x14ac:dyDescent="0.2">
      <c r="I166" s="4">
        <v>159</v>
      </c>
      <c r="R166" s="19"/>
      <c r="S166" s="23"/>
      <c r="U166" s="23"/>
      <c r="AA166" s="18"/>
      <c r="AF166" s="23"/>
      <c r="AL166" s="18"/>
    </row>
    <row r="167" spans="9:38" x14ac:dyDescent="0.2">
      <c r="I167" s="4">
        <v>160</v>
      </c>
      <c r="R167" s="19"/>
      <c r="S167" s="23"/>
      <c r="U167" s="23"/>
      <c r="AA167" s="18"/>
      <c r="AF167" s="23"/>
      <c r="AL167" s="18"/>
    </row>
    <row r="168" spans="9:38" x14ac:dyDescent="0.2">
      <c r="I168" s="4">
        <v>161</v>
      </c>
      <c r="R168" s="19"/>
      <c r="S168" s="23"/>
      <c r="U168" s="23"/>
      <c r="AA168" s="18"/>
      <c r="AF168" s="23"/>
      <c r="AL168" s="18"/>
    </row>
    <row r="169" spans="9:38" x14ac:dyDescent="0.2">
      <c r="I169" s="4">
        <v>162</v>
      </c>
      <c r="R169" s="19"/>
      <c r="S169" s="23"/>
      <c r="U169" s="23"/>
      <c r="AA169" s="18"/>
      <c r="AF169" s="23"/>
      <c r="AL169" s="18"/>
    </row>
    <row r="170" spans="9:38" x14ac:dyDescent="0.2">
      <c r="I170" s="4">
        <v>163</v>
      </c>
      <c r="R170" s="19"/>
      <c r="S170" s="23"/>
      <c r="U170" s="23"/>
      <c r="AA170" s="18"/>
      <c r="AF170" s="23"/>
      <c r="AL170" s="18"/>
    </row>
    <row r="171" spans="9:38" x14ac:dyDescent="0.2">
      <c r="I171" s="4">
        <v>164</v>
      </c>
      <c r="R171" s="19"/>
      <c r="S171" s="23"/>
      <c r="U171" s="23"/>
      <c r="AA171" s="18"/>
      <c r="AF171" s="23"/>
      <c r="AL171" s="18"/>
    </row>
    <row r="172" spans="9:38" x14ac:dyDescent="0.2">
      <c r="I172" s="4">
        <v>165</v>
      </c>
      <c r="R172" s="19"/>
      <c r="S172" s="23"/>
      <c r="U172" s="23"/>
      <c r="AA172" s="18"/>
      <c r="AF172" s="23"/>
      <c r="AL172" s="18"/>
    </row>
    <row r="173" spans="9:38" x14ac:dyDescent="0.2">
      <c r="I173" s="4">
        <v>166</v>
      </c>
      <c r="R173" s="19"/>
      <c r="S173" s="23"/>
      <c r="U173" s="23"/>
      <c r="AA173" s="18"/>
      <c r="AF173" s="23"/>
      <c r="AL173" s="18"/>
    </row>
    <row r="174" spans="9:38" x14ac:dyDescent="0.2">
      <c r="I174" s="4">
        <v>167</v>
      </c>
      <c r="R174" s="19"/>
      <c r="S174" s="23"/>
      <c r="U174" s="23"/>
      <c r="AA174" s="18"/>
      <c r="AF174" s="23"/>
      <c r="AL174" s="18"/>
    </row>
    <row r="175" spans="9:38" x14ac:dyDescent="0.2">
      <c r="I175" s="4">
        <v>168</v>
      </c>
      <c r="R175" s="19"/>
      <c r="S175" s="23"/>
      <c r="U175" s="23"/>
      <c r="AA175" s="18"/>
      <c r="AF175" s="23"/>
      <c r="AL175" s="18"/>
    </row>
    <row r="176" spans="9:38" x14ac:dyDescent="0.2">
      <c r="I176" s="4">
        <v>169</v>
      </c>
      <c r="R176" s="19"/>
      <c r="S176" s="23"/>
      <c r="U176" s="23"/>
      <c r="AA176" s="18"/>
      <c r="AF176" s="23"/>
      <c r="AL176" s="18"/>
    </row>
    <row r="177" spans="9:38" x14ac:dyDescent="0.2">
      <c r="I177" s="4">
        <v>170</v>
      </c>
      <c r="R177" s="19"/>
      <c r="S177" s="23"/>
      <c r="U177" s="23"/>
      <c r="AA177" s="18"/>
      <c r="AF177" s="23"/>
      <c r="AL177" s="18"/>
    </row>
    <row r="178" spans="9:38" x14ac:dyDescent="0.2">
      <c r="I178" s="4">
        <v>171</v>
      </c>
      <c r="R178" s="19"/>
      <c r="S178" s="23"/>
      <c r="U178" s="23"/>
      <c r="AA178" s="18"/>
      <c r="AF178" s="23"/>
      <c r="AL178" s="18"/>
    </row>
    <row r="179" spans="9:38" x14ac:dyDescent="0.2">
      <c r="I179" s="4">
        <v>172</v>
      </c>
      <c r="R179" s="19"/>
      <c r="S179" s="23"/>
      <c r="U179" s="23"/>
      <c r="AA179" s="18"/>
      <c r="AF179" s="23"/>
      <c r="AL179" s="18"/>
    </row>
    <row r="180" spans="9:38" x14ac:dyDescent="0.2">
      <c r="I180" s="4">
        <v>173</v>
      </c>
      <c r="R180" s="19"/>
      <c r="S180" s="23"/>
      <c r="U180" s="23"/>
      <c r="AA180" s="18"/>
      <c r="AF180" s="23"/>
      <c r="AL180" s="18"/>
    </row>
    <row r="181" spans="9:38" x14ac:dyDescent="0.2">
      <c r="I181" s="4">
        <v>174</v>
      </c>
      <c r="R181" s="19"/>
      <c r="S181" s="23"/>
      <c r="U181" s="23"/>
      <c r="AA181" s="18"/>
      <c r="AF181" s="23"/>
      <c r="AL181" s="18"/>
    </row>
    <row r="182" spans="9:38" x14ac:dyDescent="0.2">
      <c r="I182" s="4">
        <v>175</v>
      </c>
      <c r="R182" s="19"/>
      <c r="S182" s="23"/>
      <c r="U182" s="23"/>
      <c r="AA182" s="18"/>
      <c r="AF182" s="23"/>
      <c r="AL182" s="18"/>
    </row>
    <row r="183" spans="9:38" x14ac:dyDescent="0.2">
      <c r="I183" s="4">
        <v>176</v>
      </c>
      <c r="R183" s="19"/>
      <c r="S183" s="23"/>
      <c r="U183" s="23"/>
      <c r="AA183" s="18"/>
      <c r="AF183" s="23"/>
      <c r="AL183" s="18"/>
    </row>
    <row r="184" spans="9:38" x14ac:dyDescent="0.2">
      <c r="I184" s="4">
        <v>177</v>
      </c>
      <c r="R184" s="19"/>
      <c r="S184" s="23"/>
      <c r="U184" s="23"/>
      <c r="AA184" s="18"/>
      <c r="AF184" s="23"/>
      <c r="AL184" s="18"/>
    </row>
    <row r="185" spans="9:38" x14ac:dyDescent="0.2">
      <c r="I185" s="4">
        <v>178</v>
      </c>
      <c r="R185" s="19"/>
      <c r="S185" s="23"/>
      <c r="U185" s="23"/>
      <c r="AA185" s="18"/>
      <c r="AF185" s="23"/>
      <c r="AL185" s="18"/>
    </row>
    <row r="186" spans="9:38" x14ac:dyDescent="0.2">
      <c r="I186" s="4">
        <v>179</v>
      </c>
      <c r="R186" s="19"/>
      <c r="S186" s="23"/>
      <c r="U186" s="23"/>
      <c r="AA186" s="18"/>
      <c r="AF186" s="23"/>
      <c r="AL186" s="18"/>
    </row>
    <row r="187" spans="9:38" x14ac:dyDescent="0.2">
      <c r="I187" s="4">
        <v>180</v>
      </c>
      <c r="R187" s="19"/>
      <c r="S187" s="23"/>
      <c r="U187" s="23"/>
      <c r="AA187" s="18"/>
      <c r="AF187" s="23"/>
      <c r="AL187" s="18"/>
    </row>
    <row r="188" spans="9:38" x14ac:dyDescent="0.2">
      <c r="I188" s="4">
        <v>181</v>
      </c>
      <c r="R188" s="19"/>
      <c r="S188" s="23"/>
      <c r="U188" s="23"/>
      <c r="AA188" s="18"/>
      <c r="AF188" s="23"/>
      <c r="AL188" s="18"/>
    </row>
    <row r="189" spans="9:38" x14ac:dyDescent="0.2">
      <c r="I189" s="4">
        <v>182</v>
      </c>
      <c r="R189" s="19"/>
      <c r="S189" s="23"/>
      <c r="U189" s="23"/>
      <c r="AA189" s="18"/>
      <c r="AF189" s="23"/>
      <c r="AL189" s="18"/>
    </row>
    <row r="190" spans="9:38" x14ac:dyDescent="0.2">
      <c r="I190" s="4">
        <v>183</v>
      </c>
      <c r="R190" s="19"/>
      <c r="S190" s="23"/>
      <c r="U190" s="23"/>
      <c r="AA190" s="18"/>
      <c r="AF190" s="23"/>
      <c r="AL190" s="18"/>
    </row>
    <row r="191" spans="9:38" x14ac:dyDescent="0.2">
      <c r="I191" s="4">
        <v>184</v>
      </c>
      <c r="R191" s="19"/>
      <c r="S191" s="23"/>
      <c r="U191" s="23"/>
      <c r="AA191" s="18"/>
      <c r="AF191" s="23"/>
      <c r="AL191" s="18"/>
    </row>
    <row r="192" spans="9:38" x14ac:dyDescent="0.2">
      <c r="I192" s="4">
        <v>185</v>
      </c>
      <c r="R192" s="19"/>
      <c r="S192" s="23"/>
      <c r="U192" s="23"/>
      <c r="AA192" s="18"/>
      <c r="AF192" s="23"/>
      <c r="AL192" s="18"/>
    </row>
    <row r="193" spans="9:38" x14ac:dyDescent="0.2">
      <c r="I193" s="4">
        <v>186</v>
      </c>
      <c r="R193" s="19"/>
      <c r="S193" s="23"/>
      <c r="U193" s="23"/>
      <c r="AA193" s="18"/>
      <c r="AF193" s="23"/>
      <c r="AL193" s="18"/>
    </row>
    <row r="194" spans="9:38" x14ac:dyDescent="0.2">
      <c r="I194" s="4">
        <v>187</v>
      </c>
      <c r="R194" s="19"/>
      <c r="S194" s="23"/>
      <c r="U194" s="23"/>
      <c r="AA194" s="18"/>
      <c r="AF194" s="23"/>
      <c r="AL194" s="18"/>
    </row>
    <row r="195" spans="9:38" x14ac:dyDescent="0.2">
      <c r="I195" s="4">
        <v>188</v>
      </c>
      <c r="R195" s="19"/>
      <c r="S195" s="23"/>
      <c r="U195" s="23"/>
      <c r="AA195" s="18"/>
      <c r="AF195" s="23"/>
      <c r="AL195" s="18"/>
    </row>
    <row r="196" spans="9:38" x14ac:dyDescent="0.2">
      <c r="I196" s="4">
        <v>189</v>
      </c>
      <c r="R196" s="19"/>
      <c r="S196" s="23"/>
      <c r="U196" s="23"/>
      <c r="AA196" s="18"/>
      <c r="AF196" s="23"/>
      <c r="AL196" s="18"/>
    </row>
    <row r="197" spans="9:38" x14ac:dyDescent="0.2">
      <c r="I197" s="4">
        <v>190</v>
      </c>
      <c r="R197" s="19"/>
      <c r="S197" s="23"/>
      <c r="U197" s="23"/>
      <c r="AA197" s="18"/>
      <c r="AF197" s="23"/>
      <c r="AL197" s="18"/>
    </row>
    <row r="198" spans="9:38" x14ac:dyDescent="0.2">
      <c r="I198" s="4">
        <v>191</v>
      </c>
      <c r="R198" s="19"/>
      <c r="S198" s="23"/>
      <c r="U198" s="23"/>
      <c r="AA198" s="18"/>
      <c r="AF198" s="23"/>
      <c r="AL198" s="18"/>
    </row>
    <row r="199" spans="9:38" x14ac:dyDescent="0.2">
      <c r="I199" s="4">
        <v>192</v>
      </c>
      <c r="R199" s="19"/>
      <c r="S199" s="23"/>
      <c r="U199" s="23"/>
      <c r="AA199" s="18"/>
      <c r="AF199" s="23"/>
      <c r="AL199" s="18"/>
    </row>
    <row r="200" spans="9:38" x14ac:dyDescent="0.2">
      <c r="I200" s="4">
        <v>193</v>
      </c>
      <c r="R200" s="19"/>
      <c r="S200" s="23"/>
      <c r="U200" s="23"/>
      <c r="AA200" s="18"/>
      <c r="AF200" s="23"/>
      <c r="AL200" s="18"/>
    </row>
    <row r="201" spans="9:38" x14ac:dyDescent="0.2">
      <c r="I201" s="4">
        <v>194</v>
      </c>
      <c r="R201" s="19"/>
      <c r="S201" s="23"/>
      <c r="U201" s="23"/>
      <c r="AA201" s="18"/>
      <c r="AF201" s="23"/>
      <c r="AL201" s="18"/>
    </row>
    <row r="202" spans="9:38" x14ac:dyDescent="0.2">
      <c r="I202" s="4">
        <v>195</v>
      </c>
      <c r="R202" s="19"/>
      <c r="S202" s="23"/>
      <c r="U202" s="23"/>
      <c r="AA202" s="18"/>
      <c r="AF202" s="23"/>
      <c r="AL202" s="18"/>
    </row>
    <row r="203" spans="9:38" x14ac:dyDescent="0.2">
      <c r="I203" s="4">
        <v>196</v>
      </c>
      <c r="R203" s="19"/>
      <c r="S203" s="23"/>
      <c r="U203" s="23"/>
      <c r="AA203" s="18"/>
      <c r="AF203" s="23"/>
      <c r="AL203" s="18"/>
    </row>
    <row r="204" spans="9:38" x14ac:dyDescent="0.2">
      <c r="I204" s="4">
        <v>197</v>
      </c>
      <c r="R204" s="19"/>
      <c r="S204" s="23"/>
      <c r="U204" s="23"/>
      <c r="AA204" s="18"/>
      <c r="AF204" s="23"/>
      <c r="AL204" s="18"/>
    </row>
    <row r="205" spans="9:38" x14ac:dyDescent="0.2">
      <c r="I205" s="4">
        <v>198</v>
      </c>
      <c r="R205" s="19"/>
      <c r="S205" s="23"/>
      <c r="U205" s="23"/>
      <c r="AA205" s="18"/>
      <c r="AF205" s="23"/>
      <c r="AL205" s="18"/>
    </row>
    <row r="206" spans="9:38" x14ac:dyDescent="0.2">
      <c r="I206" s="4">
        <v>199</v>
      </c>
      <c r="R206" s="19"/>
      <c r="S206" s="23"/>
      <c r="U206" s="23"/>
      <c r="AA206" s="18"/>
      <c r="AF206" s="23"/>
      <c r="AL206" s="18"/>
    </row>
    <row r="207" spans="9:38" x14ac:dyDescent="0.2">
      <c r="I207" s="4">
        <v>200</v>
      </c>
      <c r="R207" s="19"/>
      <c r="S207" s="23"/>
      <c r="U207" s="23"/>
      <c r="AA207" s="18"/>
      <c r="AF207" s="23"/>
      <c r="AL207" s="18"/>
    </row>
    <row r="208" spans="9:38" x14ac:dyDescent="0.2">
      <c r="I208" s="4">
        <v>201</v>
      </c>
      <c r="R208" s="19"/>
      <c r="S208" s="23"/>
      <c r="U208" s="23"/>
      <c r="AA208" s="18"/>
      <c r="AF208" s="23"/>
      <c r="AL208" s="18"/>
    </row>
    <row r="209" spans="9:38" x14ac:dyDescent="0.2">
      <c r="I209" s="4">
        <v>202</v>
      </c>
      <c r="R209" s="19"/>
      <c r="S209" s="23"/>
      <c r="U209" s="23"/>
      <c r="AA209" s="18"/>
      <c r="AF209" s="23"/>
      <c r="AL209" s="18"/>
    </row>
    <row r="210" spans="9:38" x14ac:dyDescent="0.2">
      <c r="I210" s="4">
        <v>203</v>
      </c>
      <c r="R210" s="19"/>
      <c r="S210" s="23"/>
      <c r="U210" s="23"/>
      <c r="AA210" s="18"/>
      <c r="AF210" s="23"/>
      <c r="AL210" s="18"/>
    </row>
    <row r="211" spans="9:38" x14ac:dyDescent="0.2">
      <c r="I211" s="4">
        <v>204</v>
      </c>
      <c r="R211" s="19"/>
      <c r="S211" s="23"/>
      <c r="U211" s="23"/>
      <c r="AA211" s="18"/>
      <c r="AF211" s="23"/>
      <c r="AL211" s="18"/>
    </row>
    <row r="212" spans="9:38" x14ac:dyDescent="0.2">
      <c r="I212" s="4">
        <v>205</v>
      </c>
      <c r="R212" s="19"/>
      <c r="S212" s="23"/>
      <c r="U212" s="23"/>
      <c r="AA212" s="18"/>
      <c r="AF212" s="23"/>
      <c r="AL212" s="18"/>
    </row>
    <row r="213" spans="9:38" x14ac:dyDescent="0.2">
      <c r="I213" s="4">
        <v>206</v>
      </c>
      <c r="R213" s="19"/>
      <c r="S213" s="23"/>
      <c r="U213" s="23"/>
      <c r="AA213" s="18"/>
      <c r="AF213" s="23"/>
      <c r="AL213" s="18"/>
    </row>
    <row r="214" spans="9:38" x14ac:dyDescent="0.2">
      <c r="I214" s="4">
        <v>207</v>
      </c>
      <c r="R214" s="19"/>
      <c r="S214" s="23"/>
      <c r="U214" s="23"/>
      <c r="AA214" s="18"/>
      <c r="AF214" s="23"/>
      <c r="AL214" s="18"/>
    </row>
    <row r="215" spans="9:38" x14ac:dyDescent="0.2">
      <c r="I215" s="4">
        <v>208</v>
      </c>
      <c r="R215" s="19"/>
      <c r="S215" s="23"/>
      <c r="U215" s="23"/>
      <c r="AA215" s="18"/>
      <c r="AF215" s="23"/>
      <c r="AL215" s="18"/>
    </row>
    <row r="216" spans="9:38" x14ac:dyDescent="0.2">
      <c r="I216" s="4">
        <v>209</v>
      </c>
      <c r="R216" s="19"/>
      <c r="S216" s="23"/>
      <c r="U216" s="23"/>
      <c r="AA216" s="18"/>
      <c r="AF216" s="23"/>
      <c r="AL216" s="18"/>
    </row>
    <row r="217" spans="9:38" x14ac:dyDescent="0.2">
      <c r="I217" s="4">
        <v>210</v>
      </c>
      <c r="R217" s="19"/>
      <c r="S217" s="23"/>
      <c r="U217" s="23"/>
      <c r="AA217" s="18"/>
      <c r="AF217" s="23"/>
      <c r="AL217" s="18"/>
    </row>
    <row r="218" spans="9:38" x14ac:dyDescent="0.2">
      <c r="I218" s="4">
        <v>211</v>
      </c>
      <c r="R218" s="19"/>
      <c r="S218" s="23"/>
      <c r="U218" s="23"/>
      <c r="AA218" s="18"/>
      <c r="AF218" s="23"/>
      <c r="AL218" s="18"/>
    </row>
    <row r="219" spans="9:38" x14ac:dyDescent="0.2">
      <c r="I219" s="4">
        <v>212</v>
      </c>
      <c r="R219" s="19"/>
      <c r="S219" s="23"/>
      <c r="U219" s="23"/>
      <c r="AA219" s="18"/>
      <c r="AF219" s="23"/>
      <c r="AL219" s="18"/>
    </row>
    <row r="220" spans="9:38" x14ac:dyDescent="0.2">
      <c r="I220" s="4">
        <v>213</v>
      </c>
      <c r="R220" s="19"/>
      <c r="S220" s="23"/>
      <c r="U220" s="23"/>
      <c r="AA220" s="18"/>
      <c r="AF220" s="23"/>
      <c r="AL220" s="18"/>
    </row>
    <row r="221" spans="9:38" x14ac:dyDescent="0.2">
      <c r="I221" s="4">
        <v>214</v>
      </c>
      <c r="R221" s="19"/>
      <c r="S221" s="23"/>
      <c r="U221" s="23"/>
      <c r="AA221" s="18"/>
      <c r="AF221" s="23"/>
      <c r="AL221" s="18"/>
    </row>
    <row r="222" spans="9:38" x14ac:dyDescent="0.2">
      <c r="I222" s="4">
        <v>215</v>
      </c>
      <c r="R222" s="19"/>
      <c r="S222" s="23"/>
      <c r="U222" s="23"/>
      <c r="AA222" s="18"/>
      <c r="AF222" s="23"/>
      <c r="AL222" s="18"/>
    </row>
    <row r="223" spans="9:38" x14ac:dyDescent="0.2">
      <c r="I223" s="4">
        <v>216</v>
      </c>
      <c r="R223" s="19"/>
      <c r="S223" s="23"/>
      <c r="U223" s="23"/>
      <c r="AA223" s="18"/>
      <c r="AF223" s="23"/>
      <c r="AL223" s="18"/>
    </row>
    <row r="224" spans="9:38" x14ac:dyDescent="0.2">
      <c r="I224" s="4">
        <v>217</v>
      </c>
      <c r="R224" s="19"/>
      <c r="S224" s="23"/>
      <c r="U224" s="23"/>
      <c r="AA224" s="18"/>
      <c r="AF224" s="23"/>
      <c r="AL224" s="18"/>
    </row>
    <row r="225" spans="9:38" x14ac:dyDescent="0.2">
      <c r="I225" s="4">
        <v>218</v>
      </c>
      <c r="R225" s="19"/>
      <c r="S225" s="23"/>
      <c r="U225" s="23"/>
      <c r="AA225" s="18"/>
      <c r="AF225" s="23"/>
      <c r="AL225" s="18"/>
    </row>
    <row r="226" spans="9:38" x14ac:dyDescent="0.2">
      <c r="I226" s="4">
        <v>219</v>
      </c>
      <c r="R226" s="19"/>
      <c r="S226" s="23"/>
      <c r="U226" s="23"/>
      <c r="AA226" s="18"/>
      <c r="AF226" s="23"/>
      <c r="AL226" s="18"/>
    </row>
    <row r="227" spans="9:38" x14ac:dyDescent="0.2">
      <c r="I227" s="4">
        <v>220</v>
      </c>
      <c r="R227" s="19"/>
      <c r="S227" s="23"/>
      <c r="U227" s="23"/>
      <c r="AA227" s="18"/>
      <c r="AF227" s="23"/>
      <c r="AL227" s="18"/>
    </row>
    <row r="228" spans="9:38" x14ac:dyDescent="0.2">
      <c r="I228" s="4">
        <v>221</v>
      </c>
      <c r="R228" s="19"/>
      <c r="S228" s="23"/>
      <c r="U228" s="23"/>
      <c r="AA228" s="18"/>
      <c r="AF228" s="23"/>
      <c r="AL228" s="18"/>
    </row>
    <row r="229" spans="9:38" x14ac:dyDescent="0.2">
      <c r="I229" s="4">
        <v>222</v>
      </c>
      <c r="R229" s="19"/>
      <c r="S229" s="23"/>
      <c r="U229" s="23"/>
      <c r="AA229" s="18"/>
      <c r="AF229" s="23"/>
      <c r="AL229" s="18"/>
    </row>
    <row r="230" spans="9:38" x14ac:dyDescent="0.2">
      <c r="I230" s="4">
        <v>223</v>
      </c>
      <c r="R230" s="19"/>
      <c r="S230" s="23"/>
      <c r="U230" s="23"/>
      <c r="AA230" s="18"/>
      <c r="AF230" s="23"/>
      <c r="AL230" s="18"/>
    </row>
    <row r="231" spans="9:38" x14ac:dyDescent="0.2">
      <c r="I231" s="4">
        <v>224</v>
      </c>
      <c r="R231" s="19"/>
      <c r="S231" s="23"/>
      <c r="U231" s="23"/>
      <c r="AA231" s="18"/>
      <c r="AF231" s="23"/>
      <c r="AL231" s="18"/>
    </row>
    <row r="232" spans="9:38" x14ac:dyDescent="0.2">
      <c r="I232" s="4">
        <v>225</v>
      </c>
      <c r="R232" s="19"/>
      <c r="S232" s="23"/>
      <c r="U232" s="23"/>
      <c r="AA232" s="18"/>
      <c r="AF232" s="23"/>
      <c r="AL232" s="18"/>
    </row>
    <row r="233" spans="9:38" x14ac:dyDescent="0.2">
      <c r="I233" s="4">
        <v>226</v>
      </c>
      <c r="R233" s="19"/>
      <c r="S233" s="23"/>
      <c r="U233" s="23"/>
      <c r="AA233" s="18"/>
      <c r="AF233" s="23"/>
      <c r="AL233" s="18"/>
    </row>
    <row r="234" spans="9:38" x14ac:dyDescent="0.2">
      <c r="I234" s="4">
        <v>227</v>
      </c>
      <c r="R234" s="19"/>
      <c r="S234" s="23"/>
      <c r="U234" s="23"/>
      <c r="AA234" s="18"/>
      <c r="AF234" s="23"/>
      <c r="AL234" s="18"/>
    </row>
    <row r="235" spans="9:38" x14ac:dyDescent="0.2">
      <c r="I235" s="4">
        <v>228</v>
      </c>
      <c r="R235" s="19"/>
      <c r="S235" s="23"/>
      <c r="U235" s="23"/>
      <c r="AA235" s="18"/>
      <c r="AF235" s="23"/>
      <c r="AL235" s="18"/>
    </row>
    <row r="236" spans="9:38" x14ac:dyDescent="0.2">
      <c r="I236" s="4">
        <v>229</v>
      </c>
      <c r="R236" s="19"/>
      <c r="S236" s="23"/>
      <c r="U236" s="23"/>
      <c r="AA236" s="18"/>
      <c r="AF236" s="23"/>
      <c r="AL236" s="18"/>
    </row>
    <row r="237" spans="9:38" x14ac:dyDescent="0.2">
      <c r="I237" s="4">
        <v>230</v>
      </c>
      <c r="R237" s="19"/>
      <c r="S237" s="23"/>
      <c r="U237" s="23"/>
      <c r="AA237" s="18"/>
      <c r="AF237" s="23"/>
      <c r="AL237" s="18"/>
    </row>
    <row r="238" spans="9:38" x14ac:dyDescent="0.2">
      <c r="I238" s="4">
        <v>231</v>
      </c>
      <c r="R238" s="19"/>
      <c r="S238" s="23"/>
      <c r="U238" s="23"/>
      <c r="AA238" s="18"/>
      <c r="AF238" s="23"/>
      <c r="AL238" s="18"/>
    </row>
    <row r="239" spans="9:38" x14ac:dyDescent="0.2">
      <c r="I239" s="4">
        <v>232</v>
      </c>
      <c r="R239" s="19"/>
      <c r="S239" s="23"/>
      <c r="U239" s="23"/>
      <c r="AA239" s="18"/>
      <c r="AF239" s="23"/>
      <c r="AL239" s="18"/>
    </row>
    <row r="240" spans="9:38" x14ac:dyDescent="0.2">
      <c r="I240" s="4">
        <v>233</v>
      </c>
      <c r="R240" s="19"/>
      <c r="S240" s="23"/>
      <c r="U240" s="23"/>
      <c r="AA240" s="18"/>
      <c r="AF240" s="23"/>
      <c r="AL240" s="18"/>
    </row>
    <row r="241" spans="9:38" x14ac:dyDescent="0.2">
      <c r="I241" s="4">
        <v>234</v>
      </c>
      <c r="R241" s="19"/>
      <c r="S241" s="23"/>
      <c r="U241" s="23"/>
      <c r="AA241" s="18"/>
      <c r="AF241" s="23"/>
      <c r="AL241" s="18"/>
    </row>
    <row r="242" spans="9:38" x14ac:dyDescent="0.2">
      <c r="I242" s="4">
        <v>235</v>
      </c>
      <c r="R242" s="19"/>
      <c r="S242" s="23"/>
      <c r="U242" s="23"/>
      <c r="AA242" s="18"/>
      <c r="AF242" s="23"/>
      <c r="AL242" s="18"/>
    </row>
    <row r="243" spans="9:38" x14ac:dyDescent="0.2">
      <c r="I243" s="4">
        <v>236</v>
      </c>
      <c r="R243" s="19"/>
      <c r="S243" s="23"/>
      <c r="U243" s="23"/>
      <c r="AA243" s="18"/>
      <c r="AF243" s="23"/>
      <c r="AL243" s="18"/>
    </row>
    <row r="244" spans="9:38" x14ac:dyDescent="0.2">
      <c r="I244" s="4">
        <v>237</v>
      </c>
      <c r="R244" s="19"/>
      <c r="S244" s="23"/>
      <c r="U244" s="23"/>
      <c r="AA244" s="18"/>
      <c r="AF244" s="23"/>
      <c r="AL244" s="18"/>
    </row>
    <row r="245" spans="9:38" x14ac:dyDescent="0.2">
      <c r="I245" s="4">
        <v>238</v>
      </c>
      <c r="R245" s="19"/>
      <c r="S245" s="23"/>
      <c r="U245" s="23"/>
      <c r="AA245" s="18"/>
      <c r="AF245" s="23"/>
      <c r="AL245" s="18"/>
    </row>
    <row r="246" spans="9:38" x14ac:dyDescent="0.2">
      <c r="I246" s="4">
        <v>239</v>
      </c>
      <c r="R246" s="19"/>
      <c r="S246" s="23"/>
      <c r="U246" s="23"/>
      <c r="AA246" s="18"/>
      <c r="AF246" s="23"/>
      <c r="AL246" s="18"/>
    </row>
    <row r="247" spans="9:38" x14ac:dyDescent="0.2">
      <c r="I247" s="4">
        <v>240</v>
      </c>
      <c r="R247" s="19"/>
      <c r="S247" s="23"/>
      <c r="U247" s="23"/>
      <c r="AA247" s="18"/>
      <c r="AF247" s="23"/>
      <c r="AL247" s="18"/>
    </row>
    <row r="248" spans="9:38" x14ac:dyDescent="0.2">
      <c r="I248" s="4">
        <v>241</v>
      </c>
      <c r="R248" s="19"/>
      <c r="S248" s="23"/>
      <c r="U248" s="23"/>
      <c r="AA248" s="18"/>
      <c r="AF248" s="23"/>
      <c r="AL248" s="18"/>
    </row>
    <row r="249" spans="9:38" x14ac:dyDescent="0.2">
      <c r="I249" s="4">
        <v>242</v>
      </c>
      <c r="R249" s="19"/>
      <c r="S249" s="23"/>
      <c r="U249" s="23"/>
      <c r="AA249" s="18"/>
      <c r="AF249" s="23"/>
      <c r="AL249" s="18"/>
    </row>
    <row r="250" spans="9:38" x14ac:dyDescent="0.2">
      <c r="I250" s="4">
        <v>243</v>
      </c>
      <c r="R250" s="19"/>
      <c r="S250" s="23"/>
      <c r="U250" s="23"/>
      <c r="AA250" s="18"/>
      <c r="AF250" s="23"/>
      <c r="AL250" s="18"/>
    </row>
    <row r="251" spans="9:38" x14ac:dyDescent="0.2">
      <c r="I251" s="4">
        <v>244</v>
      </c>
      <c r="R251" s="19"/>
      <c r="S251" s="23"/>
      <c r="U251" s="23"/>
      <c r="AA251" s="18"/>
      <c r="AF251" s="23"/>
      <c r="AL251" s="18"/>
    </row>
    <row r="252" spans="9:38" x14ac:dyDescent="0.2">
      <c r="I252" s="4">
        <v>245</v>
      </c>
      <c r="R252" s="19"/>
      <c r="S252" s="23"/>
      <c r="U252" s="23"/>
      <c r="AA252" s="18"/>
      <c r="AF252" s="23"/>
      <c r="AL252" s="18"/>
    </row>
    <row r="253" spans="9:38" x14ac:dyDescent="0.2">
      <c r="I253" s="4">
        <v>246</v>
      </c>
      <c r="R253" s="19"/>
      <c r="S253" s="23"/>
      <c r="U253" s="23"/>
      <c r="AA253" s="18"/>
      <c r="AF253" s="23"/>
      <c r="AL253" s="18"/>
    </row>
    <row r="254" spans="9:38" x14ac:dyDescent="0.2">
      <c r="I254" s="4">
        <v>247</v>
      </c>
      <c r="R254" s="19"/>
      <c r="S254" s="23"/>
      <c r="U254" s="23"/>
      <c r="AA254" s="18"/>
      <c r="AF254" s="23"/>
      <c r="AL254" s="18"/>
    </row>
    <row r="255" spans="9:38" x14ac:dyDescent="0.2">
      <c r="I255" s="4">
        <v>248</v>
      </c>
      <c r="R255" s="19"/>
      <c r="S255" s="23"/>
      <c r="U255" s="23"/>
      <c r="AA255" s="18"/>
      <c r="AF255" s="23"/>
      <c r="AL255" s="18"/>
    </row>
    <row r="256" spans="9:38" x14ac:dyDescent="0.2">
      <c r="I256" s="4">
        <v>249</v>
      </c>
      <c r="R256" s="19"/>
      <c r="S256" s="23"/>
      <c r="U256" s="23"/>
      <c r="AA256" s="18"/>
      <c r="AF256" s="23"/>
      <c r="AL256" s="18"/>
    </row>
    <row r="257" spans="9:38" x14ac:dyDescent="0.2">
      <c r="I257" s="4">
        <v>250</v>
      </c>
      <c r="R257" s="19"/>
      <c r="S257" s="23"/>
      <c r="U257" s="23"/>
      <c r="AA257" s="18"/>
      <c r="AF257" s="23"/>
      <c r="AL257" s="18"/>
    </row>
    <row r="258" spans="9:38" x14ac:dyDescent="0.2">
      <c r="I258" s="4">
        <v>251</v>
      </c>
      <c r="R258" s="19"/>
      <c r="S258" s="23"/>
      <c r="U258" s="23"/>
      <c r="AA258" s="18"/>
      <c r="AF258" s="23"/>
      <c r="AL258" s="18"/>
    </row>
    <row r="259" spans="9:38" x14ac:dyDescent="0.2">
      <c r="I259" s="4">
        <v>252</v>
      </c>
      <c r="R259" s="19"/>
      <c r="S259" s="23"/>
      <c r="U259" s="23"/>
      <c r="AA259" s="18"/>
      <c r="AF259" s="23"/>
      <c r="AL259" s="18"/>
    </row>
    <row r="260" spans="9:38" x14ac:dyDescent="0.2">
      <c r="I260" s="4">
        <v>253</v>
      </c>
      <c r="R260" s="19"/>
      <c r="S260" s="23"/>
      <c r="U260" s="23"/>
      <c r="AA260" s="18"/>
      <c r="AF260" s="23"/>
      <c r="AL260" s="18"/>
    </row>
    <row r="261" spans="9:38" x14ac:dyDescent="0.2">
      <c r="I261" s="4">
        <v>254</v>
      </c>
      <c r="R261" s="19"/>
      <c r="S261" s="23"/>
      <c r="U261" s="23"/>
      <c r="AA261" s="18"/>
      <c r="AF261" s="23"/>
      <c r="AL261" s="18"/>
    </row>
    <row r="262" spans="9:38" x14ac:dyDescent="0.2">
      <c r="I262" s="4">
        <v>255</v>
      </c>
      <c r="R262" s="19"/>
      <c r="S262" s="23"/>
      <c r="U262" s="23"/>
      <c r="AA262" s="18"/>
      <c r="AF262" s="23"/>
      <c r="AL262" s="18"/>
    </row>
    <row r="263" spans="9:38" x14ac:dyDescent="0.2">
      <c r="I263" s="4">
        <v>256</v>
      </c>
      <c r="R263" s="19"/>
      <c r="S263" s="23"/>
      <c r="U263" s="23"/>
      <c r="AA263" s="18"/>
      <c r="AF263" s="23"/>
      <c r="AL263" s="18"/>
    </row>
    <row r="264" spans="9:38" x14ac:dyDescent="0.2">
      <c r="I264" s="4">
        <v>257</v>
      </c>
      <c r="R264" s="19"/>
      <c r="S264" s="23"/>
      <c r="U264" s="23"/>
      <c r="AA264" s="18"/>
      <c r="AF264" s="23"/>
      <c r="AL264" s="18"/>
    </row>
    <row r="265" spans="9:38" x14ac:dyDescent="0.2">
      <c r="I265" s="4">
        <v>258</v>
      </c>
      <c r="R265" s="19"/>
      <c r="S265" s="23"/>
      <c r="U265" s="23"/>
      <c r="AA265" s="18"/>
      <c r="AF265" s="23"/>
      <c r="AL265" s="18"/>
    </row>
    <row r="266" spans="9:38" x14ac:dyDescent="0.2">
      <c r="I266" s="4">
        <v>259</v>
      </c>
      <c r="R266" s="19"/>
      <c r="S266" s="23"/>
      <c r="U266" s="23"/>
      <c r="AA266" s="18"/>
      <c r="AF266" s="23"/>
      <c r="AL266" s="18"/>
    </row>
    <row r="267" spans="9:38" x14ac:dyDescent="0.2">
      <c r="I267" s="4">
        <v>260</v>
      </c>
      <c r="R267" s="19"/>
      <c r="S267" s="23"/>
      <c r="U267" s="23"/>
      <c r="AA267" s="18"/>
      <c r="AF267" s="23"/>
      <c r="AL267" s="18"/>
    </row>
    <row r="268" spans="9:38" x14ac:dyDescent="0.2">
      <c r="I268" s="4">
        <v>261</v>
      </c>
      <c r="R268" s="19"/>
      <c r="S268" s="23"/>
      <c r="U268" s="23"/>
      <c r="AA268" s="18"/>
      <c r="AF268" s="23"/>
      <c r="AL268" s="18"/>
    </row>
    <row r="269" spans="9:38" x14ac:dyDescent="0.2">
      <c r="I269" s="4">
        <v>262</v>
      </c>
      <c r="R269" s="19"/>
      <c r="S269" s="23"/>
      <c r="U269" s="23"/>
      <c r="AA269" s="18"/>
      <c r="AF269" s="23"/>
      <c r="AL269" s="18"/>
    </row>
    <row r="270" spans="9:38" x14ac:dyDescent="0.2">
      <c r="I270" s="4">
        <v>263</v>
      </c>
      <c r="R270" s="19"/>
      <c r="S270" s="23"/>
      <c r="U270" s="23"/>
      <c r="AA270" s="18"/>
      <c r="AF270" s="23"/>
      <c r="AL270" s="18"/>
    </row>
    <row r="271" spans="9:38" x14ac:dyDescent="0.2">
      <c r="I271" s="4">
        <v>264</v>
      </c>
      <c r="R271" s="19"/>
      <c r="S271" s="23"/>
      <c r="U271" s="23"/>
      <c r="AA271" s="18"/>
      <c r="AF271" s="23"/>
      <c r="AL271" s="18"/>
    </row>
    <row r="272" spans="9:38" x14ac:dyDescent="0.2">
      <c r="I272" s="4">
        <v>265</v>
      </c>
      <c r="R272" s="19"/>
      <c r="S272" s="23"/>
      <c r="U272" s="23"/>
      <c r="AA272" s="18"/>
      <c r="AF272" s="23"/>
      <c r="AL272" s="18"/>
    </row>
    <row r="273" spans="9:38" x14ac:dyDescent="0.2">
      <c r="I273" s="4">
        <v>266</v>
      </c>
      <c r="R273" s="19"/>
      <c r="S273" s="23"/>
      <c r="U273" s="23"/>
      <c r="AA273" s="18"/>
      <c r="AF273" s="23"/>
      <c r="AL273" s="18"/>
    </row>
    <row r="274" spans="9:38" x14ac:dyDescent="0.2">
      <c r="I274" s="4">
        <v>267</v>
      </c>
      <c r="R274" s="19"/>
      <c r="S274" s="23"/>
      <c r="U274" s="23"/>
      <c r="AA274" s="18"/>
      <c r="AF274" s="23"/>
      <c r="AL274" s="18"/>
    </row>
    <row r="275" spans="9:38" x14ac:dyDescent="0.2">
      <c r="I275" s="4">
        <v>268</v>
      </c>
      <c r="R275" s="19"/>
      <c r="S275" s="23"/>
      <c r="U275" s="23"/>
      <c r="AA275" s="18"/>
      <c r="AF275" s="23"/>
      <c r="AL275" s="18"/>
    </row>
    <row r="276" spans="9:38" x14ac:dyDescent="0.2">
      <c r="I276" s="4">
        <v>269</v>
      </c>
      <c r="R276" s="19"/>
      <c r="S276" s="23"/>
      <c r="U276" s="23"/>
      <c r="AA276" s="18"/>
      <c r="AF276" s="23"/>
      <c r="AL276" s="18"/>
    </row>
    <row r="277" spans="9:38" x14ac:dyDescent="0.2">
      <c r="I277" s="4">
        <v>270</v>
      </c>
      <c r="R277" s="19"/>
      <c r="S277" s="23"/>
      <c r="U277" s="23"/>
      <c r="AA277" s="18"/>
      <c r="AF277" s="23"/>
      <c r="AL277" s="18"/>
    </row>
    <row r="278" spans="9:38" x14ac:dyDescent="0.2">
      <c r="I278" s="4">
        <v>271</v>
      </c>
      <c r="R278" s="19"/>
      <c r="S278" s="23"/>
      <c r="U278" s="23"/>
      <c r="AA278" s="18"/>
      <c r="AF278" s="23"/>
      <c r="AL278" s="18"/>
    </row>
    <row r="279" spans="9:38" x14ac:dyDescent="0.2">
      <c r="I279" s="4">
        <v>272</v>
      </c>
      <c r="R279" s="19"/>
      <c r="S279" s="23"/>
      <c r="U279" s="23"/>
      <c r="AA279" s="18"/>
      <c r="AF279" s="23"/>
      <c r="AL279" s="18"/>
    </row>
    <row r="280" spans="9:38" x14ac:dyDescent="0.2">
      <c r="I280" s="4">
        <v>273</v>
      </c>
      <c r="R280" s="19"/>
      <c r="S280" s="23"/>
      <c r="U280" s="23"/>
      <c r="AA280" s="18"/>
      <c r="AF280" s="23"/>
      <c r="AL280" s="18"/>
    </row>
    <row r="281" spans="9:38" x14ac:dyDescent="0.2">
      <c r="I281" s="4">
        <v>274</v>
      </c>
      <c r="R281" s="19"/>
      <c r="S281" s="23"/>
      <c r="U281" s="23"/>
      <c r="AA281" s="18"/>
      <c r="AF281" s="23"/>
      <c r="AL281" s="18"/>
    </row>
    <row r="282" spans="9:38" x14ac:dyDescent="0.2">
      <c r="I282" s="4">
        <v>275</v>
      </c>
      <c r="R282" s="19"/>
      <c r="S282" s="23"/>
      <c r="U282" s="23"/>
      <c r="AA282" s="18"/>
      <c r="AF282" s="23"/>
      <c r="AL282" s="18"/>
    </row>
    <row r="283" spans="9:38" x14ac:dyDescent="0.2">
      <c r="I283" s="4">
        <v>276</v>
      </c>
      <c r="R283" s="19"/>
      <c r="S283" s="23"/>
      <c r="U283" s="23"/>
      <c r="AA283" s="18"/>
      <c r="AF283" s="23"/>
      <c r="AL283" s="18"/>
    </row>
    <row r="284" spans="9:38" x14ac:dyDescent="0.2">
      <c r="I284" s="4">
        <v>277</v>
      </c>
      <c r="R284" s="19"/>
      <c r="S284" s="23"/>
      <c r="U284" s="23"/>
      <c r="AA284" s="18"/>
      <c r="AF284" s="23"/>
      <c r="AL284" s="18"/>
    </row>
    <row r="285" spans="9:38" x14ac:dyDescent="0.2">
      <c r="I285" s="4">
        <v>278</v>
      </c>
      <c r="R285" s="19"/>
      <c r="S285" s="23"/>
      <c r="U285" s="23"/>
      <c r="AA285" s="18"/>
      <c r="AF285" s="23"/>
      <c r="AL285" s="18"/>
    </row>
    <row r="286" spans="9:38" x14ac:dyDescent="0.2">
      <c r="I286" s="4">
        <v>279</v>
      </c>
      <c r="R286" s="19"/>
      <c r="S286" s="23"/>
      <c r="U286" s="23"/>
      <c r="AA286" s="18"/>
      <c r="AF286" s="23"/>
      <c r="AL286" s="18"/>
    </row>
    <row r="287" spans="9:38" x14ac:dyDescent="0.2">
      <c r="I287" s="4">
        <v>280</v>
      </c>
      <c r="R287" s="19"/>
      <c r="S287" s="23"/>
      <c r="U287" s="23"/>
      <c r="AA287" s="18"/>
      <c r="AF287" s="23"/>
      <c r="AL287" s="18"/>
    </row>
    <row r="288" spans="9:38" x14ac:dyDescent="0.2">
      <c r="I288" s="4">
        <v>281</v>
      </c>
      <c r="R288" s="19"/>
      <c r="S288" s="23"/>
      <c r="U288" s="23"/>
      <c r="AA288" s="18"/>
      <c r="AF288" s="23"/>
      <c r="AL288" s="18"/>
    </row>
    <row r="289" spans="9:38" x14ac:dyDescent="0.2">
      <c r="I289" s="4">
        <v>282</v>
      </c>
      <c r="R289" s="19"/>
      <c r="S289" s="23"/>
      <c r="U289" s="23"/>
      <c r="AA289" s="18"/>
      <c r="AF289" s="23"/>
      <c r="AL289" s="18"/>
    </row>
    <row r="290" spans="9:38" x14ac:dyDescent="0.2">
      <c r="I290" s="4">
        <v>283</v>
      </c>
      <c r="R290" s="19"/>
      <c r="S290" s="23"/>
      <c r="U290" s="23"/>
      <c r="AA290" s="18"/>
      <c r="AF290" s="23"/>
      <c r="AL290" s="18"/>
    </row>
    <row r="291" spans="9:38" x14ac:dyDescent="0.2">
      <c r="I291" s="4">
        <v>284</v>
      </c>
      <c r="R291" s="19"/>
      <c r="S291" s="23"/>
      <c r="U291" s="23"/>
      <c r="AA291" s="18"/>
      <c r="AF291" s="23"/>
      <c r="AL291" s="18"/>
    </row>
    <row r="292" spans="9:38" x14ac:dyDescent="0.2">
      <c r="I292" s="4">
        <v>285</v>
      </c>
      <c r="R292" s="19"/>
      <c r="S292" s="23"/>
      <c r="U292" s="23"/>
      <c r="AA292" s="18"/>
      <c r="AF292" s="23"/>
      <c r="AL292" s="18"/>
    </row>
    <row r="293" spans="9:38" x14ac:dyDescent="0.2">
      <c r="I293" s="4">
        <v>286</v>
      </c>
      <c r="R293" s="19"/>
      <c r="S293" s="23"/>
      <c r="U293" s="23"/>
      <c r="AA293" s="18"/>
      <c r="AF293" s="23"/>
      <c r="AL293" s="18"/>
    </row>
    <row r="294" spans="9:38" x14ac:dyDescent="0.2">
      <c r="I294" s="4">
        <v>287</v>
      </c>
      <c r="R294" s="19"/>
      <c r="S294" s="23"/>
      <c r="U294" s="23"/>
      <c r="AA294" s="18"/>
      <c r="AF294" s="23"/>
      <c r="AL294" s="18"/>
    </row>
    <row r="295" spans="9:38" x14ac:dyDescent="0.2">
      <c r="I295" s="4">
        <v>288</v>
      </c>
      <c r="R295" s="19"/>
      <c r="S295" s="23"/>
      <c r="U295" s="23"/>
      <c r="AA295" s="18"/>
      <c r="AF295" s="23"/>
      <c r="AL295" s="18"/>
    </row>
    <row r="296" spans="9:38" x14ac:dyDescent="0.2">
      <c r="I296" s="4">
        <v>289</v>
      </c>
      <c r="R296" s="19"/>
      <c r="S296" s="23"/>
      <c r="U296" s="23"/>
      <c r="AA296" s="18"/>
      <c r="AF296" s="23"/>
      <c r="AL296" s="18"/>
    </row>
    <row r="297" spans="9:38" x14ac:dyDescent="0.2">
      <c r="I297" s="4">
        <v>290</v>
      </c>
      <c r="R297" s="19"/>
      <c r="S297" s="23"/>
      <c r="U297" s="23"/>
      <c r="AA297" s="18"/>
      <c r="AF297" s="23"/>
      <c r="AL297" s="18"/>
    </row>
    <row r="298" spans="9:38" x14ac:dyDescent="0.2">
      <c r="I298" s="4">
        <v>291</v>
      </c>
      <c r="R298" s="19"/>
      <c r="S298" s="23"/>
      <c r="U298" s="23"/>
      <c r="AA298" s="18"/>
      <c r="AF298" s="23"/>
      <c r="AL298" s="18"/>
    </row>
    <row r="299" spans="9:38" x14ac:dyDescent="0.2">
      <c r="I299" s="4">
        <v>292</v>
      </c>
      <c r="R299" s="19"/>
      <c r="S299" s="23"/>
      <c r="U299" s="23"/>
      <c r="AA299" s="18"/>
      <c r="AF299" s="23"/>
      <c r="AL299" s="18"/>
    </row>
    <row r="300" spans="9:38" x14ac:dyDescent="0.2">
      <c r="I300" s="4">
        <v>293</v>
      </c>
      <c r="R300" s="19"/>
      <c r="S300" s="23"/>
      <c r="U300" s="23"/>
      <c r="AA300" s="18"/>
      <c r="AF300" s="23"/>
      <c r="AL300" s="18"/>
    </row>
    <row r="301" spans="9:38" x14ac:dyDescent="0.2">
      <c r="I301" s="4">
        <v>294</v>
      </c>
      <c r="R301" s="19"/>
      <c r="S301" s="23"/>
      <c r="U301" s="23"/>
      <c r="AA301" s="18"/>
      <c r="AF301" s="23"/>
      <c r="AL301" s="18"/>
    </row>
    <row r="302" spans="9:38" x14ac:dyDescent="0.2">
      <c r="I302" s="4">
        <v>295</v>
      </c>
      <c r="R302" s="19"/>
      <c r="S302" s="23"/>
      <c r="U302" s="23"/>
      <c r="AA302" s="18"/>
      <c r="AF302" s="23"/>
      <c r="AL302" s="18"/>
    </row>
    <row r="303" spans="9:38" x14ac:dyDescent="0.2">
      <c r="I303" s="4">
        <v>296</v>
      </c>
      <c r="R303" s="19"/>
      <c r="S303" s="23"/>
      <c r="U303" s="23"/>
      <c r="AA303" s="18"/>
      <c r="AF303" s="23"/>
      <c r="AL303" s="18"/>
    </row>
    <row r="304" spans="9:38" x14ac:dyDescent="0.2">
      <c r="I304" s="4">
        <v>297</v>
      </c>
      <c r="R304" s="19"/>
      <c r="S304" s="23"/>
      <c r="U304" s="23"/>
      <c r="AA304" s="18"/>
      <c r="AF304" s="23"/>
      <c r="AL304" s="18"/>
    </row>
    <row r="305" spans="9:38" x14ac:dyDescent="0.2">
      <c r="I305" s="4">
        <v>298</v>
      </c>
      <c r="R305" s="19"/>
      <c r="S305" s="23"/>
      <c r="U305" s="23"/>
      <c r="AA305" s="18"/>
      <c r="AF305" s="23"/>
      <c r="AL305" s="18"/>
    </row>
    <row r="306" spans="9:38" x14ac:dyDescent="0.2">
      <c r="I306" s="4">
        <v>299</v>
      </c>
      <c r="R306" s="19"/>
      <c r="S306" s="23"/>
      <c r="U306" s="23"/>
      <c r="AA306" s="18"/>
      <c r="AF306" s="23"/>
      <c r="AL306" s="18"/>
    </row>
    <row r="307" spans="9:38" x14ac:dyDescent="0.2">
      <c r="I307" s="4">
        <v>300</v>
      </c>
      <c r="R307" s="19"/>
      <c r="S307" s="23"/>
      <c r="U307" s="23"/>
      <c r="AA307" s="18"/>
      <c r="AF307" s="23"/>
      <c r="AL307" s="18"/>
    </row>
    <row r="308" spans="9:38" x14ac:dyDescent="0.2">
      <c r="I308" s="4">
        <v>301</v>
      </c>
      <c r="R308" s="19"/>
      <c r="S308" s="23"/>
      <c r="U308" s="23"/>
      <c r="AA308" s="18"/>
      <c r="AF308" s="23"/>
      <c r="AL308" s="18"/>
    </row>
    <row r="309" spans="9:38" x14ac:dyDescent="0.2">
      <c r="I309" s="4">
        <v>302</v>
      </c>
      <c r="R309" s="19"/>
      <c r="S309" s="23"/>
      <c r="U309" s="23"/>
      <c r="AA309" s="18"/>
      <c r="AF309" s="23"/>
      <c r="AL309" s="18"/>
    </row>
    <row r="310" spans="9:38" x14ac:dyDescent="0.2">
      <c r="I310" s="4">
        <v>303</v>
      </c>
      <c r="R310" s="19"/>
      <c r="S310" s="23"/>
      <c r="U310" s="23"/>
      <c r="AA310" s="18"/>
      <c r="AF310" s="23"/>
      <c r="AL310" s="18"/>
    </row>
    <row r="311" spans="9:38" x14ac:dyDescent="0.2">
      <c r="I311" s="4">
        <v>304</v>
      </c>
      <c r="R311" s="19"/>
      <c r="S311" s="23"/>
      <c r="U311" s="23"/>
      <c r="AA311" s="18"/>
      <c r="AF311" s="23"/>
      <c r="AL311" s="18"/>
    </row>
    <row r="312" spans="9:38" x14ac:dyDescent="0.2">
      <c r="I312" s="4">
        <v>305</v>
      </c>
      <c r="R312" s="19"/>
      <c r="S312" s="23"/>
      <c r="U312" s="23"/>
      <c r="AA312" s="18"/>
      <c r="AF312" s="23"/>
      <c r="AL312" s="18"/>
    </row>
    <row r="313" spans="9:38" x14ac:dyDescent="0.2">
      <c r="I313" s="4">
        <v>306</v>
      </c>
      <c r="R313" s="19"/>
      <c r="S313" s="23"/>
      <c r="U313" s="23"/>
      <c r="AA313" s="18"/>
      <c r="AF313" s="23"/>
      <c r="AL313" s="18"/>
    </row>
    <row r="314" spans="9:38" x14ac:dyDescent="0.2">
      <c r="I314" s="4">
        <v>307</v>
      </c>
      <c r="R314" s="19"/>
      <c r="S314" s="23"/>
      <c r="U314" s="23"/>
      <c r="AA314" s="18"/>
      <c r="AF314" s="23"/>
      <c r="AL314" s="18"/>
    </row>
    <row r="315" spans="9:38" x14ac:dyDescent="0.2">
      <c r="I315" s="4">
        <v>308</v>
      </c>
      <c r="R315" s="19"/>
      <c r="S315" s="23"/>
      <c r="U315" s="23"/>
      <c r="AA315" s="18"/>
      <c r="AF315" s="23"/>
      <c r="AL315" s="18"/>
    </row>
    <row r="316" spans="9:38" x14ac:dyDescent="0.2">
      <c r="I316" s="4">
        <v>309</v>
      </c>
      <c r="R316" s="19"/>
      <c r="S316" s="23"/>
      <c r="U316" s="23"/>
      <c r="AA316" s="18"/>
      <c r="AF316" s="23"/>
      <c r="AL316" s="18"/>
    </row>
    <row r="317" spans="9:38" x14ac:dyDescent="0.2">
      <c r="I317" s="4">
        <v>310</v>
      </c>
      <c r="R317" s="19"/>
      <c r="S317" s="23"/>
      <c r="U317" s="23"/>
      <c r="AA317" s="18"/>
      <c r="AF317" s="23"/>
      <c r="AL317" s="18"/>
    </row>
    <row r="318" spans="9:38" x14ac:dyDescent="0.2">
      <c r="I318" s="4">
        <v>311</v>
      </c>
      <c r="R318" s="19"/>
      <c r="S318" s="23"/>
      <c r="U318" s="23"/>
      <c r="AA318" s="18"/>
      <c r="AF318" s="23"/>
      <c r="AL318" s="18"/>
    </row>
    <row r="319" spans="9:38" x14ac:dyDescent="0.2">
      <c r="I319" s="4">
        <v>312</v>
      </c>
      <c r="R319" s="19"/>
      <c r="S319" s="23"/>
      <c r="U319" s="23"/>
      <c r="AA319" s="18"/>
      <c r="AF319" s="23"/>
      <c r="AL319" s="18"/>
    </row>
    <row r="320" spans="9:38" x14ac:dyDescent="0.2">
      <c r="I320" s="4">
        <v>313</v>
      </c>
      <c r="R320" s="19"/>
      <c r="S320" s="23"/>
      <c r="U320" s="23"/>
      <c r="AA320" s="18"/>
      <c r="AF320" s="23"/>
      <c r="AL320" s="18"/>
    </row>
    <row r="321" spans="9:38" x14ac:dyDescent="0.2">
      <c r="I321" s="4">
        <v>314</v>
      </c>
      <c r="R321" s="19"/>
      <c r="S321" s="23"/>
      <c r="U321" s="23"/>
      <c r="AA321" s="18"/>
      <c r="AF321" s="23"/>
      <c r="AL321" s="18"/>
    </row>
    <row r="322" spans="9:38" x14ac:dyDescent="0.2">
      <c r="I322" s="4">
        <v>315</v>
      </c>
      <c r="R322" s="19"/>
      <c r="S322" s="23"/>
      <c r="U322" s="23"/>
      <c r="AA322" s="18"/>
      <c r="AF322" s="23"/>
      <c r="AL322" s="18"/>
    </row>
    <row r="323" spans="9:38" x14ac:dyDescent="0.2">
      <c r="I323" s="4">
        <v>316</v>
      </c>
      <c r="R323" s="19"/>
      <c r="S323" s="23"/>
      <c r="U323" s="23"/>
      <c r="AA323" s="18"/>
      <c r="AF323" s="23"/>
      <c r="AL323" s="18"/>
    </row>
    <row r="324" spans="9:38" x14ac:dyDescent="0.2">
      <c r="I324" s="4">
        <v>317</v>
      </c>
      <c r="R324" s="19"/>
      <c r="S324" s="23"/>
      <c r="U324" s="23"/>
      <c r="AA324" s="18"/>
      <c r="AF324" s="23"/>
      <c r="AL324" s="18"/>
    </row>
    <row r="325" spans="9:38" x14ac:dyDescent="0.2">
      <c r="I325" s="4">
        <v>318</v>
      </c>
      <c r="R325" s="19"/>
      <c r="S325" s="23"/>
      <c r="U325" s="23"/>
      <c r="AA325" s="18"/>
      <c r="AF325" s="23"/>
      <c r="AL325" s="18"/>
    </row>
    <row r="326" spans="9:38" x14ac:dyDescent="0.2">
      <c r="I326" s="4">
        <v>319</v>
      </c>
      <c r="R326" s="19"/>
      <c r="S326" s="23"/>
      <c r="U326" s="23"/>
      <c r="AA326" s="18"/>
      <c r="AF326" s="23"/>
      <c r="AL326" s="18"/>
    </row>
    <row r="327" spans="9:38" x14ac:dyDescent="0.2">
      <c r="I327" s="4">
        <v>320</v>
      </c>
      <c r="R327" s="19"/>
      <c r="S327" s="23"/>
      <c r="U327" s="23"/>
      <c r="AA327" s="18"/>
      <c r="AF327" s="23"/>
      <c r="AL327" s="18"/>
    </row>
    <row r="328" spans="9:38" x14ac:dyDescent="0.2">
      <c r="I328" s="4">
        <v>321</v>
      </c>
      <c r="R328" s="19"/>
      <c r="S328" s="23"/>
      <c r="U328" s="23"/>
      <c r="AA328" s="18"/>
      <c r="AF328" s="23"/>
      <c r="AL328" s="18"/>
    </row>
    <row r="329" spans="9:38" x14ac:dyDescent="0.2">
      <c r="I329" s="4">
        <v>322</v>
      </c>
      <c r="R329" s="19"/>
      <c r="S329" s="23"/>
      <c r="U329" s="23"/>
      <c r="AA329" s="18"/>
      <c r="AF329" s="23"/>
      <c r="AL329" s="18"/>
    </row>
    <row r="330" spans="9:38" x14ac:dyDescent="0.2">
      <c r="I330" s="4">
        <v>323</v>
      </c>
      <c r="R330" s="19"/>
      <c r="S330" s="23"/>
      <c r="U330" s="23"/>
      <c r="AA330" s="18"/>
      <c r="AF330" s="23"/>
      <c r="AL330" s="18"/>
    </row>
    <row r="331" spans="9:38" x14ac:dyDescent="0.2">
      <c r="I331" s="4">
        <v>324</v>
      </c>
      <c r="R331" s="19"/>
      <c r="S331" s="23"/>
      <c r="U331" s="23"/>
      <c r="AA331" s="18"/>
      <c r="AF331" s="23"/>
      <c r="AL331" s="18"/>
    </row>
    <row r="332" spans="9:38" x14ac:dyDescent="0.2">
      <c r="I332" s="4">
        <v>325</v>
      </c>
      <c r="R332" s="19"/>
      <c r="S332" s="23"/>
      <c r="U332" s="23"/>
      <c r="AA332" s="18"/>
      <c r="AF332" s="23"/>
      <c r="AL332" s="18"/>
    </row>
    <row r="333" spans="9:38" x14ac:dyDescent="0.2">
      <c r="I333" s="4">
        <v>326</v>
      </c>
      <c r="R333" s="19"/>
      <c r="S333" s="23"/>
      <c r="U333" s="23"/>
      <c r="AA333" s="18"/>
      <c r="AF333" s="23"/>
      <c r="AL333" s="18"/>
    </row>
    <row r="334" spans="9:38" x14ac:dyDescent="0.2">
      <c r="I334" s="4">
        <v>327</v>
      </c>
      <c r="R334" s="19"/>
      <c r="S334" s="23"/>
      <c r="U334" s="23"/>
      <c r="AA334" s="18"/>
      <c r="AF334" s="23"/>
      <c r="AL334" s="18"/>
    </row>
    <row r="335" spans="9:38" x14ac:dyDescent="0.2">
      <c r="I335" s="4">
        <v>328</v>
      </c>
      <c r="R335" s="19"/>
      <c r="S335" s="23"/>
      <c r="U335" s="23"/>
      <c r="AA335" s="18"/>
      <c r="AF335" s="23"/>
      <c r="AL335" s="18"/>
    </row>
    <row r="336" spans="9:38" x14ac:dyDescent="0.2">
      <c r="I336" s="4">
        <v>329</v>
      </c>
      <c r="R336" s="19"/>
      <c r="S336" s="23"/>
      <c r="U336" s="23"/>
      <c r="AA336" s="18"/>
      <c r="AF336" s="23"/>
      <c r="AL336" s="18"/>
    </row>
    <row r="337" spans="9:38" x14ac:dyDescent="0.2">
      <c r="I337" s="4">
        <v>330</v>
      </c>
      <c r="R337" s="19"/>
      <c r="S337" s="23"/>
      <c r="U337" s="23"/>
      <c r="AA337" s="18"/>
      <c r="AF337" s="23"/>
      <c r="AL337" s="18"/>
    </row>
    <row r="338" spans="9:38" x14ac:dyDescent="0.2">
      <c r="I338" s="4">
        <v>331</v>
      </c>
      <c r="R338" s="19"/>
      <c r="S338" s="23"/>
      <c r="U338" s="23"/>
      <c r="AA338" s="18"/>
      <c r="AF338" s="23"/>
      <c r="AL338" s="18"/>
    </row>
    <row r="339" spans="9:38" x14ac:dyDescent="0.2">
      <c r="I339" s="4">
        <v>332</v>
      </c>
      <c r="R339" s="19"/>
      <c r="S339" s="23"/>
      <c r="U339" s="23"/>
      <c r="AA339" s="18"/>
      <c r="AF339" s="23"/>
      <c r="AL339" s="18"/>
    </row>
    <row r="340" spans="9:38" x14ac:dyDescent="0.2">
      <c r="I340" s="4">
        <v>333</v>
      </c>
      <c r="R340" s="19"/>
      <c r="S340" s="23"/>
      <c r="U340" s="23"/>
      <c r="AA340" s="18"/>
      <c r="AF340" s="23"/>
      <c r="AL340" s="18"/>
    </row>
    <row r="341" spans="9:38" x14ac:dyDescent="0.2">
      <c r="I341" s="4">
        <v>334</v>
      </c>
      <c r="R341" s="19"/>
      <c r="S341" s="23"/>
      <c r="U341" s="23"/>
      <c r="AA341" s="18"/>
      <c r="AF341" s="23"/>
      <c r="AL341" s="18"/>
    </row>
    <row r="342" spans="9:38" x14ac:dyDescent="0.2">
      <c r="I342" s="4">
        <v>335</v>
      </c>
      <c r="R342" s="19"/>
      <c r="S342" s="23"/>
      <c r="U342" s="23"/>
      <c r="AA342" s="18"/>
      <c r="AF342" s="23"/>
      <c r="AL342" s="18"/>
    </row>
    <row r="343" spans="9:38" x14ac:dyDescent="0.2">
      <c r="I343" s="4">
        <v>336</v>
      </c>
      <c r="R343" s="19"/>
      <c r="S343" s="23"/>
      <c r="U343" s="23"/>
      <c r="AA343" s="18"/>
      <c r="AF343" s="23"/>
      <c r="AL343" s="18"/>
    </row>
    <row r="344" spans="9:38" x14ac:dyDescent="0.2">
      <c r="I344" s="4">
        <v>337</v>
      </c>
      <c r="R344" s="19"/>
      <c r="S344" s="23"/>
      <c r="U344" s="23"/>
      <c r="AA344" s="18"/>
      <c r="AF344" s="23"/>
      <c r="AL344" s="18"/>
    </row>
    <row r="345" spans="9:38" x14ac:dyDescent="0.2">
      <c r="I345" s="4">
        <v>338</v>
      </c>
      <c r="R345" s="19"/>
      <c r="S345" s="23"/>
      <c r="U345" s="23"/>
      <c r="AA345" s="18"/>
      <c r="AF345" s="23"/>
      <c r="AL345" s="18"/>
    </row>
    <row r="346" spans="9:38" x14ac:dyDescent="0.2">
      <c r="I346" s="4">
        <v>339</v>
      </c>
      <c r="R346" s="19"/>
      <c r="S346" s="23"/>
      <c r="U346" s="23"/>
      <c r="AA346" s="18"/>
      <c r="AF346" s="23"/>
      <c r="AL346" s="18"/>
    </row>
    <row r="347" spans="9:38" x14ac:dyDescent="0.2">
      <c r="I347" s="4">
        <v>340</v>
      </c>
      <c r="R347" s="19"/>
      <c r="S347" s="23"/>
      <c r="U347" s="23"/>
      <c r="AA347" s="18"/>
      <c r="AF347" s="23"/>
      <c r="AL347" s="18"/>
    </row>
    <row r="348" spans="9:38" x14ac:dyDescent="0.2">
      <c r="I348" s="4">
        <v>341</v>
      </c>
      <c r="R348" s="19"/>
      <c r="S348" s="23"/>
      <c r="U348" s="23"/>
      <c r="AA348" s="18"/>
      <c r="AF348" s="23"/>
      <c r="AL348" s="18"/>
    </row>
    <row r="349" spans="9:38" x14ac:dyDescent="0.2">
      <c r="I349" s="4">
        <v>342</v>
      </c>
      <c r="R349" s="19"/>
      <c r="S349" s="23"/>
      <c r="U349" s="23"/>
      <c r="AA349" s="18"/>
      <c r="AF349" s="23"/>
      <c r="AL349" s="18"/>
    </row>
    <row r="350" spans="9:38" x14ac:dyDescent="0.2">
      <c r="I350" s="4">
        <v>343</v>
      </c>
      <c r="R350" s="19"/>
      <c r="S350" s="23"/>
      <c r="U350" s="23"/>
      <c r="AA350" s="18"/>
      <c r="AF350" s="23"/>
      <c r="AL350" s="18"/>
    </row>
    <row r="351" spans="9:38" x14ac:dyDescent="0.2">
      <c r="I351" s="4">
        <v>344</v>
      </c>
      <c r="R351" s="19"/>
      <c r="S351" s="23"/>
      <c r="U351" s="23"/>
      <c r="AA351" s="18"/>
      <c r="AF351" s="23"/>
      <c r="AL351" s="18"/>
    </row>
    <row r="352" spans="9:38" x14ac:dyDescent="0.2">
      <c r="I352" s="4">
        <v>345</v>
      </c>
      <c r="R352" s="19"/>
      <c r="S352" s="23"/>
      <c r="U352" s="23"/>
      <c r="AA352" s="18"/>
      <c r="AF352" s="23"/>
      <c r="AL352" s="18"/>
    </row>
    <row r="353" spans="9:38" x14ac:dyDescent="0.2">
      <c r="I353" s="4">
        <v>346</v>
      </c>
      <c r="R353" s="19"/>
      <c r="S353" s="23"/>
      <c r="U353" s="23"/>
      <c r="AA353" s="18"/>
      <c r="AF353" s="23"/>
      <c r="AL353" s="18"/>
    </row>
    <row r="354" spans="9:38" x14ac:dyDescent="0.2">
      <c r="I354" s="4">
        <v>347</v>
      </c>
      <c r="R354" s="19"/>
      <c r="S354" s="23"/>
      <c r="U354" s="23"/>
      <c r="AA354" s="18"/>
      <c r="AF354" s="23"/>
      <c r="AL354" s="18"/>
    </row>
    <row r="355" spans="9:38" x14ac:dyDescent="0.2">
      <c r="I355" s="4">
        <v>348</v>
      </c>
      <c r="R355" s="19"/>
      <c r="S355" s="23"/>
      <c r="U355" s="23"/>
      <c r="AA355" s="18"/>
      <c r="AF355" s="23"/>
      <c r="AL355" s="18"/>
    </row>
    <row r="356" spans="9:38" x14ac:dyDescent="0.2">
      <c r="I356" s="4">
        <v>349</v>
      </c>
      <c r="R356" s="19"/>
      <c r="S356" s="23"/>
      <c r="U356" s="23"/>
      <c r="AA356" s="18"/>
      <c r="AF356" s="23"/>
      <c r="AL356" s="18"/>
    </row>
    <row r="357" spans="9:38" x14ac:dyDescent="0.2">
      <c r="I357" s="4">
        <v>350</v>
      </c>
      <c r="R357" s="19"/>
      <c r="S357" s="23"/>
      <c r="U357" s="23"/>
      <c r="AA357" s="18"/>
      <c r="AF357" s="23"/>
      <c r="AL357" s="18"/>
    </row>
    <row r="358" spans="9:38" x14ac:dyDescent="0.2">
      <c r="I358" s="4">
        <v>351</v>
      </c>
      <c r="R358" s="19"/>
      <c r="S358" s="23"/>
      <c r="U358" s="23"/>
      <c r="AA358" s="18"/>
      <c r="AF358" s="23"/>
      <c r="AL358" s="18"/>
    </row>
    <row r="359" spans="9:38" x14ac:dyDescent="0.2">
      <c r="I359" s="4">
        <v>352</v>
      </c>
      <c r="R359" s="19"/>
      <c r="S359" s="23"/>
      <c r="U359" s="23"/>
      <c r="AA359" s="18"/>
      <c r="AF359" s="23"/>
      <c r="AL359" s="18"/>
    </row>
    <row r="360" spans="9:38" x14ac:dyDescent="0.2">
      <c r="I360" s="4">
        <v>353</v>
      </c>
      <c r="R360" s="19"/>
      <c r="S360" s="23"/>
      <c r="U360" s="23"/>
      <c r="AA360" s="18"/>
      <c r="AF360" s="23"/>
      <c r="AL360" s="18"/>
    </row>
    <row r="361" spans="9:38" x14ac:dyDescent="0.2">
      <c r="I361" s="4">
        <v>354</v>
      </c>
      <c r="R361" s="19"/>
      <c r="S361" s="23"/>
      <c r="U361" s="23"/>
      <c r="AA361" s="18"/>
      <c r="AF361" s="23"/>
      <c r="AL361" s="18"/>
    </row>
    <row r="362" spans="9:38" x14ac:dyDescent="0.2">
      <c r="I362" s="4">
        <v>355</v>
      </c>
      <c r="R362" s="19"/>
      <c r="S362" s="23"/>
      <c r="U362" s="23"/>
      <c r="AA362" s="18"/>
      <c r="AF362" s="23"/>
      <c r="AL362" s="18"/>
    </row>
    <row r="363" spans="9:38" x14ac:dyDescent="0.2">
      <c r="I363" s="4">
        <v>356</v>
      </c>
      <c r="R363" s="19"/>
      <c r="S363" s="23"/>
      <c r="U363" s="23"/>
      <c r="AA363" s="18"/>
      <c r="AF363" s="23"/>
      <c r="AL363" s="18"/>
    </row>
    <row r="364" spans="9:38" x14ac:dyDescent="0.2">
      <c r="I364" s="4">
        <v>357</v>
      </c>
      <c r="R364" s="19"/>
      <c r="S364" s="23"/>
      <c r="U364" s="23"/>
      <c r="AA364" s="18"/>
      <c r="AF364" s="23"/>
      <c r="AL364" s="18"/>
    </row>
    <row r="365" spans="9:38" x14ac:dyDescent="0.2">
      <c r="I365" s="4">
        <v>358</v>
      </c>
      <c r="R365" s="19"/>
      <c r="S365" s="23"/>
      <c r="U365" s="23"/>
      <c r="AA365" s="18"/>
      <c r="AF365" s="23"/>
      <c r="AL365" s="18"/>
    </row>
    <row r="366" spans="9:38" x14ac:dyDescent="0.2">
      <c r="I366" s="4">
        <v>359</v>
      </c>
      <c r="R366" s="19"/>
      <c r="S366" s="23"/>
      <c r="U366" s="23"/>
      <c r="AA366" s="18"/>
      <c r="AF366" s="23"/>
      <c r="AL366" s="18"/>
    </row>
    <row r="367" spans="9:38" x14ac:dyDescent="0.2">
      <c r="I367" s="4">
        <v>360</v>
      </c>
      <c r="R367" s="19"/>
      <c r="S367" s="23"/>
      <c r="U367" s="23"/>
      <c r="AA367" s="18"/>
      <c r="AF367" s="23"/>
      <c r="AL367" s="18"/>
    </row>
    <row r="368" spans="9:38" x14ac:dyDescent="0.2">
      <c r="I368" s="4">
        <v>361</v>
      </c>
      <c r="R368" s="19"/>
      <c r="S368" s="23"/>
      <c r="U368" s="23"/>
      <c r="AA368" s="18"/>
      <c r="AF368" s="23"/>
      <c r="AL368" s="18"/>
    </row>
    <row r="369" spans="9:38" x14ac:dyDescent="0.2">
      <c r="I369" s="4">
        <v>362</v>
      </c>
      <c r="R369" s="19"/>
      <c r="S369" s="23"/>
      <c r="U369" s="23"/>
      <c r="AA369" s="18"/>
      <c r="AF369" s="23"/>
      <c r="AL369" s="18"/>
    </row>
    <row r="370" spans="9:38" x14ac:dyDescent="0.2">
      <c r="I370" s="4">
        <v>363</v>
      </c>
      <c r="R370" s="19"/>
      <c r="S370" s="23"/>
      <c r="U370" s="23"/>
      <c r="AA370" s="18"/>
      <c r="AF370" s="23"/>
      <c r="AL370" s="18"/>
    </row>
    <row r="371" spans="9:38" x14ac:dyDescent="0.2">
      <c r="I371" s="4">
        <v>364</v>
      </c>
      <c r="R371" s="19"/>
      <c r="S371" s="23"/>
      <c r="U371" s="23"/>
      <c r="AA371" s="18"/>
      <c r="AF371" s="23"/>
      <c r="AL371" s="18"/>
    </row>
    <row r="372" spans="9:38" x14ac:dyDescent="0.2">
      <c r="I372" s="4">
        <v>365</v>
      </c>
      <c r="R372" s="19"/>
      <c r="S372" s="23"/>
      <c r="U372" s="23"/>
      <c r="AA372" s="18"/>
      <c r="AF372" s="23"/>
      <c r="AL372" s="18"/>
    </row>
    <row r="373" spans="9:38" x14ac:dyDescent="0.2">
      <c r="I373" s="4">
        <v>366</v>
      </c>
      <c r="R373" s="19"/>
      <c r="S373" s="23"/>
      <c r="U373" s="23"/>
      <c r="AA373" s="18"/>
      <c r="AF373" s="23"/>
      <c r="AL373" s="18"/>
    </row>
    <row r="374" spans="9:38" x14ac:dyDescent="0.2">
      <c r="I374" s="4">
        <v>367</v>
      </c>
      <c r="R374" s="19"/>
      <c r="S374" s="23"/>
      <c r="U374" s="23"/>
      <c r="AA374" s="18"/>
      <c r="AF374" s="23"/>
      <c r="AL374" s="18"/>
    </row>
    <row r="375" spans="9:38" x14ac:dyDescent="0.2">
      <c r="I375" s="4">
        <v>368</v>
      </c>
      <c r="R375" s="19"/>
      <c r="S375" s="23"/>
      <c r="U375" s="23"/>
      <c r="AA375" s="18"/>
      <c r="AF375" s="23"/>
      <c r="AL375" s="18"/>
    </row>
    <row r="376" spans="9:38" x14ac:dyDescent="0.2">
      <c r="I376" s="4">
        <v>369</v>
      </c>
      <c r="R376" s="19"/>
      <c r="S376" s="23"/>
      <c r="U376" s="23"/>
      <c r="AA376" s="18"/>
      <c r="AF376" s="23"/>
      <c r="AL376" s="18"/>
    </row>
    <row r="377" spans="9:38" x14ac:dyDescent="0.2">
      <c r="I377" s="4">
        <v>370</v>
      </c>
      <c r="R377" s="19"/>
      <c r="S377" s="23"/>
      <c r="U377" s="23"/>
      <c r="AA377" s="18"/>
      <c r="AF377" s="23"/>
      <c r="AL377" s="18"/>
    </row>
    <row r="378" spans="9:38" x14ac:dyDescent="0.2">
      <c r="I378" s="4">
        <v>371</v>
      </c>
      <c r="R378" s="19"/>
      <c r="S378" s="23"/>
      <c r="U378" s="23"/>
      <c r="AA378" s="18"/>
      <c r="AF378" s="23"/>
      <c r="AL378" s="18"/>
    </row>
    <row r="379" spans="9:38" x14ac:dyDescent="0.2">
      <c r="I379" s="4">
        <v>372</v>
      </c>
      <c r="R379" s="19"/>
      <c r="S379" s="23"/>
      <c r="U379" s="23"/>
      <c r="AA379" s="18"/>
      <c r="AF379" s="23"/>
      <c r="AL379" s="18"/>
    </row>
    <row r="380" spans="9:38" x14ac:dyDescent="0.2">
      <c r="I380" s="4">
        <v>373</v>
      </c>
      <c r="R380" s="19"/>
      <c r="S380" s="23"/>
      <c r="U380" s="23"/>
      <c r="AA380" s="18"/>
      <c r="AF380" s="23"/>
      <c r="AL380" s="18"/>
    </row>
    <row r="381" spans="9:38" x14ac:dyDescent="0.2">
      <c r="I381" s="4">
        <v>374</v>
      </c>
      <c r="R381" s="19"/>
      <c r="S381" s="23"/>
      <c r="U381" s="23"/>
      <c r="AA381" s="18"/>
      <c r="AF381" s="23"/>
      <c r="AL381" s="18"/>
    </row>
    <row r="382" spans="9:38" x14ac:dyDescent="0.2">
      <c r="I382" s="4">
        <v>375</v>
      </c>
      <c r="R382" s="19"/>
      <c r="S382" s="23"/>
      <c r="U382" s="23"/>
      <c r="AA382" s="18"/>
      <c r="AF382" s="23"/>
      <c r="AL382" s="18"/>
    </row>
    <row r="383" spans="9:38" x14ac:dyDescent="0.2">
      <c r="I383" s="4">
        <v>376</v>
      </c>
      <c r="R383" s="19"/>
      <c r="S383" s="23"/>
      <c r="U383" s="23"/>
      <c r="AA383" s="18"/>
      <c r="AF383" s="23"/>
      <c r="AL383" s="18"/>
    </row>
    <row r="384" spans="9:38" x14ac:dyDescent="0.2">
      <c r="I384" s="4">
        <v>377</v>
      </c>
      <c r="R384" s="19"/>
      <c r="S384" s="23"/>
      <c r="U384" s="23"/>
      <c r="AA384" s="18"/>
      <c r="AF384" s="23"/>
      <c r="AL384" s="18"/>
    </row>
    <row r="385" spans="9:38" x14ac:dyDescent="0.2">
      <c r="I385" s="4">
        <v>378</v>
      </c>
      <c r="R385" s="19"/>
      <c r="S385" s="23"/>
      <c r="U385" s="23"/>
      <c r="AA385" s="18"/>
      <c r="AF385" s="23"/>
      <c r="AL385" s="18"/>
    </row>
    <row r="386" spans="9:38" x14ac:dyDescent="0.2">
      <c r="I386" s="4">
        <v>379</v>
      </c>
      <c r="R386" s="19"/>
      <c r="S386" s="23"/>
      <c r="U386" s="23"/>
      <c r="AA386" s="18"/>
      <c r="AF386" s="23"/>
      <c r="AL386" s="18"/>
    </row>
    <row r="387" spans="9:38" x14ac:dyDescent="0.2">
      <c r="I387" s="4">
        <v>380</v>
      </c>
      <c r="R387" s="19"/>
      <c r="S387" s="23"/>
      <c r="U387" s="23"/>
      <c r="AA387" s="18"/>
      <c r="AF387" s="23"/>
      <c r="AL387" s="18"/>
    </row>
    <row r="388" spans="9:38" x14ac:dyDescent="0.2">
      <c r="I388" s="4">
        <v>381</v>
      </c>
      <c r="R388" s="19"/>
      <c r="S388" s="23"/>
      <c r="U388" s="23"/>
      <c r="AA388" s="18"/>
      <c r="AF388" s="23"/>
      <c r="AL388" s="18"/>
    </row>
    <row r="389" spans="9:38" x14ac:dyDescent="0.2">
      <c r="I389" s="4">
        <v>382</v>
      </c>
      <c r="R389" s="19"/>
      <c r="S389" s="23"/>
      <c r="U389" s="23"/>
      <c r="AA389" s="18"/>
      <c r="AF389" s="23"/>
      <c r="AL389" s="18"/>
    </row>
    <row r="390" spans="9:38" x14ac:dyDescent="0.2">
      <c r="I390" s="4">
        <v>383</v>
      </c>
      <c r="R390" s="19"/>
      <c r="S390" s="23"/>
      <c r="U390" s="23"/>
      <c r="AA390" s="18"/>
      <c r="AF390" s="23"/>
      <c r="AL390" s="18"/>
    </row>
    <row r="391" spans="9:38" x14ac:dyDescent="0.2">
      <c r="I391" s="4">
        <v>384</v>
      </c>
      <c r="R391" s="19"/>
      <c r="S391" s="23"/>
      <c r="U391" s="23"/>
      <c r="AA391" s="18"/>
      <c r="AF391" s="23"/>
      <c r="AL391" s="18"/>
    </row>
    <row r="392" spans="9:38" x14ac:dyDescent="0.2">
      <c r="I392" s="4">
        <v>385</v>
      </c>
      <c r="R392" s="19"/>
      <c r="S392" s="23"/>
      <c r="U392" s="23"/>
      <c r="AA392" s="18"/>
      <c r="AF392" s="23"/>
      <c r="AL392" s="18"/>
    </row>
    <row r="393" spans="9:38" x14ac:dyDescent="0.2">
      <c r="I393" s="4">
        <v>386</v>
      </c>
      <c r="R393" s="19"/>
      <c r="S393" s="23"/>
      <c r="U393" s="23"/>
      <c r="AA393" s="18"/>
      <c r="AF393" s="23"/>
      <c r="AL393" s="18"/>
    </row>
    <row r="394" spans="9:38" x14ac:dyDescent="0.2">
      <c r="I394" s="4">
        <v>387</v>
      </c>
      <c r="R394" s="19"/>
      <c r="S394" s="23"/>
      <c r="U394" s="23"/>
      <c r="AA394" s="18"/>
      <c r="AF394" s="23"/>
      <c r="AL394" s="18"/>
    </row>
    <row r="395" spans="9:38" x14ac:dyDescent="0.2">
      <c r="I395" s="4">
        <v>388</v>
      </c>
      <c r="R395" s="19"/>
      <c r="S395" s="23"/>
      <c r="U395" s="23"/>
      <c r="AA395" s="18"/>
      <c r="AF395" s="23"/>
      <c r="AL395" s="18"/>
    </row>
    <row r="396" spans="9:38" x14ac:dyDescent="0.2">
      <c r="I396" s="4">
        <v>389</v>
      </c>
      <c r="R396" s="19"/>
      <c r="S396" s="23"/>
      <c r="U396" s="23"/>
      <c r="AA396" s="18"/>
      <c r="AF396" s="23"/>
      <c r="AL396" s="18"/>
    </row>
    <row r="397" spans="9:38" x14ac:dyDescent="0.2">
      <c r="I397" s="4">
        <v>390</v>
      </c>
      <c r="R397" s="19"/>
      <c r="S397" s="23"/>
      <c r="U397" s="23"/>
      <c r="AA397" s="18"/>
      <c r="AF397" s="23"/>
      <c r="AL397" s="18"/>
    </row>
    <row r="398" spans="9:38" x14ac:dyDescent="0.2">
      <c r="I398" s="4">
        <v>391</v>
      </c>
      <c r="R398" s="19"/>
      <c r="S398" s="23"/>
      <c r="U398" s="23"/>
      <c r="AA398" s="18"/>
      <c r="AF398" s="23"/>
      <c r="AL398" s="18"/>
    </row>
    <row r="399" spans="9:38" x14ac:dyDescent="0.2">
      <c r="I399" s="4">
        <v>392</v>
      </c>
      <c r="R399" s="19"/>
      <c r="S399" s="23"/>
      <c r="U399" s="23"/>
      <c r="AA399" s="18"/>
      <c r="AF399" s="23"/>
      <c r="AL399" s="18"/>
    </row>
    <row r="400" spans="9:38" x14ac:dyDescent="0.2">
      <c r="I400" s="4">
        <v>393</v>
      </c>
      <c r="R400" s="19"/>
      <c r="S400" s="23"/>
      <c r="U400" s="23"/>
      <c r="AA400" s="18"/>
      <c r="AF400" s="23"/>
      <c r="AL400" s="18"/>
    </row>
    <row r="401" spans="9:38" x14ac:dyDescent="0.2">
      <c r="I401" s="4">
        <v>394</v>
      </c>
      <c r="R401" s="19"/>
      <c r="S401" s="23"/>
      <c r="U401" s="23"/>
      <c r="AA401" s="18"/>
      <c r="AF401" s="23"/>
      <c r="AL401" s="18"/>
    </row>
    <row r="402" spans="9:38" x14ac:dyDescent="0.2">
      <c r="I402" s="4">
        <v>395</v>
      </c>
      <c r="R402" s="19"/>
      <c r="S402" s="23"/>
      <c r="U402" s="23"/>
      <c r="AA402" s="18"/>
      <c r="AF402" s="23"/>
      <c r="AL402" s="18"/>
    </row>
    <row r="403" spans="9:38" x14ac:dyDescent="0.2">
      <c r="I403" s="4">
        <v>396</v>
      </c>
      <c r="R403" s="19"/>
      <c r="S403" s="23"/>
      <c r="U403" s="23"/>
      <c r="AA403" s="18"/>
      <c r="AF403" s="23"/>
      <c r="AL403" s="18"/>
    </row>
    <row r="404" spans="9:38" x14ac:dyDescent="0.2">
      <c r="I404" s="4">
        <v>397</v>
      </c>
      <c r="R404" s="19"/>
      <c r="S404" s="23"/>
      <c r="U404" s="23"/>
      <c r="AA404" s="18"/>
      <c r="AF404" s="23"/>
      <c r="AL404" s="18"/>
    </row>
    <row r="405" spans="9:38" x14ac:dyDescent="0.2">
      <c r="I405" s="4">
        <v>398</v>
      </c>
      <c r="R405" s="19"/>
      <c r="S405" s="23"/>
      <c r="U405" s="23"/>
      <c r="AA405" s="18"/>
      <c r="AF405" s="23"/>
      <c r="AL405" s="18"/>
    </row>
    <row r="406" spans="9:38" x14ac:dyDescent="0.2">
      <c r="I406" s="4">
        <v>399</v>
      </c>
      <c r="R406" s="19"/>
      <c r="S406" s="23"/>
      <c r="U406" s="23"/>
      <c r="AA406" s="18"/>
      <c r="AF406" s="23"/>
      <c r="AL406" s="18"/>
    </row>
    <row r="407" spans="9:38" x14ac:dyDescent="0.2">
      <c r="I407" s="4">
        <v>400</v>
      </c>
      <c r="R407" s="19"/>
      <c r="S407" s="23"/>
      <c r="U407" s="23"/>
      <c r="AA407" s="18"/>
      <c r="AF407" s="23"/>
      <c r="AL407" s="18"/>
    </row>
    <row r="408" spans="9:38" x14ac:dyDescent="0.2">
      <c r="I408" s="4">
        <v>401</v>
      </c>
      <c r="R408" s="19"/>
      <c r="S408" s="23"/>
      <c r="U408" s="23"/>
      <c r="AA408" s="18"/>
      <c r="AF408" s="23"/>
      <c r="AL408" s="18"/>
    </row>
    <row r="409" spans="9:38" x14ac:dyDescent="0.2">
      <c r="I409" s="4">
        <v>402</v>
      </c>
      <c r="R409" s="19"/>
      <c r="S409" s="23"/>
      <c r="U409" s="23"/>
      <c r="AA409" s="18"/>
      <c r="AF409" s="23"/>
      <c r="AL409" s="18"/>
    </row>
    <row r="410" spans="9:38" x14ac:dyDescent="0.2">
      <c r="I410" s="4">
        <v>403</v>
      </c>
      <c r="R410" s="19"/>
      <c r="S410" s="23"/>
      <c r="U410" s="23"/>
      <c r="AA410" s="18"/>
      <c r="AF410" s="23"/>
      <c r="AL410" s="18"/>
    </row>
    <row r="411" spans="9:38" x14ac:dyDescent="0.2">
      <c r="I411" s="4">
        <v>404</v>
      </c>
      <c r="R411" s="19"/>
      <c r="S411" s="23"/>
      <c r="U411" s="23"/>
      <c r="AA411" s="18"/>
      <c r="AF411" s="23"/>
      <c r="AL411" s="18"/>
    </row>
    <row r="412" spans="9:38" x14ac:dyDescent="0.2">
      <c r="I412" s="4">
        <v>405</v>
      </c>
      <c r="R412" s="19"/>
      <c r="S412" s="23"/>
      <c r="U412" s="23"/>
      <c r="AA412" s="18"/>
      <c r="AF412" s="23"/>
      <c r="AL412" s="18"/>
    </row>
    <row r="413" spans="9:38" x14ac:dyDescent="0.2">
      <c r="I413" s="4">
        <v>406</v>
      </c>
      <c r="R413" s="19"/>
      <c r="S413" s="23"/>
      <c r="U413" s="23"/>
      <c r="AA413" s="18"/>
      <c r="AF413" s="23"/>
      <c r="AL413" s="18"/>
    </row>
    <row r="414" spans="9:38" x14ac:dyDescent="0.2">
      <c r="I414" s="4">
        <v>407</v>
      </c>
      <c r="R414" s="19"/>
      <c r="S414" s="23"/>
      <c r="U414" s="23"/>
      <c r="AA414" s="18"/>
      <c r="AF414" s="23"/>
      <c r="AL414" s="18"/>
    </row>
    <row r="415" spans="9:38" x14ac:dyDescent="0.2">
      <c r="I415" s="4">
        <v>408</v>
      </c>
      <c r="R415" s="19"/>
      <c r="S415" s="23"/>
      <c r="U415" s="23"/>
      <c r="AA415" s="18"/>
      <c r="AF415" s="23"/>
      <c r="AL415" s="18"/>
    </row>
    <row r="416" spans="9:38" x14ac:dyDescent="0.2">
      <c r="I416" s="4">
        <v>409</v>
      </c>
      <c r="R416" s="19"/>
      <c r="S416" s="23"/>
      <c r="U416" s="23"/>
      <c r="AA416" s="18"/>
      <c r="AF416" s="23"/>
      <c r="AL416" s="18"/>
    </row>
    <row r="417" spans="9:38" x14ac:dyDescent="0.2">
      <c r="I417" s="4">
        <v>410</v>
      </c>
      <c r="R417" s="19"/>
      <c r="S417" s="23"/>
      <c r="U417" s="23"/>
      <c r="AA417" s="18"/>
      <c r="AF417" s="23"/>
      <c r="AL417" s="18"/>
    </row>
    <row r="418" spans="9:38" x14ac:dyDescent="0.2">
      <c r="I418" s="4">
        <v>411</v>
      </c>
      <c r="R418" s="19"/>
      <c r="S418" s="23"/>
      <c r="U418" s="23"/>
      <c r="AA418" s="18"/>
      <c r="AF418" s="23"/>
      <c r="AL418" s="18"/>
    </row>
    <row r="419" spans="9:38" x14ac:dyDescent="0.2">
      <c r="I419" s="4">
        <v>412</v>
      </c>
      <c r="R419" s="19"/>
      <c r="S419" s="23"/>
      <c r="U419" s="23"/>
      <c r="AA419" s="18"/>
      <c r="AF419" s="23"/>
      <c r="AL419" s="18"/>
    </row>
    <row r="420" spans="9:38" x14ac:dyDescent="0.2">
      <c r="I420" s="4">
        <v>413</v>
      </c>
      <c r="R420" s="19"/>
      <c r="S420" s="23"/>
      <c r="U420" s="23"/>
      <c r="AA420" s="18"/>
      <c r="AF420" s="23"/>
      <c r="AL420" s="18"/>
    </row>
    <row r="421" spans="9:38" x14ac:dyDescent="0.2">
      <c r="I421" s="4">
        <v>414</v>
      </c>
      <c r="R421" s="19"/>
      <c r="S421" s="23"/>
      <c r="U421" s="23"/>
      <c r="AA421" s="18"/>
      <c r="AF421" s="23"/>
      <c r="AL421" s="18"/>
    </row>
    <row r="422" spans="9:38" x14ac:dyDescent="0.2">
      <c r="I422" s="4">
        <v>415</v>
      </c>
      <c r="R422" s="19"/>
      <c r="S422" s="23"/>
      <c r="U422" s="23"/>
      <c r="AA422" s="18"/>
      <c r="AF422" s="23"/>
      <c r="AL422" s="18"/>
    </row>
    <row r="423" spans="9:38" x14ac:dyDescent="0.2">
      <c r="I423" s="4">
        <v>416</v>
      </c>
      <c r="R423" s="19"/>
      <c r="S423" s="23"/>
      <c r="U423" s="23"/>
      <c r="AA423" s="18"/>
      <c r="AF423" s="23"/>
      <c r="AL423" s="18"/>
    </row>
    <row r="424" spans="9:38" x14ac:dyDescent="0.2">
      <c r="I424" s="4">
        <v>417</v>
      </c>
      <c r="R424" s="19"/>
      <c r="S424" s="23"/>
      <c r="U424" s="23"/>
      <c r="AA424" s="18"/>
      <c r="AF424" s="23"/>
      <c r="AL424" s="18"/>
    </row>
    <row r="425" spans="9:38" x14ac:dyDescent="0.2">
      <c r="I425" s="4">
        <v>418</v>
      </c>
      <c r="R425" s="19"/>
      <c r="S425" s="23"/>
      <c r="U425" s="23"/>
      <c r="AA425" s="18"/>
      <c r="AF425" s="23"/>
      <c r="AL425" s="18"/>
    </row>
    <row r="426" spans="9:38" x14ac:dyDescent="0.2">
      <c r="I426" s="4">
        <v>419</v>
      </c>
      <c r="R426" s="19"/>
      <c r="S426" s="23"/>
      <c r="U426" s="23"/>
      <c r="AA426" s="18"/>
      <c r="AF426" s="23"/>
      <c r="AL426" s="18"/>
    </row>
    <row r="427" spans="9:38" x14ac:dyDescent="0.2">
      <c r="I427" s="4">
        <v>420</v>
      </c>
      <c r="R427" s="19"/>
      <c r="S427" s="23"/>
      <c r="U427" s="23"/>
      <c r="AA427" s="18"/>
      <c r="AF427" s="23"/>
      <c r="AL427" s="18"/>
    </row>
    <row r="428" spans="9:38" x14ac:dyDescent="0.2">
      <c r="I428" s="4">
        <v>421</v>
      </c>
      <c r="R428" s="19"/>
      <c r="S428" s="23"/>
      <c r="U428" s="23"/>
      <c r="AA428" s="18"/>
      <c r="AF428" s="23"/>
      <c r="AL428" s="18"/>
    </row>
    <row r="429" spans="9:38" x14ac:dyDescent="0.2">
      <c r="I429" s="4">
        <v>422</v>
      </c>
      <c r="R429" s="19"/>
      <c r="S429" s="23"/>
      <c r="U429" s="23"/>
      <c r="AA429" s="18"/>
      <c r="AF429" s="23"/>
      <c r="AL429" s="18"/>
    </row>
    <row r="430" spans="9:38" x14ac:dyDescent="0.2">
      <c r="I430" s="4">
        <v>423</v>
      </c>
      <c r="R430" s="19"/>
      <c r="S430" s="23"/>
      <c r="U430" s="23"/>
      <c r="AA430" s="18"/>
      <c r="AF430" s="23"/>
      <c r="AL430" s="18"/>
    </row>
    <row r="431" spans="9:38" x14ac:dyDescent="0.2">
      <c r="I431" s="4">
        <v>424</v>
      </c>
      <c r="R431" s="19"/>
      <c r="S431" s="23"/>
      <c r="U431" s="23"/>
      <c r="AA431" s="18"/>
      <c r="AF431" s="23"/>
      <c r="AL431" s="18"/>
    </row>
    <row r="432" spans="9:38" x14ac:dyDescent="0.2">
      <c r="I432" s="4">
        <v>425</v>
      </c>
      <c r="R432" s="19"/>
      <c r="S432" s="23"/>
      <c r="U432" s="23"/>
      <c r="AA432" s="18"/>
      <c r="AF432" s="23"/>
      <c r="AL432" s="18"/>
    </row>
    <row r="433" spans="9:38" x14ac:dyDescent="0.2">
      <c r="I433" s="4">
        <v>426</v>
      </c>
      <c r="R433" s="19"/>
      <c r="S433" s="23"/>
      <c r="U433" s="23"/>
      <c r="AA433" s="18"/>
      <c r="AF433" s="23"/>
      <c r="AL433" s="18"/>
    </row>
    <row r="434" spans="9:38" x14ac:dyDescent="0.2">
      <c r="I434" s="4">
        <v>427</v>
      </c>
      <c r="R434" s="19"/>
      <c r="S434" s="23"/>
      <c r="U434" s="23"/>
      <c r="AA434" s="18"/>
      <c r="AF434" s="23"/>
      <c r="AL434" s="18"/>
    </row>
    <row r="435" spans="9:38" x14ac:dyDescent="0.2">
      <c r="I435" s="4">
        <v>428</v>
      </c>
      <c r="R435" s="19"/>
      <c r="S435" s="23"/>
      <c r="U435" s="23"/>
      <c r="AA435" s="18"/>
      <c r="AF435" s="23"/>
      <c r="AL435" s="18"/>
    </row>
    <row r="436" spans="9:38" x14ac:dyDescent="0.2">
      <c r="I436" s="4">
        <v>429</v>
      </c>
      <c r="R436" s="19"/>
      <c r="S436" s="23"/>
      <c r="U436" s="23"/>
      <c r="AA436" s="18"/>
      <c r="AF436" s="23"/>
      <c r="AL436" s="18"/>
    </row>
    <row r="437" spans="9:38" x14ac:dyDescent="0.2">
      <c r="I437" s="4">
        <v>430</v>
      </c>
      <c r="R437" s="19"/>
      <c r="S437" s="23"/>
      <c r="U437" s="23"/>
      <c r="AA437" s="18"/>
      <c r="AF437" s="23"/>
      <c r="AL437" s="18"/>
    </row>
    <row r="438" spans="9:38" x14ac:dyDescent="0.2">
      <c r="I438" s="4">
        <v>431</v>
      </c>
      <c r="R438" s="19"/>
      <c r="S438" s="23"/>
      <c r="U438" s="23"/>
      <c r="AA438" s="18"/>
      <c r="AF438" s="23"/>
      <c r="AL438" s="18"/>
    </row>
    <row r="439" spans="9:38" x14ac:dyDescent="0.2">
      <c r="I439" s="4">
        <v>432</v>
      </c>
      <c r="R439" s="19"/>
      <c r="S439" s="23"/>
      <c r="U439" s="23"/>
      <c r="AA439" s="18"/>
      <c r="AF439" s="23"/>
      <c r="AL439" s="18"/>
    </row>
    <row r="440" spans="9:38" x14ac:dyDescent="0.2">
      <c r="I440" s="4">
        <v>433</v>
      </c>
      <c r="R440" s="19"/>
      <c r="S440" s="23"/>
      <c r="U440" s="23"/>
      <c r="AA440" s="18"/>
      <c r="AF440" s="23"/>
      <c r="AL440" s="18"/>
    </row>
    <row r="441" spans="9:38" x14ac:dyDescent="0.2">
      <c r="I441" s="4">
        <v>434</v>
      </c>
      <c r="R441" s="19"/>
      <c r="S441" s="23"/>
      <c r="U441" s="23"/>
      <c r="AA441" s="18"/>
      <c r="AF441" s="23"/>
      <c r="AL441" s="18"/>
    </row>
    <row r="442" spans="9:38" x14ac:dyDescent="0.2">
      <c r="I442" s="4">
        <v>435</v>
      </c>
      <c r="R442" s="19"/>
      <c r="S442" s="23"/>
      <c r="U442" s="23"/>
      <c r="AA442" s="18"/>
      <c r="AF442" s="23"/>
      <c r="AL442" s="18"/>
    </row>
    <row r="443" spans="9:38" x14ac:dyDescent="0.2">
      <c r="I443" s="4">
        <v>436</v>
      </c>
      <c r="R443" s="19"/>
      <c r="S443" s="23"/>
      <c r="U443" s="23"/>
      <c r="AA443" s="18"/>
      <c r="AF443" s="23"/>
      <c r="AL443" s="18"/>
    </row>
    <row r="444" spans="9:38" x14ac:dyDescent="0.2">
      <c r="I444" s="4">
        <v>437</v>
      </c>
      <c r="R444" s="19"/>
      <c r="S444" s="23"/>
      <c r="U444" s="23"/>
      <c r="AA444" s="18"/>
      <c r="AF444" s="23"/>
      <c r="AL444" s="18"/>
    </row>
    <row r="445" spans="9:38" x14ac:dyDescent="0.2">
      <c r="I445" s="4">
        <v>438</v>
      </c>
      <c r="R445" s="19"/>
      <c r="S445" s="23"/>
      <c r="U445" s="23"/>
      <c r="AA445" s="18"/>
      <c r="AF445" s="23"/>
      <c r="AL445" s="18"/>
    </row>
    <row r="446" spans="9:38" x14ac:dyDescent="0.2">
      <c r="I446" s="4">
        <v>439</v>
      </c>
      <c r="R446" s="19"/>
      <c r="S446" s="23"/>
      <c r="U446" s="23"/>
      <c r="AA446" s="18"/>
      <c r="AF446" s="23"/>
      <c r="AL446" s="18"/>
    </row>
    <row r="447" spans="9:38" x14ac:dyDescent="0.2">
      <c r="I447" s="4">
        <v>440</v>
      </c>
      <c r="R447" s="19"/>
      <c r="S447" s="23"/>
      <c r="U447" s="23"/>
      <c r="AA447" s="18"/>
      <c r="AF447" s="23"/>
      <c r="AL447" s="18"/>
    </row>
    <row r="448" spans="9:38" x14ac:dyDescent="0.2">
      <c r="I448" s="4">
        <v>441</v>
      </c>
      <c r="R448" s="19"/>
      <c r="S448" s="23"/>
      <c r="U448" s="23"/>
      <c r="AA448" s="18"/>
      <c r="AF448" s="23"/>
      <c r="AL448" s="18"/>
    </row>
    <row r="449" spans="9:38" x14ac:dyDescent="0.2">
      <c r="I449" s="4">
        <v>442</v>
      </c>
      <c r="R449" s="19"/>
      <c r="S449" s="23"/>
      <c r="U449" s="23"/>
      <c r="AA449" s="18"/>
      <c r="AF449" s="23"/>
      <c r="AL449" s="18"/>
    </row>
    <row r="450" spans="9:38" x14ac:dyDescent="0.2">
      <c r="I450" s="4">
        <v>443</v>
      </c>
      <c r="R450" s="19"/>
      <c r="S450" s="23"/>
      <c r="U450" s="23"/>
      <c r="AA450" s="18"/>
      <c r="AF450" s="23"/>
      <c r="AL450" s="18"/>
    </row>
    <row r="451" spans="9:38" x14ac:dyDescent="0.2">
      <c r="I451" s="4">
        <v>444</v>
      </c>
      <c r="R451" s="19"/>
      <c r="S451" s="23"/>
      <c r="U451" s="23"/>
      <c r="AA451" s="18"/>
      <c r="AF451" s="23"/>
      <c r="AL451" s="18"/>
    </row>
    <row r="452" spans="9:38" x14ac:dyDescent="0.2">
      <c r="I452" s="4">
        <v>445</v>
      </c>
      <c r="R452" s="19"/>
      <c r="S452" s="23"/>
      <c r="U452" s="23"/>
      <c r="AA452" s="18"/>
      <c r="AF452" s="23"/>
      <c r="AL452" s="18"/>
    </row>
    <row r="453" spans="9:38" x14ac:dyDescent="0.2">
      <c r="I453" s="4">
        <v>446</v>
      </c>
      <c r="R453" s="19"/>
      <c r="S453" s="23"/>
      <c r="U453" s="23"/>
      <c r="AA453" s="18"/>
      <c r="AF453" s="23"/>
      <c r="AL453" s="18"/>
    </row>
    <row r="454" spans="9:38" x14ac:dyDescent="0.2">
      <c r="I454" s="4">
        <v>447</v>
      </c>
      <c r="R454" s="19"/>
      <c r="S454" s="23"/>
      <c r="U454" s="23"/>
      <c r="AA454" s="18"/>
      <c r="AF454" s="23"/>
      <c r="AL454" s="18"/>
    </row>
    <row r="455" spans="9:38" x14ac:dyDescent="0.2">
      <c r="I455" s="4">
        <v>448</v>
      </c>
      <c r="R455" s="19"/>
      <c r="S455" s="23"/>
      <c r="U455" s="23"/>
      <c r="AA455" s="18"/>
      <c r="AF455" s="23"/>
      <c r="AL455" s="18"/>
    </row>
    <row r="456" spans="9:38" x14ac:dyDescent="0.2">
      <c r="I456" s="4">
        <v>449</v>
      </c>
      <c r="R456" s="19"/>
      <c r="S456" s="23"/>
      <c r="U456" s="23"/>
      <c r="AA456" s="18"/>
      <c r="AF456" s="23"/>
      <c r="AL456" s="18"/>
    </row>
    <row r="457" spans="9:38" x14ac:dyDescent="0.2">
      <c r="I457" s="4">
        <v>450</v>
      </c>
      <c r="R457" s="19"/>
      <c r="S457" s="23"/>
      <c r="U457" s="23"/>
      <c r="AA457" s="18"/>
      <c r="AF457" s="23"/>
      <c r="AL457" s="18"/>
    </row>
    <row r="458" spans="9:38" x14ac:dyDescent="0.2">
      <c r="I458" s="4">
        <v>451</v>
      </c>
      <c r="R458" s="19"/>
      <c r="S458" s="23"/>
      <c r="U458" s="23"/>
      <c r="AA458" s="18"/>
      <c r="AF458" s="23"/>
      <c r="AL458" s="18"/>
    </row>
    <row r="459" spans="9:38" x14ac:dyDescent="0.2">
      <c r="I459" s="4">
        <v>452</v>
      </c>
      <c r="R459" s="19"/>
      <c r="S459" s="23"/>
      <c r="U459" s="23"/>
      <c r="AA459" s="18"/>
      <c r="AF459" s="23"/>
      <c r="AL459" s="18"/>
    </row>
    <row r="460" spans="9:38" x14ac:dyDescent="0.2">
      <c r="I460" s="4">
        <v>453</v>
      </c>
      <c r="R460" s="19"/>
      <c r="S460" s="23"/>
      <c r="U460" s="23"/>
      <c r="AA460" s="18"/>
      <c r="AF460" s="23"/>
      <c r="AL460" s="18"/>
    </row>
    <row r="461" spans="9:38" x14ac:dyDescent="0.2">
      <c r="I461" s="4">
        <v>454</v>
      </c>
      <c r="R461" s="19"/>
      <c r="S461" s="23"/>
      <c r="U461" s="23"/>
      <c r="AA461" s="18"/>
      <c r="AF461" s="23"/>
      <c r="AL461" s="18"/>
    </row>
    <row r="462" spans="9:38" x14ac:dyDescent="0.2">
      <c r="I462" s="4">
        <v>455</v>
      </c>
      <c r="R462" s="19"/>
      <c r="S462" s="23"/>
      <c r="U462" s="23"/>
      <c r="AA462" s="18"/>
      <c r="AF462" s="23"/>
      <c r="AL462" s="18"/>
    </row>
    <row r="463" spans="9:38" x14ac:dyDescent="0.2">
      <c r="I463" s="4">
        <v>456</v>
      </c>
      <c r="R463" s="19"/>
      <c r="S463" s="23"/>
      <c r="U463" s="23"/>
      <c r="AA463" s="18"/>
      <c r="AF463" s="23"/>
      <c r="AL463" s="18"/>
    </row>
    <row r="464" spans="9:38" x14ac:dyDescent="0.2">
      <c r="I464" s="4">
        <v>457</v>
      </c>
      <c r="R464" s="19"/>
      <c r="S464" s="23"/>
      <c r="U464" s="23"/>
      <c r="AA464" s="18"/>
      <c r="AF464" s="23"/>
      <c r="AL464" s="18"/>
    </row>
    <row r="465" spans="9:38" x14ac:dyDescent="0.2">
      <c r="I465" s="4">
        <v>458</v>
      </c>
      <c r="R465" s="19"/>
      <c r="S465" s="23"/>
      <c r="U465" s="23"/>
      <c r="AA465" s="18"/>
      <c r="AF465" s="23"/>
      <c r="AL465" s="18"/>
    </row>
    <row r="466" spans="9:38" x14ac:dyDescent="0.2">
      <c r="I466" s="4">
        <v>459</v>
      </c>
      <c r="R466" s="19"/>
      <c r="S466" s="23"/>
      <c r="U466" s="23"/>
      <c r="AA466" s="18"/>
      <c r="AF466" s="23"/>
      <c r="AL466" s="18"/>
    </row>
    <row r="467" spans="9:38" x14ac:dyDescent="0.2">
      <c r="I467" s="4">
        <v>460</v>
      </c>
      <c r="R467" s="19"/>
      <c r="S467" s="23"/>
      <c r="U467" s="23"/>
      <c r="AA467" s="18"/>
      <c r="AF467" s="23"/>
      <c r="AL467" s="18"/>
    </row>
    <row r="468" spans="9:38" x14ac:dyDescent="0.2">
      <c r="I468" s="4">
        <v>461</v>
      </c>
      <c r="R468" s="19"/>
      <c r="S468" s="23"/>
      <c r="U468" s="23"/>
      <c r="AA468" s="18"/>
      <c r="AF468" s="23"/>
      <c r="AL468" s="18"/>
    </row>
    <row r="469" spans="9:38" x14ac:dyDescent="0.2">
      <c r="I469" s="4">
        <v>462</v>
      </c>
      <c r="R469" s="19"/>
      <c r="S469" s="23"/>
      <c r="U469" s="23"/>
      <c r="AA469" s="18"/>
      <c r="AF469" s="23"/>
      <c r="AL469" s="18"/>
    </row>
    <row r="470" spans="9:38" x14ac:dyDescent="0.2">
      <c r="I470" s="4">
        <v>463</v>
      </c>
      <c r="R470" s="19"/>
      <c r="S470" s="23"/>
      <c r="U470" s="23"/>
      <c r="AA470" s="18"/>
      <c r="AF470" s="23"/>
      <c r="AL470" s="18"/>
    </row>
    <row r="471" spans="9:38" x14ac:dyDescent="0.2">
      <c r="I471" s="4">
        <v>464</v>
      </c>
      <c r="R471" s="19"/>
      <c r="S471" s="23"/>
      <c r="U471" s="23"/>
      <c r="AA471" s="18"/>
      <c r="AF471" s="23"/>
      <c r="AL471" s="18"/>
    </row>
    <row r="472" spans="9:38" x14ac:dyDescent="0.2">
      <c r="I472" s="4">
        <v>465</v>
      </c>
      <c r="R472" s="19"/>
      <c r="S472" s="23"/>
      <c r="U472" s="23"/>
      <c r="AA472" s="18"/>
      <c r="AF472" s="23"/>
      <c r="AL472" s="18"/>
    </row>
    <row r="473" spans="9:38" x14ac:dyDescent="0.2">
      <c r="I473" s="4">
        <v>466</v>
      </c>
      <c r="R473" s="19"/>
      <c r="S473" s="23"/>
      <c r="U473" s="23"/>
      <c r="AA473" s="18"/>
      <c r="AF473" s="23"/>
      <c r="AL473" s="18"/>
    </row>
    <row r="474" spans="9:38" x14ac:dyDescent="0.2">
      <c r="I474" s="4">
        <v>467</v>
      </c>
      <c r="R474" s="19"/>
      <c r="S474" s="23"/>
      <c r="U474" s="23"/>
      <c r="AA474" s="18"/>
      <c r="AF474" s="23"/>
      <c r="AL474" s="18"/>
    </row>
    <row r="475" spans="9:38" x14ac:dyDescent="0.2">
      <c r="I475" s="4">
        <v>468</v>
      </c>
      <c r="R475" s="19"/>
      <c r="S475" s="23"/>
      <c r="U475" s="23"/>
      <c r="AA475" s="18"/>
      <c r="AF475" s="23"/>
      <c r="AL475" s="18"/>
    </row>
    <row r="476" spans="9:38" x14ac:dyDescent="0.2">
      <c r="I476" s="4">
        <v>469</v>
      </c>
      <c r="R476" s="19"/>
      <c r="S476" s="23"/>
      <c r="U476" s="23"/>
      <c r="AA476" s="18"/>
      <c r="AF476" s="23"/>
      <c r="AL476" s="18"/>
    </row>
    <row r="477" spans="9:38" x14ac:dyDescent="0.2">
      <c r="I477" s="4">
        <v>470</v>
      </c>
      <c r="R477" s="19"/>
      <c r="S477" s="23"/>
      <c r="U477" s="23"/>
      <c r="AA477" s="18"/>
      <c r="AF477" s="23"/>
      <c r="AL477" s="18"/>
    </row>
    <row r="478" spans="9:38" x14ac:dyDescent="0.2">
      <c r="I478" s="4">
        <v>471</v>
      </c>
      <c r="R478" s="19"/>
      <c r="S478" s="23"/>
      <c r="U478" s="23"/>
      <c r="AA478" s="18"/>
      <c r="AF478" s="23"/>
      <c r="AL478" s="18"/>
    </row>
    <row r="479" spans="9:38" x14ac:dyDescent="0.2">
      <c r="I479" s="4">
        <v>472</v>
      </c>
      <c r="R479" s="19"/>
      <c r="S479" s="23"/>
      <c r="U479" s="23"/>
      <c r="AA479" s="18"/>
      <c r="AF479" s="23"/>
      <c r="AL479" s="18"/>
    </row>
    <row r="480" spans="9:38" x14ac:dyDescent="0.2">
      <c r="I480" s="4">
        <v>473</v>
      </c>
      <c r="R480" s="19"/>
      <c r="S480" s="23"/>
      <c r="U480" s="23"/>
      <c r="AA480" s="18"/>
      <c r="AF480" s="23"/>
      <c r="AL480" s="18"/>
    </row>
    <row r="481" spans="9:38" x14ac:dyDescent="0.2">
      <c r="I481" s="4">
        <v>474</v>
      </c>
      <c r="R481" s="19"/>
      <c r="S481" s="23"/>
      <c r="U481" s="23"/>
      <c r="AA481" s="18"/>
      <c r="AF481" s="23"/>
      <c r="AL481" s="18"/>
    </row>
    <row r="482" spans="9:38" x14ac:dyDescent="0.2">
      <c r="I482" s="4">
        <v>475</v>
      </c>
      <c r="R482" s="19"/>
      <c r="S482" s="23"/>
      <c r="U482" s="23"/>
      <c r="AA482" s="18"/>
      <c r="AF482" s="23"/>
      <c r="AL482" s="18"/>
    </row>
    <row r="483" spans="9:38" x14ac:dyDescent="0.2">
      <c r="I483" s="4">
        <v>476</v>
      </c>
      <c r="R483" s="19"/>
      <c r="S483" s="23"/>
      <c r="U483" s="23"/>
      <c r="AA483" s="18"/>
      <c r="AF483" s="23"/>
      <c r="AL483" s="18"/>
    </row>
    <row r="484" spans="9:38" x14ac:dyDescent="0.2">
      <c r="I484" s="4">
        <v>477</v>
      </c>
      <c r="R484" s="19"/>
      <c r="S484" s="23"/>
      <c r="U484" s="23"/>
      <c r="AA484" s="18"/>
      <c r="AF484" s="23"/>
      <c r="AL484" s="18"/>
    </row>
    <row r="485" spans="9:38" x14ac:dyDescent="0.2">
      <c r="I485" s="4">
        <v>478</v>
      </c>
      <c r="R485" s="19"/>
      <c r="S485" s="23"/>
      <c r="U485" s="23"/>
      <c r="AA485" s="18"/>
      <c r="AF485" s="23"/>
      <c r="AL485" s="18"/>
    </row>
    <row r="486" spans="9:38" x14ac:dyDescent="0.2">
      <c r="I486" s="4">
        <v>479</v>
      </c>
      <c r="R486" s="19"/>
      <c r="S486" s="23"/>
      <c r="U486" s="23"/>
      <c r="AA486" s="18"/>
      <c r="AF486" s="23"/>
      <c r="AL486" s="18"/>
    </row>
    <row r="487" spans="9:38" x14ac:dyDescent="0.2">
      <c r="I487" s="4">
        <v>480</v>
      </c>
      <c r="R487" s="19"/>
      <c r="S487" s="23"/>
      <c r="U487" s="23"/>
      <c r="AA487" s="18"/>
      <c r="AF487" s="23"/>
      <c r="AL487" s="18"/>
    </row>
    <row r="488" spans="9:38" x14ac:dyDescent="0.2">
      <c r="I488" s="4">
        <v>481</v>
      </c>
      <c r="R488" s="19"/>
      <c r="S488" s="23"/>
      <c r="U488" s="23"/>
      <c r="AA488" s="18"/>
      <c r="AF488" s="23"/>
      <c r="AL488" s="18"/>
    </row>
    <row r="489" spans="9:38" x14ac:dyDescent="0.2">
      <c r="I489" s="4">
        <v>482</v>
      </c>
      <c r="R489" s="19"/>
      <c r="S489" s="23"/>
      <c r="U489" s="23"/>
      <c r="AA489" s="18"/>
      <c r="AF489" s="23"/>
      <c r="AL489" s="18"/>
    </row>
    <row r="490" spans="9:38" x14ac:dyDescent="0.2">
      <c r="I490" s="4">
        <v>483</v>
      </c>
      <c r="R490" s="19"/>
      <c r="S490" s="23"/>
      <c r="U490" s="23"/>
      <c r="AA490" s="18"/>
      <c r="AF490" s="23"/>
      <c r="AL490" s="18"/>
    </row>
    <row r="491" spans="9:38" x14ac:dyDescent="0.2">
      <c r="I491" s="4">
        <v>484</v>
      </c>
      <c r="R491" s="19"/>
      <c r="S491" s="23"/>
      <c r="U491" s="23"/>
      <c r="AA491" s="18"/>
      <c r="AF491" s="23"/>
      <c r="AL491" s="18"/>
    </row>
    <row r="492" spans="9:38" x14ac:dyDescent="0.2">
      <c r="I492" s="4">
        <v>485</v>
      </c>
      <c r="R492" s="19"/>
      <c r="S492" s="23"/>
      <c r="U492" s="23"/>
      <c r="AA492" s="18"/>
      <c r="AF492" s="23"/>
      <c r="AL492" s="18"/>
    </row>
    <row r="493" spans="9:38" x14ac:dyDescent="0.2">
      <c r="I493" s="4">
        <v>486</v>
      </c>
      <c r="R493" s="19"/>
      <c r="S493" s="23"/>
      <c r="U493" s="23"/>
      <c r="AA493" s="18"/>
      <c r="AF493" s="23"/>
      <c r="AL493" s="18"/>
    </row>
    <row r="494" spans="9:38" x14ac:dyDescent="0.2">
      <c r="I494" s="4">
        <v>487</v>
      </c>
      <c r="R494" s="19"/>
      <c r="S494" s="23"/>
      <c r="U494" s="23"/>
      <c r="AA494" s="18"/>
      <c r="AF494" s="23"/>
      <c r="AL494" s="18"/>
    </row>
    <row r="495" spans="9:38" x14ac:dyDescent="0.2">
      <c r="I495" s="4">
        <v>488</v>
      </c>
      <c r="R495" s="19"/>
      <c r="S495" s="23"/>
      <c r="U495" s="23"/>
      <c r="AA495" s="18"/>
      <c r="AF495" s="23"/>
      <c r="AL495" s="18"/>
    </row>
    <row r="496" spans="9:38" x14ac:dyDescent="0.2">
      <c r="I496" s="4">
        <v>489</v>
      </c>
      <c r="R496" s="19"/>
      <c r="S496" s="23"/>
      <c r="U496" s="23"/>
      <c r="AA496" s="18"/>
      <c r="AF496" s="23"/>
      <c r="AL496" s="18"/>
    </row>
    <row r="497" spans="9:38" x14ac:dyDescent="0.2">
      <c r="I497" s="4">
        <v>490</v>
      </c>
      <c r="R497" s="19"/>
      <c r="S497" s="23"/>
      <c r="U497" s="23"/>
      <c r="AA497" s="18"/>
      <c r="AF497" s="23"/>
      <c r="AL497" s="18"/>
    </row>
    <row r="498" spans="9:38" x14ac:dyDescent="0.2">
      <c r="I498" s="4">
        <v>491</v>
      </c>
      <c r="R498" s="19"/>
      <c r="S498" s="23"/>
      <c r="U498" s="23"/>
      <c r="AA498" s="18"/>
      <c r="AF498" s="23"/>
      <c r="AL498" s="18"/>
    </row>
    <row r="499" spans="9:38" x14ac:dyDescent="0.2">
      <c r="I499" s="4">
        <v>492</v>
      </c>
      <c r="R499" s="19"/>
      <c r="S499" s="23"/>
      <c r="U499" s="23"/>
      <c r="AA499" s="18"/>
      <c r="AF499" s="23"/>
      <c r="AL499" s="18"/>
    </row>
    <row r="500" spans="9:38" x14ac:dyDescent="0.2">
      <c r="I500" s="4">
        <v>493</v>
      </c>
      <c r="R500" s="19"/>
      <c r="S500" s="23"/>
      <c r="U500" s="23"/>
      <c r="AA500" s="18"/>
      <c r="AF500" s="23"/>
      <c r="AL500" s="18"/>
    </row>
    <row r="501" spans="9:38" x14ac:dyDescent="0.2">
      <c r="I501" s="4">
        <v>494</v>
      </c>
      <c r="R501" s="19"/>
      <c r="S501" s="23"/>
      <c r="U501" s="23"/>
      <c r="AA501" s="18"/>
      <c r="AF501" s="23"/>
      <c r="AL501" s="18"/>
    </row>
    <row r="502" spans="9:38" x14ac:dyDescent="0.2">
      <c r="I502" s="4">
        <v>495</v>
      </c>
      <c r="R502" s="19"/>
      <c r="S502" s="23"/>
      <c r="U502" s="23"/>
      <c r="AA502" s="18"/>
      <c r="AF502" s="23"/>
      <c r="AL502" s="18"/>
    </row>
    <row r="503" spans="9:38" x14ac:dyDescent="0.2">
      <c r="I503" s="4">
        <v>496</v>
      </c>
      <c r="R503" s="19"/>
      <c r="S503" s="23"/>
      <c r="U503" s="23"/>
      <c r="AA503" s="18"/>
      <c r="AF503" s="23"/>
      <c r="AL503" s="18"/>
    </row>
    <row r="504" spans="9:38" x14ac:dyDescent="0.2">
      <c r="I504" s="4">
        <v>497</v>
      </c>
      <c r="R504" s="19"/>
      <c r="S504" s="23"/>
      <c r="U504" s="23"/>
      <c r="AA504" s="18"/>
      <c r="AF504" s="23"/>
      <c r="AL504" s="18"/>
    </row>
    <row r="505" spans="9:38" x14ac:dyDescent="0.2">
      <c r="I505" s="4">
        <v>498</v>
      </c>
      <c r="R505" s="19"/>
      <c r="S505" s="23"/>
      <c r="U505" s="23"/>
      <c r="AA505" s="18"/>
      <c r="AF505" s="23"/>
      <c r="AL505" s="18"/>
    </row>
    <row r="506" spans="9:38" x14ac:dyDescent="0.2">
      <c r="I506" s="4">
        <v>499</v>
      </c>
      <c r="R506" s="19"/>
      <c r="S506" s="23"/>
      <c r="U506" s="23"/>
      <c r="AA506" s="18"/>
      <c r="AF506" s="23"/>
      <c r="AL506" s="18"/>
    </row>
    <row r="507" spans="9:38" x14ac:dyDescent="0.2">
      <c r="I507" s="4">
        <v>500</v>
      </c>
      <c r="R507" s="19"/>
      <c r="S507" s="23"/>
      <c r="U507" s="23"/>
      <c r="AA507" s="18"/>
      <c r="AF507" s="23"/>
      <c r="AL507" s="18"/>
    </row>
    <row r="508" spans="9:38" x14ac:dyDescent="0.2">
      <c r="I508" s="4">
        <v>501</v>
      </c>
      <c r="R508" s="19"/>
      <c r="S508" s="23"/>
      <c r="U508" s="23"/>
      <c r="AA508" s="18"/>
      <c r="AF508" s="23"/>
      <c r="AL508" s="18"/>
    </row>
    <row r="509" spans="9:38" x14ac:dyDescent="0.2">
      <c r="I509" s="4">
        <v>502</v>
      </c>
      <c r="R509" s="19"/>
      <c r="S509" s="23"/>
      <c r="U509" s="23"/>
      <c r="AA509" s="18"/>
      <c r="AF509" s="23"/>
      <c r="AL509" s="18"/>
    </row>
    <row r="510" spans="9:38" x14ac:dyDescent="0.2">
      <c r="I510" s="4">
        <v>503</v>
      </c>
      <c r="R510" s="19"/>
      <c r="S510" s="23"/>
      <c r="U510" s="23"/>
      <c r="AA510" s="18"/>
      <c r="AF510" s="23"/>
      <c r="AL510" s="18"/>
    </row>
    <row r="511" spans="9:38" x14ac:dyDescent="0.2">
      <c r="I511" s="4">
        <v>504</v>
      </c>
      <c r="R511" s="19"/>
      <c r="S511" s="23"/>
      <c r="U511" s="23"/>
      <c r="AA511" s="18"/>
      <c r="AF511" s="23"/>
      <c r="AL511" s="18"/>
    </row>
    <row r="512" spans="9:38" x14ac:dyDescent="0.2">
      <c r="I512" s="4">
        <v>505</v>
      </c>
      <c r="R512" s="19"/>
      <c r="S512" s="23"/>
      <c r="U512" s="23"/>
      <c r="AA512" s="18"/>
      <c r="AF512" s="23"/>
      <c r="AL512" s="18"/>
    </row>
    <row r="513" spans="9:38" x14ac:dyDescent="0.2">
      <c r="I513" s="4">
        <v>506</v>
      </c>
      <c r="R513" s="19"/>
      <c r="S513" s="23"/>
      <c r="U513" s="23"/>
      <c r="AA513" s="18"/>
      <c r="AF513" s="23"/>
      <c r="AL513" s="18"/>
    </row>
    <row r="514" spans="9:38" x14ac:dyDescent="0.2">
      <c r="I514" s="4">
        <v>507</v>
      </c>
      <c r="R514" s="19"/>
      <c r="S514" s="23"/>
      <c r="U514" s="23"/>
      <c r="AA514" s="18"/>
      <c r="AF514" s="23"/>
      <c r="AL514" s="18"/>
    </row>
    <row r="515" spans="9:38" x14ac:dyDescent="0.2">
      <c r="I515" s="4">
        <v>508</v>
      </c>
      <c r="R515" s="19"/>
      <c r="S515" s="23"/>
      <c r="U515" s="23"/>
      <c r="AA515" s="18"/>
      <c r="AF515" s="23"/>
      <c r="AL515" s="18"/>
    </row>
    <row r="516" spans="9:38" x14ac:dyDescent="0.2">
      <c r="I516" s="4">
        <v>509</v>
      </c>
      <c r="R516" s="19"/>
      <c r="S516" s="23"/>
      <c r="U516" s="23"/>
      <c r="AA516" s="18"/>
      <c r="AF516" s="23"/>
      <c r="AL516" s="18"/>
    </row>
    <row r="517" spans="9:38" x14ac:dyDescent="0.2">
      <c r="I517" s="4">
        <v>510</v>
      </c>
      <c r="R517" s="19"/>
      <c r="S517" s="23"/>
      <c r="U517" s="23"/>
      <c r="AA517" s="18"/>
      <c r="AF517" s="23"/>
      <c r="AL517" s="18"/>
    </row>
    <row r="518" spans="9:38" x14ac:dyDescent="0.2">
      <c r="I518" s="4">
        <v>511</v>
      </c>
      <c r="R518" s="19"/>
      <c r="S518" s="23"/>
      <c r="U518" s="23"/>
      <c r="AA518" s="18"/>
      <c r="AF518" s="23"/>
      <c r="AL518" s="18"/>
    </row>
    <row r="519" spans="9:38" x14ac:dyDescent="0.2">
      <c r="I519" s="4">
        <v>512</v>
      </c>
      <c r="R519" s="19"/>
      <c r="S519" s="23"/>
      <c r="U519" s="23"/>
      <c r="AA519" s="18"/>
      <c r="AF519" s="23"/>
      <c r="AL519" s="18"/>
    </row>
    <row r="520" spans="9:38" x14ac:dyDescent="0.2">
      <c r="I520" s="4">
        <v>513</v>
      </c>
      <c r="R520" s="19"/>
      <c r="S520" s="23"/>
      <c r="U520" s="23"/>
      <c r="AA520" s="18"/>
      <c r="AF520" s="23"/>
      <c r="AL520" s="18"/>
    </row>
    <row r="521" spans="9:38" x14ac:dyDescent="0.2">
      <c r="I521" s="4">
        <v>514</v>
      </c>
      <c r="R521" s="19"/>
      <c r="S521" s="23"/>
      <c r="U521" s="23"/>
      <c r="AA521" s="18"/>
      <c r="AF521" s="23"/>
      <c r="AL521" s="18"/>
    </row>
    <row r="522" spans="9:38" x14ac:dyDescent="0.2">
      <c r="I522" s="4">
        <v>515</v>
      </c>
      <c r="R522" s="19"/>
      <c r="S522" s="23"/>
      <c r="U522" s="23"/>
      <c r="AA522" s="18"/>
      <c r="AF522" s="23"/>
      <c r="AL522" s="18"/>
    </row>
    <row r="523" spans="9:38" x14ac:dyDescent="0.2">
      <c r="I523" s="4">
        <v>516</v>
      </c>
      <c r="R523" s="19"/>
      <c r="S523" s="23"/>
      <c r="U523" s="23"/>
      <c r="AA523" s="18"/>
      <c r="AF523" s="23"/>
      <c r="AL523" s="18"/>
    </row>
    <row r="524" spans="9:38" x14ac:dyDescent="0.2">
      <c r="I524" s="4">
        <v>517</v>
      </c>
      <c r="R524" s="19"/>
      <c r="S524" s="23"/>
      <c r="U524" s="23"/>
      <c r="AA524" s="18"/>
      <c r="AF524" s="23"/>
      <c r="AL524" s="18"/>
    </row>
    <row r="525" spans="9:38" x14ac:dyDescent="0.2">
      <c r="I525" s="4">
        <v>518</v>
      </c>
      <c r="R525" s="19"/>
      <c r="S525" s="23"/>
      <c r="U525" s="23"/>
      <c r="AA525" s="18"/>
      <c r="AF525" s="23"/>
      <c r="AL525" s="18"/>
    </row>
    <row r="526" spans="9:38" x14ac:dyDescent="0.2">
      <c r="I526" s="4">
        <v>519</v>
      </c>
      <c r="R526" s="19"/>
      <c r="S526" s="23"/>
      <c r="U526" s="23"/>
      <c r="AA526" s="18"/>
      <c r="AF526" s="23"/>
      <c r="AL526" s="18"/>
    </row>
    <row r="527" spans="9:38" x14ac:dyDescent="0.2">
      <c r="I527" s="4">
        <v>520</v>
      </c>
      <c r="R527" s="19"/>
      <c r="S527" s="23"/>
      <c r="U527" s="23"/>
      <c r="AA527" s="18"/>
      <c r="AF527" s="23"/>
      <c r="AL527" s="18"/>
    </row>
    <row r="528" spans="9:38" x14ac:dyDescent="0.2">
      <c r="I528" s="4">
        <v>521</v>
      </c>
      <c r="R528" s="19"/>
      <c r="S528" s="23"/>
      <c r="U528" s="23"/>
      <c r="AA528" s="18"/>
      <c r="AF528" s="23"/>
      <c r="AL528" s="18"/>
    </row>
    <row r="529" spans="9:38" x14ac:dyDescent="0.2">
      <c r="I529" s="4">
        <v>522</v>
      </c>
      <c r="R529" s="19"/>
      <c r="S529" s="23"/>
      <c r="U529" s="23"/>
      <c r="AA529" s="18"/>
      <c r="AF529" s="23"/>
      <c r="AL529" s="18"/>
    </row>
    <row r="530" spans="9:38" x14ac:dyDescent="0.2">
      <c r="I530" s="4">
        <v>523</v>
      </c>
      <c r="R530" s="19"/>
      <c r="S530" s="23"/>
      <c r="U530" s="23"/>
      <c r="AA530" s="18"/>
      <c r="AF530" s="23"/>
      <c r="AL530" s="18"/>
    </row>
    <row r="531" spans="9:38" x14ac:dyDescent="0.2">
      <c r="I531" s="4">
        <v>524</v>
      </c>
      <c r="R531" s="19"/>
      <c r="S531" s="23"/>
      <c r="U531" s="23"/>
      <c r="AA531" s="18"/>
      <c r="AF531" s="23"/>
      <c r="AL531" s="18"/>
    </row>
    <row r="532" spans="9:38" x14ac:dyDescent="0.2">
      <c r="I532" s="4">
        <v>525</v>
      </c>
      <c r="R532" s="19"/>
      <c r="S532" s="23"/>
      <c r="U532" s="23"/>
      <c r="AA532" s="18"/>
      <c r="AF532" s="23"/>
      <c r="AL532" s="18"/>
    </row>
    <row r="533" spans="9:38" x14ac:dyDescent="0.2">
      <c r="I533" s="4">
        <v>526</v>
      </c>
      <c r="R533" s="19"/>
      <c r="S533" s="23"/>
      <c r="U533" s="23"/>
      <c r="AA533" s="18"/>
      <c r="AF533" s="23"/>
      <c r="AL533" s="18"/>
    </row>
    <row r="534" spans="9:38" x14ac:dyDescent="0.2">
      <c r="I534" s="4">
        <v>527</v>
      </c>
      <c r="R534" s="19"/>
      <c r="S534" s="23"/>
      <c r="U534" s="23"/>
      <c r="AA534" s="18"/>
      <c r="AF534" s="23"/>
      <c r="AL534" s="18"/>
    </row>
    <row r="535" spans="9:38" x14ac:dyDescent="0.2">
      <c r="I535" s="4">
        <v>528</v>
      </c>
      <c r="R535" s="19"/>
      <c r="S535" s="23"/>
      <c r="U535" s="23"/>
      <c r="AA535" s="18"/>
      <c r="AF535" s="23"/>
      <c r="AL535" s="18"/>
    </row>
    <row r="536" spans="9:38" x14ac:dyDescent="0.2">
      <c r="I536" s="4">
        <v>529</v>
      </c>
      <c r="R536" s="19"/>
      <c r="S536" s="23"/>
      <c r="U536" s="23"/>
      <c r="AA536" s="18"/>
      <c r="AF536" s="23"/>
      <c r="AL536" s="18"/>
    </row>
    <row r="537" spans="9:38" x14ac:dyDescent="0.2">
      <c r="I537" s="4">
        <v>530</v>
      </c>
      <c r="R537" s="19"/>
      <c r="S537" s="23"/>
      <c r="U537" s="23"/>
      <c r="AA537" s="18"/>
      <c r="AF537" s="23"/>
      <c r="AL537" s="18"/>
    </row>
    <row r="538" spans="9:38" x14ac:dyDescent="0.2">
      <c r="I538" s="4">
        <v>531</v>
      </c>
      <c r="R538" s="19"/>
      <c r="S538" s="23"/>
      <c r="U538" s="23"/>
      <c r="AA538" s="18"/>
      <c r="AF538" s="23"/>
      <c r="AL538" s="18"/>
    </row>
    <row r="539" spans="9:38" x14ac:dyDescent="0.2">
      <c r="I539" s="4">
        <v>532</v>
      </c>
      <c r="R539" s="19"/>
      <c r="S539" s="23"/>
      <c r="U539" s="23"/>
      <c r="AA539" s="18"/>
      <c r="AF539" s="23"/>
      <c r="AL539" s="18"/>
    </row>
    <row r="540" spans="9:38" x14ac:dyDescent="0.2">
      <c r="I540" s="4">
        <v>533</v>
      </c>
      <c r="R540" s="19"/>
      <c r="S540" s="23"/>
      <c r="U540" s="23"/>
      <c r="AA540" s="18"/>
      <c r="AF540" s="23"/>
      <c r="AL540" s="18"/>
    </row>
    <row r="541" spans="9:38" x14ac:dyDescent="0.2">
      <c r="I541" s="4">
        <v>534</v>
      </c>
      <c r="R541" s="19"/>
      <c r="S541" s="23"/>
      <c r="U541" s="23"/>
      <c r="AA541" s="18"/>
      <c r="AF541" s="23"/>
      <c r="AL541" s="18"/>
    </row>
    <row r="542" spans="9:38" x14ac:dyDescent="0.2">
      <c r="I542" s="4">
        <v>535</v>
      </c>
      <c r="R542" s="19"/>
      <c r="S542" s="23"/>
      <c r="U542" s="23"/>
      <c r="AA542" s="18"/>
      <c r="AF542" s="23"/>
      <c r="AL542" s="18"/>
    </row>
    <row r="543" spans="9:38" x14ac:dyDescent="0.2">
      <c r="I543" s="4">
        <v>536</v>
      </c>
      <c r="R543" s="19"/>
      <c r="S543" s="23"/>
      <c r="U543" s="23"/>
      <c r="AA543" s="18"/>
      <c r="AF543" s="23"/>
      <c r="AL543" s="18"/>
    </row>
    <row r="544" spans="9:38" x14ac:dyDescent="0.2">
      <c r="I544" s="4">
        <v>537</v>
      </c>
      <c r="R544" s="19"/>
      <c r="S544" s="23"/>
      <c r="U544" s="23"/>
      <c r="AA544" s="18"/>
      <c r="AF544" s="23"/>
      <c r="AL544" s="18"/>
    </row>
    <row r="545" spans="9:38" x14ac:dyDescent="0.2">
      <c r="I545" s="4">
        <v>538</v>
      </c>
      <c r="R545" s="19"/>
      <c r="S545" s="23"/>
      <c r="U545" s="23"/>
      <c r="AA545" s="18"/>
      <c r="AF545" s="23"/>
      <c r="AL545" s="18"/>
    </row>
    <row r="546" spans="9:38" x14ac:dyDescent="0.2">
      <c r="I546" s="4">
        <v>539</v>
      </c>
      <c r="R546" s="19"/>
      <c r="S546" s="23"/>
      <c r="U546" s="23"/>
      <c r="AA546" s="18"/>
      <c r="AF546" s="23"/>
      <c r="AL546" s="18"/>
    </row>
    <row r="547" spans="9:38" x14ac:dyDescent="0.2">
      <c r="I547" s="4">
        <v>540</v>
      </c>
      <c r="R547" s="19"/>
      <c r="S547" s="23"/>
      <c r="U547" s="23"/>
      <c r="AA547" s="18"/>
      <c r="AF547" s="23"/>
      <c r="AL547" s="18"/>
    </row>
    <row r="548" spans="9:38" x14ac:dyDescent="0.2">
      <c r="I548" s="4">
        <v>541</v>
      </c>
      <c r="R548" s="19"/>
      <c r="S548" s="23"/>
      <c r="U548" s="23"/>
      <c r="AA548" s="18"/>
      <c r="AF548" s="23"/>
      <c r="AL548" s="18"/>
    </row>
    <row r="549" spans="9:38" x14ac:dyDescent="0.2">
      <c r="I549" s="4">
        <v>542</v>
      </c>
      <c r="R549" s="19"/>
      <c r="S549" s="23"/>
      <c r="U549" s="23"/>
      <c r="AA549" s="18"/>
      <c r="AF549" s="23"/>
      <c r="AL549" s="18"/>
    </row>
    <row r="550" spans="9:38" x14ac:dyDescent="0.2">
      <c r="I550" s="4">
        <v>543</v>
      </c>
      <c r="R550" s="19"/>
      <c r="S550" s="23"/>
      <c r="U550" s="23"/>
      <c r="AA550" s="18"/>
      <c r="AF550" s="23"/>
      <c r="AL550" s="18"/>
    </row>
    <row r="551" spans="9:38" x14ac:dyDescent="0.2">
      <c r="I551" s="4">
        <v>544</v>
      </c>
      <c r="R551" s="19"/>
      <c r="S551" s="23"/>
      <c r="U551" s="23"/>
      <c r="AA551" s="18"/>
      <c r="AF551" s="23"/>
      <c r="AL551" s="18"/>
    </row>
    <row r="552" spans="9:38" x14ac:dyDescent="0.2">
      <c r="I552" s="4">
        <v>545</v>
      </c>
      <c r="R552" s="19"/>
      <c r="S552" s="23"/>
      <c r="U552" s="23"/>
      <c r="AA552" s="18"/>
      <c r="AF552" s="23"/>
      <c r="AL552" s="18"/>
    </row>
    <row r="553" spans="9:38" x14ac:dyDescent="0.2">
      <c r="I553" s="4">
        <v>546</v>
      </c>
      <c r="R553" s="19"/>
      <c r="S553" s="23"/>
      <c r="U553" s="23"/>
      <c r="AA553" s="18"/>
      <c r="AF553" s="23"/>
      <c r="AL553" s="18"/>
    </row>
    <row r="554" spans="9:38" x14ac:dyDescent="0.2">
      <c r="I554" s="4">
        <v>547</v>
      </c>
      <c r="R554" s="19"/>
      <c r="S554" s="23"/>
      <c r="U554" s="23"/>
      <c r="AA554" s="18"/>
      <c r="AF554" s="23"/>
      <c r="AL554" s="18"/>
    </row>
    <row r="555" spans="9:38" x14ac:dyDescent="0.2">
      <c r="I555" s="4">
        <v>548</v>
      </c>
      <c r="R555" s="19"/>
      <c r="S555" s="23"/>
      <c r="U555" s="23"/>
      <c r="AA555" s="18"/>
      <c r="AF555" s="23"/>
      <c r="AL555" s="18"/>
    </row>
    <row r="556" spans="9:38" x14ac:dyDescent="0.2">
      <c r="I556" s="4">
        <v>549</v>
      </c>
      <c r="R556" s="19"/>
      <c r="S556" s="23"/>
      <c r="U556" s="23"/>
      <c r="AA556" s="18"/>
      <c r="AF556" s="23"/>
      <c r="AL556" s="18"/>
    </row>
    <row r="557" spans="9:38" x14ac:dyDescent="0.2">
      <c r="I557" s="4">
        <v>550</v>
      </c>
      <c r="R557" s="19"/>
      <c r="S557" s="23"/>
      <c r="U557" s="23"/>
      <c r="AA557" s="18"/>
      <c r="AF557" s="23"/>
      <c r="AL557" s="18"/>
    </row>
    <row r="558" spans="9:38" x14ac:dyDescent="0.2">
      <c r="I558" s="4">
        <v>551</v>
      </c>
      <c r="R558" s="19"/>
      <c r="S558" s="23"/>
      <c r="U558" s="23"/>
      <c r="AA558" s="18"/>
      <c r="AF558" s="23"/>
      <c r="AL558" s="18"/>
    </row>
    <row r="559" spans="9:38" x14ac:dyDescent="0.2">
      <c r="I559" s="4">
        <v>552</v>
      </c>
      <c r="R559" s="19"/>
      <c r="S559" s="23"/>
      <c r="U559" s="23"/>
      <c r="AA559" s="18"/>
      <c r="AF559" s="23"/>
      <c r="AL559" s="18"/>
    </row>
    <row r="560" spans="9:38" x14ac:dyDescent="0.2">
      <c r="I560" s="4">
        <v>553</v>
      </c>
      <c r="R560" s="19"/>
      <c r="S560" s="23"/>
      <c r="U560" s="23"/>
      <c r="AA560" s="18"/>
      <c r="AF560" s="23"/>
      <c r="AL560" s="18"/>
    </row>
    <row r="561" spans="9:38" x14ac:dyDescent="0.2">
      <c r="I561" s="4">
        <v>554</v>
      </c>
      <c r="R561" s="19"/>
      <c r="S561" s="23"/>
      <c r="U561" s="23"/>
      <c r="AA561" s="18"/>
      <c r="AF561" s="23"/>
      <c r="AL561" s="18"/>
    </row>
    <row r="562" spans="9:38" x14ac:dyDescent="0.2">
      <c r="I562" s="4">
        <v>555</v>
      </c>
      <c r="R562" s="19"/>
      <c r="S562" s="23"/>
      <c r="U562" s="23"/>
      <c r="AA562" s="18"/>
      <c r="AF562" s="23"/>
      <c r="AL562" s="18"/>
    </row>
    <row r="563" spans="9:38" x14ac:dyDescent="0.2">
      <c r="I563" s="4">
        <v>556</v>
      </c>
      <c r="R563" s="19"/>
      <c r="S563" s="23"/>
      <c r="U563" s="23"/>
      <c r="AA563" s="18"/>
      <c r="AF563" s="23"/>
      <c r="AL563" s="18"/>
    </row>
    <row r="564" spans="9:38" x14ac:dyDescent="0.2">
      <c r="I564" s="4">
        <v>557</v>
      </c>
      <c r="R564" s="19"/>
      <c r="S564" s="23"/>
      <c r="U564" s="23"/>
      <c r="AA564" s="18"/>
      <c r="AF564" s="23"/>
      <c r="AL564" s="18"/>
    </row>
    <row r="565" spans="9:38" x14ac:dyDescent="0.2">
      <c r="I565" s="4">
        <v>558</v>
      </c>
      <c r="R565" s="19"/>
      <c r="S565" s="23"/>
      <c r="U565" s="23"/>
      <c r="AA565" s="18"/>
      <c r="AF565" s="23"/>
      <c r="AL565" s="18"/>
    </row>
    <row r="566" spans="9:38" x14ac:dyDescent="0.2">
      <c r="I566" s="4">
        <v>559</v>
      </c>
      <c r="R566" s="19"/>
      <c r="S566" s="23"/>
      <c r="U566" s="23"/>
      <c r="AA566" s="18"/>
      <c r="AF566" s="23"/>
      <c r="AL566" s="18"/>
    </row>
    <row r="567" spans="9:38" x14ac:dyDescent="0.2">
      <c r="I567" s="4">
        <v>560</v>
      </c>
      <c r="R567" s="19"/>
      <c r="S567" s="23"/>
      <c r="U567" s="23"/>
      <c r="AA567" s="18"/>
      <c r="AF567" s="23"/>
      <c r="AL567" s="18"/>
    </row>
    <row r="568" spans="9:38" x14ac:dyDescent="0.2">
      <c r="I568" s="4">
        <v>561</v>
      </c>
      <c r="R568" s="19"/>
      <c r="S568" s="23"/>
      <c r="U568" s="23"/>
      <c r="AA568" s="18"/>
      <c r="AF568" s="23"/>
      <c r="AL568" s="18"/>
    </row>
    <row r="569" spans="9:38" x14ac:dyDescent="0.2">
      <c r="I569" s="4">
        <v>562</v>
      </c>
      <c r="R569" s="19"/>
      <c r="S569" s="23"/>
      <c r="U569" s="23"/>
      <c r="AA569" s="18"/>
      <c r="AF569" s="23"/>
      <c r="AL569" s="18"/>
    </row>
    <row r="570" spans="9:38" x14ac:dyDescent="0.2">
      <c r="I570" s="4">
        <v>563</v>
      </c>
      <c r="R570" s="19"/>
      <c r="S570" s="23"/>
      <c r="U570" s="23"/>
      <c r="AA570" s="18"/>
      <c r="AF570" s="23"/>
      <c r="AL570" s="18"/>
    </row>
    <row r="571" spans="9:38" x14ac:dyDescent="0.2">
      <c r="I571" s="4">
        <v>564</v>
      </c>
      <c r="R571" s="19"/>
      <c r="S571" s="23"/>
      <c r="U571" s="23"/>
      <c r="AA571" s="18"/>
      <c r="AF571" s="23"/>
      <c r="AL571" s="18"/>
    </row>
    <row r="572" spans="9:38" x14ac:dyDescent="0.2">
      <c r="I572" s="4">
        <v>565</v>
      </c>
      <c r="R572" s="19"/>
      <c r="S572" s="23"/>
      <c r="U572" s="23"/>
      <c r="AA572" s="18"/>
      <c r="AF572" s="23"/>
      <c r="AL572" s="18"/>
    </row>
    <row r="573" spans="9:38" x14ac:dyDescent="0.2">
      <c r="I573" s="4">
        <v>566</v>
      </c>
      <c r="R573" s="19"/>
      <c r="S573" s="23"/>
      <c r="U573" s="23"/>
      <c r="AA573" s="18"/>
      <c r="AF573" s="23"/>
      <c r="AL573" s="18"/>
    </row>
    <row r="574" spans="9:38" x14ac:dyDescent="0.2">
      <c r="I574" s="4">
        <v>567</v>
      </c>
      <c r="R574" s="19"/>
      <c r="S574" s="23"/>
      <c r="U574" s="23"/>
      <c r="AA574" s="18"/>
      <c r="AF574" s="23"/>
      <c r="AL574" s="18"/>
    </row>
    <row r="575" spans="9:38" x14ac:dyDescent="0.2">
      <c r="I575" s="4">
        <v>568</v>
      </c>
      <c r="R575" s="19"/>
      <c r="S575" s="23"/>
      <c r="U575" s="23"/>
      <c r="AA575" s="18"/>
      <c r="AF575" s="23"/>
      <c r="AL575" s="18"/>
    </row>
    <row r="576" spans="9:38" x14ac:dyDescent="0.2">
      <c r="I576" s="4">
        <v>569</v>
      </c>
      <c r="R576" s="19"/>
      <c r="S576" s="23"/>
      <c r="U576" s="23"/>
      <c r="AA576" s="18"/>
      <c r="AF576" s="23"/>
      <c r="AL576" s="18"/>
    </row>
    <row r="577" spans="9:38" x14ac:dyDescent="0.2">
      <c r="I577" s="4">
        <v>570</v>
      </c>
      <c r="R577" s="19"/>
      <c r="S577" s="23"/>
      <c r="U577" s="23"/>
      <c r="AA577" s="18"/>
      <c r="AF577" s="23"/>
      <c r="AL577" s="18"/>
    </row>
    <row r="578" spans="9:38" x14ac:dyDescent="0.2">
      <c r="I578" s="4">
        <v>571</v>
      </c>
      <c r="R578" s="19"/>
      <c r="S578" s="23"/>
      <c r="U578" s="23"/>
      <c r="AA578" s="18"/>
      <c r="AF578" s="23"/>
      <c r="AL578" s="18"/>
    </row>
    <row r="579" spans="9:38" x14ac:dyDescent="0.2">
      <c r="I579" s="4">
        <v>572</v>
      </c>
      <c r="R579" s="19"/>
      <c r="S579" s="23"/>
      <c r="U579" s="23"/>
      <c r="AA579" s="18"/>
      <c r="AF579" s="23"/>
      <c r="AL579" s="18"/>
    </row>
    <row r="580" spans="9:38" x14ac:dyDescent="0.2">
      <c r="I580" s="4">
        <v>573</v>
      </c>
      <c r="R580" s="19"/>
      <c r="S580" s="23"/>
      <c r="U580" s="23"/>
      <c r="AA580" s="18"/>
      <c r="AF580" s="23"/>
      <c r="AL580" s="18"/>
    </row>
    <row r="581" spans="9:38" x14ac:dyDescent="0.2">
      <c r="I581" s="4">
        <v>574</v>
      </c>
      <c r="R581" s="19"/>
      <c r="S581" s="23"/>
      <c r="U581" s="23"/>
      <c r="AA581" s="18"/>
      <c r="AF581" s="23"/>
      <c r="AL581" s="18"/>
    </row>
    <row r="582" spans="9:38" x14ac:dyDescent="0.2">
      <c r="I582" s="4">
        <v>575</v>
      </c>
      <c r="R582" s="19"/>
      <c r="S582" s="23"/>
      <c r="U582" s="23"/>
      <c r="AA582" s="18"/>
      <c r="AF582" s="23"/>
      <c r="AL582" s="18"/>
    </row>
    <row r="583" spans="9:38" x14ac:dyDescent="0.2">
      <c r="I583" s="4">
        <v>576</v>
      </c>
      <c r="R583" s="19"/>
      <c r="S583" s="23"/>
      <c r="U583" s="23"/>
      <c r="AA583" s="18"/>
      <c r="AF583" s="23"/>
      <c r="AL583" s="18"/>
    </row>
    <row r="584" spans="9:38" x14ac:dyDescent="0.2">
      <c r="I584" s="4">
        <v>577</v>
      </c>
      <c r="R584" s="19"/>
      <c r="S584" s="23"/>
      <c r="U584" s="23"/>
      <c r="AA584" s="18"/>
      <c r="AF584" s="23"/>
      <c r="AL584" s="18"/>
    </row>
    <row r="585" spans="9:38" x14ac:dyDescent="0.2">
      <c r="I585" s="4">
        <v>578</v>
      </c>
      <c r="R585" s="19"/>
      <c r="S585" s="23"/>
      <c r="U585" s="23"/>
      <c r="AA585" s="18"/>
      <c r="AF585" s="23"/>
      <c r="AL585" s="18"/>
    </row>
    <row r="586" spans="9:38" x14ac:dyDescent="0.2">
      <c r="I586" s="4">
        <v>579</v>
      </c>
      <c r="R586" s="19"/>
      <c r="S586" s="23"/>
      <c r="U586" s="23"/>
      <c r="AA586" s="18"/>
      <c r="AF586" s="23"/>
      <c r="AL586" s="18"/>
    </row>
    <row r="587" spans="9:38" x14ac:dyDescent="0.2">
      <c r="I587" s="4">
        <v>580</v>
      </c>
      <c r="R587" s="19"/>
      <c r="S587" s="23"/>
      <c r="U587" s="23"/>
      <c r="AA587" s="18"/>
      <c r="AF587" s="23"/>
      <c r="AL587" s="18"/>
    </row>
    <row r="588" spans="9:38" x14ac:dyDescent="0.2">
      <c r="I588" s="4">
        <v>581</v>
      </c>
      <c r="R588" s="19"/>
      <c r="S588" s="23"/>
      <c r="U588" s="23"/>
      <c r="AA588" s="18"/>
      <c r="AF588" s="23"/>
      <c r="AL588" s="18"/>
    </row>
    <row r="589" spans="9:38" x14ac:dyDescent="0.2">
      <c r="I589" s="4">
        <v>582</v>
      </c>
      <c r="R589" s="19"/>
      <c r="S589" s="23"/>
      <c r="U589" s="23"/>
      <c r="AA589" s="18"/>
      <c r="AF589" s="23"/>
      <c r="AL589" s="18"/>
    </row>
    <row r="590" spans="9:38" x14ac:dyDescent="0.2">
      <c r="I590" s="4">
        <v>583</v>
      </c>
      <c r="R590" s="19"/>
      <c r="S590" s="23"/>
      <c r="U590" s="23"/>
      <c r="AA590" s="18"/>
      <c r="AF590" s="23"/>
      <c r="AL590" s="18"/>
    </row>
    <row r="591" spans="9:38" x14ac:dyDescent="0.2">
      <c r="I591" s="4">
        <v>584</v>
      </c>
      <c r="R591" s="19"/>
      <c r="S591" s="23"/>
      <c r="U591" s="23"/>
      <c r="AA591" s="18"/>
      <c r="AF591" s="23"/>
      <c r="AL591" s="18"/>
    </row>
    <row r="592" spans="9:38" x14ac:dyDescent="0.2">
      <c r="I592" s="4">
        <v>585</v>
      </c>
      <c r="R592" s="19"/>
      <c r="S592" s="23"/>
      <c r="U592" s="23"/>
      <c r="AA592" s="18"/>
      <c r="AF592" s="23"/>
      <c r="AL592" s="18"/>
    </row>
    <row r="593" spans="9:38" x14ac:dyDescent="0.2">
      <c r="I593" s="4">
        <v>586</v>
      </c>
      <c r="R593" s="19"/>
      <c r="S593" s="23"/>
      <c r="U593" s="23"/>
      <c r="AA593" s="18"/>
      <c r="AF593" s="23"/>
      <c r="AL593" s="18"/>
    </row>
    <row r="594" spans="9:38" x14ac:dyDescent="0.2">
      <c r="I594" s="4">
        <v>587</v>
      </c>
      <c r="R594" s="19"/>
      <c r="S594" s="23"/>
      <c r="U594" s="23"/>
      <c r="AA594" s="18"/>
      <c r="AF594" s="23"/>
      <c r="AL594" s="18"/>
    </row>
    <row r="595" spans="9:38" x14ac:dyDescent="0.2">
      <c r="I595" s="4">
        <v>588</v>
      </c>
      <c r="R595" s="19"/>
      <c r="S595" s="23"/>
      <c r="U595" s="23"/>
      <c r="AA595" s="18"/>
      <c r="AF595" s="23"/>
      <c r="AL595" s="18"/>
    </row>
    <row r="596" spans="9:38" x14ac:dyDescent="0.2">
      <c r="I596" s="4">
        <v>589</v>
      </c>
      <c r="R596" s="19"/>
      <c r="S596" s="23"/>
      <c r="U596" s="23"/>
      <c r="AA596" s="18"/>
      <c r="AF596" s="23"/>
      <c r="AL596" s="18"/>
    </row>
    <row r="597" spans="9:38" x14ac:dyDescent="0.2">
      <c r="I597" s="4">
        <v>590</v>
      </c>
      <c r="R597" s="19"/>
      <c r="S597" s="23"/>
      <c r="U597" s="23"/>
      <c r="AA597" s="18"/>
      <c r="AF597" s="23"/>
      <c r="AL597" s="18"/>
    </row>
    <row r="598" spans="9:38" x14ac:dyDescent="0.2">
      <c r="I598" s="4">
        <v>591</v>
      </c>
      <c r="R598" s="19"/>
      <c r="S598" s="23"/>
      <c r="U598" s="23"/>
      <c r="AA598" s="18"/>
      <c r="AF598" s="23"/>
      <c r="AL598" s="18"/>
    </row>
    <row r="599" spans="9:38" x14ac:dyDescent="0.2">
      <c r="I599" s="4">
        <v>592</v>
      </c>
      <c r="R599" s="19"/>
      <c r="S599" s="23"/>
      <c r="U599" s="23"/>
      <c r="AA599" s="18"/>
      <c r="AF599" s="23"/>
      <c r="AL599" s="18"/>
    </row>
    <row r="600" spans="9:38" x14ac:dyDescent="0.2">
      <c r="I600" s="4">
        <v>593</v>
      </c>
      <c r="R600" s="19"/>
      <c r="S600" s="23"/>
      <c r="U600" s="23"/>
      <c r="AA600" s="18"/>
      <c r="AF600" s="23"/>
      <c r="AL600" s="18"/>
    </row>
    <row r="601" spans="9:38" x14ac:dyDescent="0.2">
      <c r="I601" s="4">
        <v>594</v>
      </c>
      <c r="R601" s="19"/>
      <c r="S601" s="23"/>
      <c r="U601" s="23"/>
      <c r="AA601" s="18"/>
      <c r="AF601" s="23"/>
      <c r="AL601" s="18"/>
    </row>
    <row r="602" spans="9:38" x14ac:dyDescent="0.2">
      <c r="I602" s="4">
        <v>595</v>
      </c>
      <c r="R602" s="19"/>
      <c r="S602" s="23"/>
      <c r="U602" s="23"/>
      <c r="AA602" s="18"/>
      <c r="AF602" s="23"/>
      <c r="AL602" s="18"/>
    </row>
    <row r="603" spans="9:38" x14ac:dyDescent="0.2">
      <c r="I603" s="4">
        <v>596</v>
      </c>
      <c r="R603" s="19"/>
      <c r="S603" s="23"/>
      <c r="U603" s="23"/>
      <c r="AA603" s="18"/>
      <c r="AF603" s="23"/>
      <c r="AL603" s="18"/>
    </row>
    <row r="604" spans="9:38" x14ac:dyDescent="0.2">
      <c r="I604" s="4">
        <v>597</v>
      </c>
      <c r="R604" s="19"/>
      <c r="S604" s="23"/>
      <c r="U604" s="23"/>
      <c r="AA604" s="18"/>
      <c r="AF604" s="23"/>
      <c r="AL604" s="18"/>
    </row>
    <row r="605" spans="9:38" x14ac:dyDescent="0.2">
      <c r="I605" s="4">
        <v>598</v>
      </c>
      <c r="R605" s="19"/>
      <c r="S605" s="23"/>
      <c r="U605" s="23"/>
      <c r="AA605" s="18"/>
      <c r="AF605" s="23"/>
      <c r="AL605" s="18"/>
    </row>
    <row r="606" spans="9:38" x14ac:dyDescent="0.2">
      <c r="I606" s="4">
        <v>599</v>
      </c>
      <c r="R606" s="19"/>
      <c r="S606" s="23"/>
      <c r="U606" s="23"/>
      <c r="AA606" s="18"/>
      <c r="AF606" s="23"/>
      <c r="AL606" s="18"/>
    </row>
    <row r="607" spans="9:38" x14ac:dyDescent="0.2">
      <c r="I607" s="4">
        <v>600</v>
      </c>
      <c r="R607" s="19"/>
      <c r="S607" s="23"/>
      <c r="U607" s="23"/>
      <c r="AA607" s="18"/>
      <c r="AF607" s="23"/>
      <c r="AL607" s="18"/>
    </row>
    <row r="608" spans="9:38" x14ac:dyDescent="0.2">
      <c r="I608" s="4">
        <v>601</v>
      </c>
      <c r="R608" s="19"/>
      <c r="S608" s="23"/>
      <c r="U608" s="23"/>
      <c r="AA608" s="18"/>
      <c r="AF608" s="23"/>
      <c r="AL608" s="18"/>
    </row>
    <row r="609" spans="9:38" x14ac:dyDescent="0.2">
      <c r="I609" s="4">
        <v>602</v>
      </c>
      <c r="R609" s="19"/>
      <c r="S609" s="23"/>
      <c r="U609" s="23"/>
      <c r="AA609" s="18"/>
      <c r="AF609" s="23"/>
      <c r="AL609" s="18"/>
    </row>
    <row r="610" spans="9:38" x14ac:dyDescent="0.2">
      <c r="I610" s="4">
        <v>603</v>
      </c>
      <c r="R610" s="19"/>
      <c r="S610" s="23"/>
      <c r="U610" s="23"/>
      <c r="AA610" s="18"/>
      <c r="AF610" s="23"/>
      <c r="AL610" s="18"/>
    </row>
    <row r="611" spans="9:38" x14ac:dyDescent="0.2">
      <c r="I611" s="4">
        <v>604</v>
      </c>
      <c r="R611" s="19"/>
      <c r="S611" s="23"/>
      <c r="U611" s="23"/>
      <c r="AA611" s="18"/>
      <c r="AF611" s="23"/>
      <c r="AL611" s="18"/>
    </row>
    <row r="612" spans="9:38" x14ac:dyDescent="0.2">
      <c r="I612" s="4">
        <v>605</v>
      </c>
      <c r="R612" s="19"/>
      <c r="S612" s="23"/>
      <c r="U612" s="23"/>
      <c r="AA612" s="18"/>
      <c r="AF612" s="23"/>
      <c r="AL612" s="18"/>
    </row>
    <row r="613" spans="9:38" x14ac:dyDescent="0.2">
      <c r="I613" s="4">
        <v>606</v>
      </c>
      <c r="R613" s="19"/>
      <c r="S613" s="23"/>
      <c r="U613" s="23"/>
      <c r="AA613" s="18"/>
      <c r="AF613" s="23"/>
      <c r="AL613" s="18"/>
    </row>
    <row r="614" spans="9:38" x14ac:dyDescent="0.2">
      <c r="I614" s="4">
        <v>607</v>
      </c>
      <c r="R614" s="19"/>
      <c r="S614" s="23"/>
      <c r="U614" s="23"/>
      <c r="AA614" s="18"/>
      <c r="AF614" s="23"/>
      <c r="AL614" s="18"/>
    </row>
    <row r="615" spans="9:38" x14ac:dyDescent="0.2">
      <c r="I615" s="4">
        <v>608</v>
      </c>
      <c r="R615" s="19"/>
      <c r="S615" s="23"/>
      <c r="U615" s="23"/>
      <c r="AA615" s="18"/>
      <c r="AF615" s="23"/>
      <c r="AL615" s="18"/>
    </row>
    <row r="616" spans="9:38" x14ac:dyDescent="0.2">
      <c r="I616" s="4">
        <v>609</v>
      </c>
      <c r="R616" s="19"/>
      <c r="S616" s="23"/>
      <c r="U616" s="23"/>
      <c r="AA616" s="18"/>
      <c r="AF616" s="23"/>
      <c r="AL616" s="18"/>
    </row>
    <row r="617" spans="9:38" x14ac:dyDescent="0.2">
      <c r="I617" s="4">
        <v>610</v>
      </c>
      <c r="R617" s="19"/>
      <c r="S617" s="23"/>
      <c r="U617" s="23"/>
      <c r="AA617" s="18"/>
      <c r="AF617" s="23"/>
      <c r="AL617" s="18"/>
    </row>
    <row r="618" spans="9:38" x14ac:dyDescent="0.2">
      <c r="I618" s="4">
        <v>611</v>
      </c>
      <c r="R618" s="19"/>
      <c r="S618" s="23"/>
      <c r="U618" s="23"/>
      <c r="AA618" s="18"/>
      <c r="AF618" s="23"/>
      <c r="AL618" s="18"/>
    </row>
    <row r="619" spans="9:38" x14ac:dyDescent="0.2">
      <c r="I619" s="4">
        <v>612</v>
      </c>
      <c r="R619" s="19"/>
      <c r="S619" s="23"/>
      <c r="U619" s="23"/>
      <c r="AA619" s="18"/>
      <c r="AF619" s="23"/>
      <c r="AL619" s="18"/>
    </row>
    <row r="620" spans="9:38" x14ac:dyDescent="0.2">
      <c r="I620" s="4">
        <v>613</v>
      </c>
      <c r="R620" s="19"/>
      <c r="S620" s="23"/>
      <c r="U620" s="23"/>
      <c r="AA620" s="18"/>
      <c r="AF620" s="23"/>
      <c r="AL620" s="18"/>
    </row>
    <row r="621" spans="9:38" x14ac:dyDescent="0.2">
      <c r="I621" s="4">
        <v>614</v>
      </c>
      <c r="R621" s="19"/>
      <c r="S621" s="23"/>
      <c r="U621" s="23"/>
      <c r="AA621" s="18"/>
      <c r="AF621" s="23"/>
      <c r="AL621" s="18"/>
    </row>
    <row r="622" spans="9:38" x14ac:dyDescent="0.2">
      <c r="I622" s="4">
        <v>615</v>
      </c>
      <c r="R622" s="19"/>
      <c r="S622" s="23"/>
      <c r="U622" s="23"/>
      <c r="AA622" s="18"/>
      <c r="AF622" s="23"/>
      <c r="AL622" s="18"/>
    </row>
    <row r="623" spans="9:38" x14ac:dyDescent="0.2">
      <c r="I623" s="4">
        <v>616</v>
      </c>
      <c r="R623" s="19"/>
      <c r="S623" s="23"/>
      <c r="U623" s="23"/>
      <c r="AA623" s="18"/>
      <c r="AF623" s="23"/>
      <c r="AL623" s="18"/>
    </row>
    <row r="624" spans="9:38" x14ac:dyDescent="0.2">
      <c r="I624" s="4">
        <v>617</v>
      </c>
      <c r="R624" s="19"/>
      <c r="S624" s="23"/>
      <c r="U624" s="23"/>
      <c r="AA624" s="18"/>
      <c r="AF624" s="23"/>
      <c r="AL624" s="18"/>
    </row>
    <row r="625" spans="9:38" x14ac:dyDescent="0.2">
      <c r="I625" s="4">
        <v>618</v>
      </c>
      <c r="R625" s="19"/>
      <c r="S625" s="23"/>
      <c r="U625" s="23"/>
      <c r="AA625" s="18"/>
      <c r="AF625" s="23"/>
      <c r="AL625" s="18"/>
    </row>
    <row r="626" spans="9:38" x14ac:dyDescent="0.2">
      <c r="I626" s="4">
        <v>619</v>
      </c>
      <c r="R626" s="19"/>
      <c r="S626" s="23"/>
      <c r="U626" s="23"/>
      <c r="AA626" s="18"/>
      <c r="AF626" s="23"/>
      <c r="AL626" s="18"/>
    </row>
    <row r="627" spans="9:38" x14ac:dyDescent="0.2">
      <c r="I627" s="4">
        <v>620</v>
      </c>
      <c r="R627" s="19"/>
      <c r="S627" s="23"/>
      <c r="U627" s="23"/>
      <c r="AA627" s="18"/>
      <c r="AF627" s="23"/>
      <c r="AL627" s="18"/>
    </row>
    <row r="628" spans="9:38" x14ac:dyDescent="0.2">
      <c r="I628" s="4">
        <v>621</v>
      </c>
      <c r="R628" s="19"/>
      <c r="S628" s="23"/>
      <c r="U628" s="23"/>
      <c r="AA628" s="18"/>
      <c r="AF628" s="23"/>
      <c r="AL628" s="18"/>
    </row>
    <row r="629" spans="9:38" x14ac:dyDescent="0.2">
      <c r="I629" s="4">
        <v>622</v>
      </c>
      <c r="R629" s="19"/>
      <c r="S629" s="23"/>
      <c r="U629" s="23"/>
      <c r="AA629" s="18"/>
      <c r="AF629" s="23"/>
      <c r="AL629" s="18"/>
    </row>
    <row r="630" spans="9:38" x14ac:dyDescent="0.2">
      <c r="I630" s="4">
        <v>623</v>
      </c>
      <c r="R630" s="19"/>
      <c r="S630" s="23"/>
      <c r="U630" s="23"/>
      <c r="AA630" s="18"/>
      <c r="AF630" s="23"/>
      <c r="AL630" s="18"/>
    </row>
    <row r="631" spans="9:38" x14ac:dyDescent="0.2">
      <c r="I631" s="4">
        <v>624</v>
      </c>
      <c r="R631" s="19"/>
      <c r="S631" s="23"/>
      <c r="U631" s="23"/>
      <c r="AA631" s="18"/>
      <c r="AF631" s="23"/>
      <c r="AL631" s="18"/>
    </row>
    <row r="632" spans="9:38" x14ac:dyDescent="0.2">
      <c r="I632" s="4">
        <v>625</v>
      </c>
      <c r="R632" s="19"/>
      <c r="S632" s="23"/>
      <c r="U632" s="23"/>
      <c r="AA632" s="18"/>
      <c r="AF632" s="23"/>
      <c r="AL632" s="18"/>
    </row>
    <row r="633" spans="9:38" x14ac:dyDescent="0.2">
      <c r="I633" s="4">
        <v>626</v>
      </c>
      <c r="R633" s="19"/>
      <c r="S633" s="23"/>
      <c r="U633" s="23"/>
      <c r="AA633" s="18"/>
      <c r="AF633" s="23"/>
      <c r="AL633" s="18"/>
    </row>
    <row r="634" spans="9:38" x14ac:dyDescent="0.2">
      <c r="I634" s="4">
        <v>627</v>
      </c>
      <c r="R634" s="19"/>
      <c r="S634" s="23"/>
      <c r="U634" s="23"/>
      <c r="AA634" s="18"/>
      <c r="AF634" s="23"/>
      <c r="AL634" s="18"/>
    </row>
    <row r="635" spans="9:38" x14ac:dyDescent="0.2">
      <c r="I635" s="4">
        <v>628</v>
      </c>
      <c r="R635" s="19"/>
      <c r="S635" s="23"/>
      <c r="U635" s="23"/>
      <c r="AA635" s="18"/>
      <c r="AF635" s="23"/>
      <c r="AL635" s="18"/>
    </row>
    <row r="636" spans="9:38" x14ac:dyDescent="0.2">
      <c r="I636" s="4">
        <v>629</v>
      </c>
      <c r="R636" s="19"/>
      <c r="S636" s="23"/>
      <c r="U636" s="23"/>
      <c r="AA636" s="18"/>
      <c r="AF636" s="23"/>
      <c r="AL636" s="18"/>
    </row>
    <row r="637" spans="9:38" x14ac:dyDescent="0.2">
      <c r="I637" s="4">
        <v>630</v>
      </c>
      <c r="R637" s="19"/>
      <c r="S637" s="23"/>
      <c r="U637" s="23"/>
      <c r="AA637" s="18"/>
      <c r="AF637" s="23"/>
      <c r="AL637" s="18"/>
    </row>
    <row r="638" spans="9:38" x14ac:dyDescent="0.2">
      <c r="I638" s="4">
        <v>631</v>
      </c>
      <c r="R638" s="19"/>
      <c r="S638" s="23"/>
      <c r="U638" s="23"/>
      <c r="AA638" s="18"/>
      <c r="AF638" s="23"/>
      <c r="AL638" s="18"/>
    </row>
    <row r="639" spans="9:38" x14ac:dyDescent="0.2">
      <c r="I639" s="4">
        <v>632</v>
      </c>
      <c r="R639" s="19"/>
      <c r="S639" s="23"/>
      <c r="U639" s="23"/>
      <c r="AA639" s="18"/>
      <c r="AF639" s="23"/>
      <c r="AL639" s="18"/>
    </row>
    <row r="640" spans="9:38" x14ac:dyDescent="0.2">
      <c r="I640" s="4">
        <v>633</v>
      </c>
      <c r="R640" s="19"/>
      <c r="S640" s="23"/>
      <c r="U640" s="23"/>
      <c r="AA640" s="18"/>
      <c r="AF640" s="23"/>
      <c r="AL640" s="18"/>
    </row>
    <row r="641" spans="9:38" x14ac:dyDescent="0.2">
      <c r="I641" s="4">
        <v>634</v>
      </c>
      <c r="R641" s="19"/>
      <c r="S641" s="23"/>
      <c r="U641" s="23"/>
      <c r="AA641" s="18"/>
      <c r="AF641" s="23"/>
      <c r="AL641" s="18"/>
    </row>
    <row r="642" spans="9:38" x14ac:dyDescent="0.2">
      <c r="I642" s="4">
        <v>635</v>
      </c>
      <c r="R642" s="19"/>
      <c r="S642" s="23"/>
      <c r="U642" s="23"/>
      <c r="AA642" s="18"/>
      <c r="AF642" s="23"/>
      <c r="AL642" s="18"/>
    </row>
    <row r="643" spans="9:38" x14ac:dyDescent="0.2">
      <c r="I643" s="4">
        <v>636</v>
      </c>
      <c r="R643" s="19"/>
      <c r="S643" s="23"/>
      <c r="U643" s="23"/>
      <c r="AA643" s="18"/>
      <c r="AF643" s="23"/>
      <c r="AL643" s="18"/>
    </row>
    <row r="644" spans="9:38" x14ac:dyDescent="0.2">
      <c r="I644" s="4">
        <v>637</v>
      </c>
      <c r="R644" s="19"/>
      <c r="S644" s="23"/>
      <c r="U644" s="23"/>
      <c r="AA644" s="18"/>
      <c r="AF644" s="23"/>
      <c r="AL644" s="18"/>
    </row>
    <row r="645" spans="9:38" x14ac:dyDescent="0.2">
      <c r="I645" s="4">
        <v>638</v>
      </c>
      <c r="R645" s="19"/>
      <c r="S645" s="23"/>
      <c r="U645" s="23"/>
      <c r="AA645" s="18"/>
      <c r="AF645" s="23"/>
      <c r="AL645" s="18"/>
    </row>
    <row r="646" spans="9:38" x14ac:dyDescent="0.2">
      <c r="I646" s="4">
        <v>639</v>
      </c>
      <c r="R646" s="19"/>
      <c r="S646" s="23"/>
      <c r="U646" s="23"/>
      <c r="AA646" s="18"/>
      <c r="AF646" s="23"/>
      <c r="AL646" s="18"/>
    </row>
    <row r="647" spans="9:38" x14ac:dyDescent="0.2">
      <c r="I647" s="4">
        <v>640</v>
      </c>
      <c r="R647" s="19"/>
      <c r="S647" s="23"/>
      <c r="U647" s="23"/>
      <c r="AA647" s="18"/>
      <c r="AF647" s="23"/>
      <c r="AL647" s="18"/>
    </row>
    <row r="648" spans="9:38" x14ac:dyDescent="0.2">
      <c r="I648" s="4">
        <v>641</v>
      </c>
      <c r="R648" s="19"/>
      <c r="S648" s="23"/>
      <c r="U648" s="23"/>
      <c r="AA648" s="18"/>
      <c r="AF648" s="23"/>
      <c r="AL648" s="18"/>
    </row>
    <row r="649" spans="9:38" x14ac:dyDescent="0.2">
      <c r="I649" s="4">
        <v>642</v>
      </c>
      <c r="R649" s="19"/>
      <c r="S649" s="23"/>
      <c r="U649" s="23"/>
      <c r="AA649" s="18"/>
      <c r="AF649" s="23"/>
      <c r="AL649" s="18"/>
    </row>
    <row r="650" spans="9:38" x14ac:dyDescent="0.2">
      <c r="I650" s="4">
        <v>643</v>
      </c>
      <c r="R650" s="19"/>
      <c r="S650" s="23"/>
      <c r="U650" s="23"/>
      <c r="AA650" s="18"/>
      <c r="AF650" s="23"/>
      <c r="AL650" s="18"/>
    </row>
    <row r="651" spans="9:38" x14ac:dyDescent="0.2">
      <c r="I651" s="4">
        <v>644</v>
      </c>
      <c r="R651" s="19"/>
      <c r="S651" s="23"/>
      <c r="U651" s="23"/>
      <c r="AA651" s="18"/>
      <c r="AF651" s="23"/>
      <c r="AL651" s="18"/>
    </row>
    <row r="652" spans="9:38" x14ac:dyDescent="0.2">
      <c r="I652" s="4">
        <v>645</v>
      </c>
      <c r="R652" s="19"/>
      <c r="S652" s="23"/>
      <c r="U652" s="23"/>
      <c r="AA652" s="18"/>
      <c r="AF652" s="23"/>
      <c r="AL652" s="18"/>
    </row>
    <row r="653" spans="9:38" x14ac:dyDescent="0.2">
      <c r="I653" s="4">
        <v>646</v>
      </c>
      <c r="R653" s="19"/>
      <c r="S653" s="23"/>
      <c r="U653" s="23"/>
      <c r="AA653" s="18"/>
      <c r="AF653" s="23"/>
      <c r="AL653" s="18"/>
    </row>
    <row r="654" spans="9:38" x14ac:dyDescent="0.2">
      <c r="I654" s="4">
        <v>647</v>
      </c>
      <c r="R654" s="19"/>
      <c r="S654" s="23"/>
      <c r="U654" s="23"/>
      <c r="AA654" s="18"/>
      <c r="AF654" s="23"/>
      <c r="AL654" s="18"/>
    </row>
    <row r="655" spans="9:38" x14ac:dyDescent="0.2">
      <c r="I655" s="4">
        <v>648</v>
      </c>
      <c r="R655" s="19"/>
      <c r="S655" s="23"/>
      <c r="U655" s="23"/>
      <c r="AA655" s="18"/>
      <c r="AF655" s="23"/>
      <c r="AL655" s="18"/>
    </row>
    <row r="656" spans="9:38" x14ac:dyDescent="0.2">
      <c r="I656" s="4">
        <v>649</v>
      </c>
      <c r="R656" s="19"/>
      <c r="S656" s="23"/>
      <c r="U656" s="23"/>
      <c r="AA656" s="18"/>
      <c r="AF656" s="23"/>
      <c r="AL656" s="18"/>
    </row>
    <row r="657" spans="9:38" x14ac:dyDescent="0.2">
      <c r="I657" s="4">
        <v>650</v>
      </c>
      <c r="R657" s="19"/>
      <c r="S657" s="23"/>
      <c r="U657" s="23"/>
      <c r="AA657" s="18"/>
      <c r="AF657" s="23"/>
      <c r="AL657" s="18"/>
    </row>
    <row r="658" spans="9:38" x14ac:dyDescent="0.2">
      <c r="I658" s="4">
        <v>651</v>
      </c>
      <c r="R658" s="19"/>
      <c r="S658" s="23"/>
      <c r="U658" s="23"/>
      <c r="AA658" s="18"/>
      <c r="AF658" s="23"/>
      <c r="AL658" s="18"/>
    </row>
    <row r="659" spans="9:38" x14ac:dyDescent="0.2">
      <c r="I659" s="4">
        <v>652</v>
      </c>
      <c r="R659" s="19"/>
      <c r="S659" s="23"/>
      <c r="U659" s="23"/>
      <c r="AA659" s="18"/>
      <c r="AF659" s="23"/>
      <c r="AL659" s="18"/>
    </row>
    <row r="660" spans="9:38" x14ac:dyDescent="0.2">
      <c r="I660" s="4">
        <v>653</v>
      </c>
      <c r="R660" s="19"/>
      <c r="S660" s="23"/>
      <c r="U660" s="23"/>
      <c r="AA660" s="18"/>
      <c r="AF660" s="23"/>
      <c r="AL660" s="18"/>
    </row>
    <row r="661" spans="9:38" x14ac:dyDescent="0.2">
      <c r="I661" s="4">
        <v>654</v>
      </c>
      <c r="R661" s="19"/>
      <c r="S661" s="23"/>
      <c r="U661" s="23"/>
      <c r="AA661" s="18"/>
      <c r="AF661" s="23"/>
      <c r="AL661" s="18"/>
    </row>
    <row r="662" spans="9:38" x14ac:dyDescent="0.2">
      <c r="I662" s="4">
        <v>655</v>
      </c>
      <c r="R662" s="19"/>
      <c r="S662" s="23"/>
      <c r="U662" s="23"/>
      <c r="AA662" s="18"/>
      <c r="AF662" s="23"/>
      <c r="AL662" s="18"/>
    </row>
    <row r="663" spans="9:38" x14ac:dyDescent="0.2">
      <c r="I663" s="4">
        <v>656</v>
      </c>
      <c r="R663" s="19"/>
      <c r="S663" s="23"/>
      <c r="U663" s="23"/>
      <c r="AA663" s="18"/>
      <c r="AF663" s="23"/>
      <c r="AL663" s="18"/>
    </row>
    <row r="664" spans="9:38" x14ac:dyDescent="0.2">
      <c r="I664" s="4">
        <v>657</v>
      </c>
      <c r="R664" s="19"/>
      <c r="S664" s="23"/>
      <c r="U664" s="23"/>
      <c r="AA664" s="18"/>
      <c r="AF664" s="23"/>
      <c r="AL664" s="18"/>
    </row>
    <row r="665" spans="9:38" x14ac:dyDescent="0.2">
      <c r="I665" s="4">
        <v>658</v>
      </c>
      <c r="R665" s="19"/>
      <c r="S665" s="23"/>
      <c r="U665" s="23"/>
      <c r="AA665" s="18"/>
      <c r="AF665" s="23"/>
      <c r="AL665" s="18"/>
    </row>
    <row r="666" spans="9:38" x14ac:dyDescent="0.2">
      <c r="I666" s="4">
        <v>659</v>
      </c>
      <c r="R666" s="19"/>
      <c r="S666" s="23"/>
      <c r="U666" s="23"/>
      <c r="AA666" s="18"/>
      <c r="AF666" s="23"/>
      <c r="AL666" s="18"/>
    </row>
    <row r="667" spans="9:38" x14ac:dyDescent="0.2">
      <c r="I667" s="4">
        <v>660</v>
      </c>
      <c r="R667" s="19"/>
      <c r="S667" s="23"/>
      <c r="U667" s="23"/>
      <c r="AA667" s="18"/>
      <c r="AF667" s="23"/>
      <c r="AL667" s="18"/>
    </row>
    <row r="668" spans="9:38" x14ac:dyDescent="0.2">
      <c r="I668" s="4">
        <v>661</v>
      </c>
      <c r="R668" s="19"/>
      <c r="S668" s="23"/>
      <c r="U668" s="23"/>
      <c r="AA668" s="18"/>
      <c r="AF668" s="23"/>
      <c r="AL668" s="18"/>
    </row>
    <row r="669" spans="9:38" x14ac:dyDescent="0.2">
      <c r="I669" s="4">
        <v>662</v>
      </c>
      <c r="R669" s="19"/>
      <c r="S669" s="23"/>
      <c r="U669" s="23"/>
      <c r="AA669" s="18"/>
      <c r="AF669" s="23"/>
      <c r="AL669" s="18"/>
    </row>
    <row r="670" spans="9:38" x14ac:dyDescent="0.2">
      <c r="I670" s="4">
        <v>663</v>
      </c>
      <c r="R670" s="19"/>
      <c r="S670" s="23"/>
      <c r="U670" s="23"/>
      <c r="AA670" s="18"/>
      <c r="AF670" s="23"/>
      <c r="AL670" s="18"/>
    </row>
    <row r="671" spans="9:38" x14ac:dyDescent="0.2">
      <c r="I671" s="4">
        <v>664</v>
      </c>
      <c r="R671" s="19"/>
      <c r="S671" s="23"/>
      <c r="U671" s="23"/>
      <c r="AA671" s="18"/>
      <c r="AF671" s="23"/>
      <c r="AL671" s="18"/>
    </row>
    <row r="672" spans="9:38" x14ac:dyDescent="0.2">
      <c r="I672" s="4">
        <v>665</v>
      </c>
      <c r="R672" s="19"/>
      <c r="S672" s="23"/>
      <c r="U672" s="23"/>
      <c r="AA672" s="18"/>
      <c r="AF672" s="23"/>
      <c r="AL672" s="18"/>
    </row>
    <row r="673" spans="9:38" x14ac:dyDescent="0.2">
      <c r="I673" s="4">
        <v>666</v>
      </c>
      <c r="R673" s="19"/>
      <c r="S673" s="23"/>
      <c r="U673" s="23"/>
      <c r="AA673" s="18"/>
      <c r="AF673" s="23"/>
      <c r="AL673" s="18"/>
    </row>
    <row r="674" spans="9:38" x14ac:dyDescent="0.2">
      <c r="I674" s="4">
        <v>667</v>
      </c>
      <c r="R674" s="19"/>
      <c r="S674" s="23"/>
      <c r="U674" s="23"/>
      <c r="AA674" s="18"/>
      <c r="AF674" s="23"/>
      <c r="AL674" s="18"/>
    </row>
    <row r="675" spans="9:38" x14ac:dyDescent="0.2">
      <c r="I675" s="4">
        <v>668</v>
      </c>
      <c r="R675" s="19"/>
      <c r="S675" s="23"/>
      <c r="U675" s="23"/>
      <c r="AA675" s="18"/>
      <c r="AF675" s="23"/>
      <c r="AL675" s="18"/>
    </row>
    <row r="676" spans="9:38" x14ac:dyDescent="0.2">
      <c r="I676" s="4">
        <v>669</v>
      </c>
      <c r="R676" s="19"/>
      <c r="S676" s="23"/>
      <c r="U676" s="23"/>
      <c r="AA676" s="18"/>
      <c r="AF676" s="23"/>
      <c r="AL676" s="18"/>
    </row>
    <row r="677" spans="9:38" x14ac:dyDescent="0.2">
      <c r="I677" s="4">
        <v>670</v>
      </c>
      <c r="R677" s="19"/>
      <c r="S677" s="23"/>
      <c r="U677" s="23"/>
      <c r="AA677" s="18"/>
      <c r="AF677" s="23"/>
      <c r="AL677" s="18"/>
    </row>
    <row r="678" spans="9:38" x14ac:dyDescent="0.2">
      <c r="I678" s="4">
        <v>671</v>
      </c>
      <c r="R678" s="19"/>
      <c r="S678" s="23"/>
      <c r="U678" s="23"/>
      <c r="AA678" s="18"/>
      <c r="AF678" s="23"/>
      <c r="AL678" s="18"/>
    </row>
    <row r="679" spans="9:38" x14ac:dyDescent="0.2">
      <c r="I679" s="4">
        <v>672</v>
      </c>
      <c r="R679" s="19"/>
      <c r="S679" s="23"/>
      <c r="U679" s="23"/>
      <c r="AA679" s="18"/>
      <c r="AF679" s="23"/>
      <c r="AL679" s="18"/>
    </row>
    <row r="680" spans="9:38" x14ac:dyDescent="0.2">
      <c r="I680" s="4">
        <v>673</v>
      </c>
      <c r="R680" s="19"/>
      <c r="S680" s="23"/>
      <c r="U680" s="23"/>
      <c r="AA680" s="18"/>
      <c r="AF680" s="23"/>
      <c r="AL680" s="18"/>
    </row>
    <row r="681" spans="9:38" x14ac:dyDescent="0.2">
      <c r="I681" s="4">
        <v>674</v>
      </c>
      <c r="R681" s="19"/>
      <c r="S681" s="23"/>
      <c r="U681" s="23"/>
      <c r="AA681" s="18"/>
      <c r="AF681" s="23"/>
      <c r="AL681" s="18"/>
    </row>
    <row r="682" spans="9:38" x14ac:dyDescent="0.2">
      <c r="I682" s="4">
        <v>675</v>
      </c>
      <c r="R682" s="19"/>
      <c r="S682" s="23"/>
      <c r="U682" s="23"/>
      <c r="AA682" s="18"/>
      <c r="AF682" s="23"/>
      <c r="AL682" s="18"/>
    </row>
    <row r="683" spans="9:38" x14ac:dyDescent="0.2">
      <c r="I683" s="4">
        <v>676</v>
      </c>
      <c r="R683" s="19"/>
      <c r="S683" s="23"/>
      <c r="U683" s="23"/>
      <c r="AA683" s="18"/>
      <c r="AF683" s="23"/>
      <c r="AL683" s="18"/>
    </row>
    <row r="684" spans="9:38" x14ac:dyDescent="0.2">
      <c r="I684" s="4">
        <v>677</v>
      </c>
      <c r="R684" s="19"/>
      <c r="S684" s="23"/>
      <c r="U684" s="23"/>
      <c r="AA684" s="18"/>
      <c r="AF684" s="23"/>
      <c r="AL684" s="18"/>
    </row>
    <row r="685" spans="9:38" x14ac:dyDescent="0.2">
      <c r="I685" s="4">
        <v>678</v>
      </c>
      <c r="R685" s="19"/>
      <c r="S685" s="23"/>
      <c r="U685" s="23"/>
      <c r="AA685" s="18"/>
      <c r="AF685" s="23"/>
      <c r="AL685" s="18"/>
    </row>
    <row r="686" spans="9:38" x14ac:dyDescent="0.2">
      <c r="I686" s="4">
        <v>679</v>
      </c>
      <c r="R686" s="19"/>
      <c r="S686" s="23"/>
      <c r="U686" s="23"/>
      <c r="AA686" s="18"/>
      <c r="AF686" s="23"/>
      <c r="AL686" s="18"/>
    </row>
    <row r="687" spans="9:38" x14ac:dyDescent="0.2">
      <c r="I687" s="4">
        <v>680</v>
      </c>
      <c r="R687" s="19"/>
      <c r="S687" s="23"/>
      <c r="U687" s="23"/>
      <c r="AA687" s="18"/>
      <c r="AF687" s="23"/>
      <c r="AL687" s="18"/>
    </row>
    <row r="688" spans="9:38" x14ac:dyDescent="0.2">
      <c r="I688" s="4">
        <v>681</v>
      </c>
      <c r="R688" s="19"/>
      <c r="S688" s="23"/>
      <c r="U688" s="23"/>
      <c r="AA688" s="18"/>
      <c r="AF688" s="23"/>
      <c r="AL688" s="18"/>
    </row>
    <row r="689" spans="9:38" x14ac:dyDescent="0.2">
      <c r="I689" s="4">
        <v>682</v>
      </c>
      <c r="R689" s="19"/>
      <c r="S689" s="23"/>
      <c r="U689" s="23"/>
      <c r="AA689" s="18"/>
      <c r="AF689" s="23"/>
      <c r="AL689" s="18"/>
    </row>
    <row r="690" spans="9:38" x14ac:dyDescent="0.2">
      <c r="I690" s="4">
        <v>683</v>
      </c>
      <c r="R690" s="19"/>
      <c r="S690" s="23"/>
      <c r="U690" s="23"/>
      <c r="AA690" s="18"/>
      <c r="AF690" s="23"/>
      <c r="AL690" s="18"/>
    </row>
    <row r="691" spans="9:38" x14ac:dyDescent="0.2">
      <c r="I691" s="4">
        <v>684</v>
      </c>
      <c r="R691" s="19"/>
      <c r="S691" s="23"/>
      <c r="U691" s="23"/>
      <c r="AA691" s="18"/>
      <c r="AF691" s="23"/>
      <c r="AL691" s="18"/>
    </row>
    <row r="692" spans="9:38" x14ac:dyDescent="0.2">
      <c r="I692" s="4">
        <v>685</v>
      </c>
      <c r="R692" s="19"/>
      <c r="S692" s="23"/>
      <c r="U692" s="23"/>
      <c r="AA692" s="18"/>
      <c r="AF692" s="23"/>
      <c r="AL692" s="18"/>
    </row>
    <row r="693" spans="9:38" x14ac:dyDescent="0.2">
      <c r="I693" s="4">
        <v>686</v>
      </c>
      <c r="R693" s="19"/>
      <c r="S693" s="23"/>
      <c r="U693" s="23"/>
      <c r="AA693" s="18"/>
      <c r="AF693" s="23"/>
      <c r="AL693" s="18"/>
    </row>
    <row r="694" spans="9:38" x14ac:dyDescent="0.2">
      <c r="I694" s="4">
        <v>687</v>
      </c>
      <c r="R694" s="19"/>
      <c r="S694" s="23"/>
      <c r="U694" s="23"/>
      <c r="AA694" s="18"/>
      <c r="AF694" s="23"/>
      <c r="AL694" s="18"/>
    </row>
    <row r="695" spans="9:38" x14ac:dyDescent="0.2">
      <c r="I695" s="4">
        <v>688</v>
      </c>
      <c r="R695" s="19"/>
      <c r="S695" s="23"/>
      <c r="U695" s="23"/>
      <c r="AA695" s="18"/>
      <c r="AF695" s="23"/>
      <c r="AL695" s="18"/>
    </row>
    <row r="696" spans="9:38" x14ac:dyDescent="0.2">
      <c r="I696" s="4">
        <v>689</v>
      </c>
      <c r="R696" s="19"/>
      <c r="S696" s="23"/>
      <c r="U696" s="23"/>
      <c r="AA696" s="18"/>
      <c r="AF696" s="23"/>
      <c r="AL696" s="18"/>
    </row>
    <row r="697" spans="9:38" x14ac:dyDescent="0.2">
      <c r="I697" s="4">
        <v>690</v>
      </c>
      <c r="R697" s="19"/>
      <c r="S697" s="23"/>
      <c r="U697" s="23"/>
      <c r="AA697" s="18"/>
      <c r="AF697" s="23"/>
      <c r="AL697" s="18"/>
    </row>
    <row r="698" spans="9:38" x14ac:dyDescent="0.2">
      <c r="I698" s="4">
        <v>691</v>
      </c>
      <c r="R698" s="19"/>
      <c r="S698" s="23"/>
      <c r="U698" s="23"/>
      <c r="AA698" s="18"/>
      <c r="AF698" s="23"/>
      <c r="AL698" s="18"/>
    </row>
    <row r="699" spans="9:38" x14ac:dyDescent="0.2">
      <c r="I699" s="4">
        <v>692</v>
      </c>
      <c r="R699" s="19"/>
      <c r="S699" s="23"/>
      <c r="U699" s="23"/>
      <c r="AA699" s="18"/>
      <c r="AF699" s="23"/>
      <c r="AL699" s="18"/>
    </row>
    <row r="700" spans="9:38" x14ac:dyDescent="0.2">
      <c r="I700" s="4">
        <v>693</v>
      </c>
      <c r="R700" s="19"/>
      <c r="S700" s="23"/>
      <c r="U700" s="23"/>
      <c r="AA700" s="18"/>
      <c r="AF700" s="23"/>
      <c r="AL700" s="18"/>
    </row>
    <row r="701" spans="9:38" x14ac:dyDescent="0.2">
      <c r="I701" s="4">
        <v>694</v>
      </c>
      <c r="R701" s="19"/>
      <c r="S701" s="23"/>
      <c r="U701" s="23"/>
      <c r="AA701" s="18"/>
      <c r="AF701" s="23"/>
      <c r="AL701" s="18"/>
    </row>
    <row r="702" spans="9:38" x14ac:dyDescent="0.2">
      <c r="I702" s="4">
        <v>695</v>
      </c>
      <c r="R702" s="19"/>
      <c r="S702" s="23"/>
      <c r="U702" s="23"/>
      <c r="AA702" s="18"/>
      <c r="AF702" s="23"/>
      <c r="AL702" s="18"/>
    </row>
    <row r="703" spans="9:38" x14ac:dyDescent="0.2">
      <c r="I703" s="4">
        <v>696</v>
      </c>
      <c r="R703" s="19"/>
      <c r="S703" s="23"/>
      <c r="U703" s="23"/>
      <c r="AA703" s="18"/>
      <c r="AF703" s="23"/>
      <c r="AL703" s="18"/>
    </row>
    <row r="704" spans="9:38" x14ac:dyDescent="0.2">
      <c r="I704" s="4">
        <v>697</v>
      </c>
      <c r="R704" s="19"/>
      <c r="S704" s="23"/>
      <c r="U704" s="23"/>
      <c r="AA704" s="18"/>
      <c r="AF704" s="23"/>
      <c r="AL704" s="18"/>
    </row>
    <row r="705" spans="9:38" x14ac:dyDescent="0.2">
      <c r="I705" s="4">
        <v>698</v>
      </c>
      <c r="R705" s="19"/>
      <c r="S705" s="23"/>
      <c r="U705" s="23"/>
      <c r="AA705" s="18"/>
      <c r="AF705" s="23"/>
      <c r="AL705" s="18"/>
    </row>
    <row r="706" spans="9:38" x14ac:dyDescent="0.2">
      <c r="I706" s="4">
        <v>699</v>
      </c>
      <c r="R706" s="19"/>
      <c r="S706" s="23"/>
      <c r="U706" s="23"/>
      <c r="AA706" s="18"/>
      <c r="AF706" s="23"/>
      <c r="AL706" s="18"/>
    </row>
    <row r="707" spans="9:38" x14ac:dyDescent="0.2">
      <c r="I707" s="4">
        <v>700</v>
      </c>
      <c r="R707" s="19"/>
      <c r="S707" s="23"/>
      <c r="U707" s="23"/>
      <c r="AA707" s="18"/>
      <c r="AF707" s="23"/>
      <c r="AL707" s="18"/>
    </row>
    <row r="708" spans="9:38" x14ac:dyDescent="0.2">
      <c r="I708" s="4">
        <v>701</v>
      </c>
      <c r="R708" s="19"/>
      <c r="S708" s="23"/>
      <c r="U708" s="23"/>
      <c r="AA708" s="18"/>
      <c r="AF708" s="23"/>
      <c r="AL708" s="18"/>
    </row>
    <row r="709" spans="9:38" x14ac:dyDescent="0.2">
      <c r="I709" s="4">
        <v>702</v>
      </c>
      <c r="R709" s="19"/>
      <c r="S709" s="23"/>
      <c r="U709" s="23"/>
      <c r="AA709" s="18"/>
      <c r="AF709" s="23"/>
      <c r="AL709" s="18"/>
    </row>
    <row r="710" spans="9:38" x14ac:dyDescent="0.2">
      <c r="I710" s="4">
        <v>703</v>
      </c>
      <c r="R710" s="19"/>
      <c r="S710" s="23"/>
      <c r="U710" s="23"/>
      <c r="AA710" s="18"/>
      <c r="AF710" s="23"/>
      <c r="AL710" s="18"/>
    </row>
    <row r="711" spans="9:38" x14ac:dyDescent="0.2">
      <c r="I711" s="4">
        <v>704</v>
      </c>
      <c r="R711" s="19"/>
      <c r="S711" s="23"/>
      <c r="U711" s="23"/>
      <c r="AA711" s="18"/>
      <c r="AF711" s="23"/>
      <c r="AL711" s="18"/>
    </row>
    <row r="712" spans="9:38" x14ac:dyDescent="0.2">
      <c r="I712" s="4">
        <v>705</v>
      </c>
      <c r="R712" s="19"/>
      <c r="S712" s="23"/>
      <c r="U712" s="23"/>
      <c r="AA712" s="18"/>
      <c r="AF712" s="23"/>
      <c r="AL712" s="18"/>
    </row>
    <row r="713" spans="9:38" x14ac:dyDescent="0.2">
      <c r="I713" s="4">
        <v>706</v>
      </c>
      <c r="R713" s="19"/>
      <c r="S713" s="23"/>
      <c r="U713" s="23"/>
      <c r="AA713" s="18"/>
      <c r="AF713" s="23"/>
      <c r="AL713" s="18"/>
    </row>
    <row r="714" spans="9:38" x14ac:dyDescent="0.2">
      <c r="I714" s="4">
        <v>707</v>
      </c>
      <c r="R714" s="19"/>
      <c r="S714" s="23"/>
      <c r="U714" s="23"/>
      <c r="AA714" s="18"/>
      <c r="AF714" s="23"/>
      <c r="AL714" s="18"/>
    </row>
    <row r="715" spans="9:38" x14ac:dyDescent="0.2">
      <c r="I715" s="4">
        <v>708</v>
      </c>
      <c r="R715" s="19"/>
      <c r="S715" s="23"/>
      <c r="U715" s="23"/>
      <c r="AA715" s="18"/>
      <c r="AF715" s="23"/>
      <c r="AL715" s="18"/>
    </row>
    <row r="716" spans="9:38" x14ac:dyDescent="0.2">
      <c r="I716" s="4">
        <v>709</v>
      </c>
      <c r="R716" s="19"/>
      <c r="S716" s="23"/>
      <c r="U716" s="23"/>
      <c r="AA716" s="18"/>
      <c r="AF716" s="23"/>
      <c r="AL716" s="18"/>
    </row>
    <row r="717" spans="9:38" x14ac:dyDescent="0.2">
      <c r="I717" s="4">
        <v>710</v>
      </c>
      <c r="R717" s="19"/>
      <c r="S717" s="23"/>
      <c r="U717" s="23"/>
      <c r="AA717" s="18"/>
      <c r="AF717" s="23"/>
      <c r="AL717" s="18"/>
    </row>
    <row r="718" spans="9:38" x14ac:dyDescent="0.2">
      <c r="I718" s="4">
        <v>711</v>
      </c>
      <c r="R718" s="19"/>
      <c r="S718" s="23"/>
      <c r="U718" s="23"/>
      <c r="AA718" s="18"/>
      <c r="AF718" s="23"/>
      <c r="AL718" s="18"/>
    </row>
    <row r="719" spans="9:38" x14ac:dyDescent="0.2">
      <c r="I719" s="4">
        <v>712</v>
      </c>
      <c r="R719" s="19"/>
      <c r="S719" s="23"/>
      <c r="U719" s="23"/>
      <c r="AA719" s="18"/>
      <c r="AF719" s="23"/>
      <c r="AL719" s="18"/>
    </row>
    <row r="720" spans="9:38" x14ac:dyDescent="0.2">
      <c r="I720" s="4">
        <v>713</v>
      </c>
      <c r="R720" s="19"/>
      <c r="S720" s="23"/>
      <c r="U720" s="23"/>
      <c r="AA720" s="18"/>
      <c r="AF720" s="23"/>
      <c r="AL720" s="18"/>
    </row>
    <row r="721" spans="9:38" x14ac:dyDescent="0.2">
      <c r="I721" s="4">
        <v>714</v>
      </c>
      <c r="R721" s="19"/>
      <c r="S721" s="23"/>
      <c r="U721" s="23"/>
      <c r="AA721" s="18"/>
      <c r="AF721" s="23"/>
      <c r="AL721" s="18"/>
    </row>
    <row r="722" spans="9:38" x14ac:dyDescent="0.2">
      <c r="I722" s="4">
        <v>715</v>
      </c>
      <c r="R722" s="19"/>
      <c r="S722" s="23"/>
      <c r="U722" s="23"/>
      <c r="AA722" s="18"/>
      <c r="AF722" s="23"/>
      <c r="AL722" s="18"/>
    </row>
    <row r="723" spans="9:38" x14ac:dyDescent="0.2">
      <c r="I723" s="4">
        <v>716</v>
      </c>
      <c r="R723" s="19"/>
      <c r="S723" s="23"/>
      <c r="U723" s="23"/>
      <c r="AA723" s="18"/>
      <c r="AF723" s="23"/>
      <c r="AL723" s="18"/>
    </row>
    <row r="724" spans="9:38" x14ac:dyDescent="0.2">
      <c r="I724" s="4">
        <v>717</v>
      </c>
      <c r="R724" s="19"/>
      <c r="S724" s="23"/>
      <c r="U724" s="23"/>
      <c r="AA724" s="18"/>
      <c r="AF724" s="23"/>
      <c r="AL724" s="18"/>
    </row>
    <row r="725" spans="9:38" x14ac:dyDescent="0.2">
      <c r="I725" s="4">
        <v>718</v>
      </c>
      <c r="R725" s="19"/>
      <c r="S725" s="23"/>
      <c r="U725" s="23"/>
      <c r="AA725" s="18"/>
      <c r="AF725" s="23"/>
      <c r="AL725" s="18"/>
    </row>
    <row r="726" spans="9:38" x14ac:dyDescent="0.2">
      <c r="I726" s="4">
        <v>719</v>
      </c>
      <c r="R726" s="19"/>
      <c r="S726" s="23"/>
      <c r="U726" s="23"/>
      <c r="AA726" s="18"/>
      <c r="AF726" s="23"/>
      <c r="AL726" s="18"/>
    </row>
    <row r="727" spans="9:38" x14ac:dyDescent="0.2">
      <c r="I727" s="4">
        <v>720</v>
      </c>
      <c r="R727" s="19"/>
      <c r="S727" s="23"/>
      <c r="U727" s="23"/>
      <c r="AA727" s="18"/>
      <c r="AF727" s="23"/>
      <c r="AL727" s="18"/>
    </row>
    <row r="728" spans="9:38" x14ac:dyDescent="0.2">
      <c r="I728" s="4">
        <v>721</v>
      </c>
      <c r="R728" s="19"/>
      <c r="S728" s="23"/>
      <c r="U728" s="23"/>
      <c r="AA728" s="18"/>
      <c r="AF728" s="23"/>
      <c r="AL728" s="18"/>
    </row>
    <row r="729" spans="9:38" x14ac:dyDescent="0.2">
      <c r="I729" s="4">
        <v>722</v>
      </c>
      <c r="R729" s="19"/>
      <c r="S729" s="23"/>
      <c r="U729" s="23"/>
      <c r="AA729" s="18"/>
      <c r="AF729" s="23"/>
      <c r="AL729" s="18"/>
    </row>
    <row r="730" spans="9:38" x14ac:dyDescent="0.2">
      <c r="I730" s="4">
        <v>723</v>
      </c>
      <c r="R730" s="19"/>
      <c r="S730" s="23"/>
      <c r="U730" s="23"/>
      <c r="AA730" s="18"/>
      <c r="AF730" s="23"/>
      <c r="AL730" s="18"/>
    </row>
    <row r="731" spans="9:38" x14ac:dyDescent="0.2">
      <c r="I731" s="4">
        <v>724</v>
      </c>
      <c r="R731" s="19"/>
      <c r="S731" s="23"/>
      <c r="U731" s="23"/>
      <c r="AA731" s="18"/>
      <c r="AF731" s="23"/>
      <c r="AL731" s="18"/>
    </row>
    <row r="732" spans="9:38" x14ac:dyDescent="0.2">
      <c r="I732" s="4">
        <v>725</v>
      </c>
      <c r="R732" s="19"/>
      <c r="S732" s="23"/>
      <c r="U732" s="23"/>
      <c r="AA732" s="18"/>
      <c r="AF732" s="23"/>
      <c r="AL732" s="18"/>
    </row>
    <row r="733" spans="9:38" x14ac:dyDescent="0.2">
      <c r="I733" s="4">
        <v>726</v>
      </c>
      <c r="R733" s="19"/>
      <c r="S733" s="23"/>
      <c r="U733" s="23"/>
      <c r="AA733" s="18"/>
      <c r="AF733" s="23"/>
      <c r="AL733" s="18"/>
    </row>
    <row r="734" spans="9:38" x14ac:dyDescent="0.2">
      <c r="I734" s="4">
        <v>727</v>
      </c>
      <c r="R734" s="19"/>
      <c r="S734" s="23"/>
      <c r="U734" s="23"/>
      <c r="AA734" s="18"/>
      <c r="AF734" s="23"/>
      <c r="AL734" s="18"/>
    </row>
    <row r="735" spans="9:38" x14ac:dyDescent="0.2">
      <c r="I735" s="4">
        <v>728</v>
      </c>
      <c r="R735" s="19"/>
      <c r="S735" s="23"/>
      <c r="U735" s="23"/>
      <c r="AA735" s="18"/>
      <c r="AF735" s="23"/>
      <c r="AL735" s="18"/>
    </row>
    <row r="736" spans="9:38" x14ac:dyDescent="0.2">
      <c r="I736" s="4">
        <v>729</v>
      </c>
      <c r="R736" s="19"/>
      <c r="S736" s="23"/>
      <c r="U736" s="23"/>
      <c r="AA736" s="18"/>
      <c r="AF736" s="23"/>
      <c r="AL736" s="18"/>
    </row>
    <row r="737" spans="9:38" x14ac:dyDescent="0.2">
      <c r="I737" s="4">
        <v>730</v>
      </c>
      <c r="R737" s="19"/>
      <c r="S737" s="23"/>
      <c r="U737" s="23"/>
      <c r="AA737" s="18"/>
      <c r="AF737" s="23"/>
      <c r="AL737" s="18"/>
    </row>
    <row r="738" spans="9:38" x14ac:dyDescent="0.2">
      <c r="I738" s="4">
        <v>731</v>
      </c>
      <c r="R738" s="19"/>
      <c r="S738" s="23"/>
      <c r="U738" s="23"/>
      <c r="AA738" s="18"/>
      <c r="AF738" s="23"/>
      <c r="AL738" s="18"/>
    </row>
    <row r="739" spans="9:38" x14ac:dyDescent="0.2">
      <c r="I739" s="4">
        <v>732</v>
      </c>
      <c r="R739" s="19"/>
      <c r="S739" s="23"/>
      <c r="U739" s="23"/>
      <c r="AA739" s="18"/>
      <c r="AF739" s="23"/>
      <c r="AL739" s="18"/>
    </row>
    <row r="740" spans="9:38" x14ac:dyDescent="0.2">
      <c r="I740" s="4">
        <v>733</v>
      </c>
      <c r="R740" s="19"/>
      <c r="S740" s="23"/>
      <c r="U740" s="23"/>
      <c r="AA740" s="18"/>
      <c r="AF740" s="23"/>
      <c r="AL740" s="18"/>
    </row>
    <row r="741" spans="9:38" x14ac:dyDescent="0.2">
      <c r="I741" s="4">
        <v>734</v>
      </c>
      <c r="R741" s="19"/>
      <c r="S741" s="23"/>
      <c r="U741" s="23"/>
      <c r="AA741" s="18"/>
      <c r="AF741" s="23"/>
      <c r="AL741" s="18"/>
    </row>
    <row r="742" spans="9:38" x14ac:dyDescent="0.2">
      <c r="I742" s="4">
        <v>735</v>
      </c>
      <c r="R742" s="19"/>
      <c r="S742" s="23"/>
      <c r="U742" s="23"/>
      <c r="AA742" s="18"/>
      <c r="AF742" s="23"/>
      <c r="AL742" s="18"/>
    </row>
    <row r="743" spans="9:38" x14ac:dyDescent="0.2">
      <c r="I743" s="4">
        <v>736</v>
      </c>
      <c r="R743" s="19"/>
      <c r="S743" s="23"/>
      <c r="U743" s="23"/>
      <c r="AA743" s="18"/>
      <c r="AF743" s="23"/>
      <c r="AL743" s="18"/>
    </row>
    <row r="744" spans="9:38" x14ac:dyDescent="0.2">
      <c r="I744" s="4">
        <v>737</v>
      </c>
      <c r="R744" s="19"/>
      <c r="S744" s="23"/>
      <c r="U744" s="23"/>
      <c r="AA744" s="18"/>
      <c r="AF744" s="23"/>
      <c r="AL744" s="18"/>
    </row>
    <row r="745" spans="9:38" x14ac:dyDescent="0.2">
      <c r="I745" s="4">
        <v>738</v>
      </c>
      <c r="R745" s="19"/>
      <c r="S745" s="23"/>
      <c r="U745" s="23"/>
      <c r="AA745" s="18"/>
      <c r="AF745" s="23"/>
      <c r="AL745" s="18"/>
    </row>
    <row r="746" spans="9:38" x14ac:dyDescent="0.2">
      <c r="I746" s="4">
        <v>739</v>
      </c>
      <c r="R746" s="19"/>
      <c r="S746" s="23"/>
      <c r="U746" s="23"/>
      <c r="AA746" s="18"/>
      <c r="AF746" s="23"/>
      <c r="AL746" s="18"/>
    </row>
    <row r="747" spans="9:38" x14ac:dyDescent="0.2">
      <c r="I747" s="4">
        <v>740</v>
      </c>
      <c r="R747" s="19"/>
      <c r="S747" s="23"/>
      <c r="U747" s="23"/>
      <c r="AA747" s="18"/>
      <c r="AF747" s="23"/>
      <c r="AL747" s="18"/>
    </row>
    <row r="748" spans="9:38" x14ac:dyDescent="0.2">
      <c r="I748" s="4">
        <v>741</v>
      </c>
      <c r="R748" s="19"/>
      <c r="S748" s="23"/>
      <c r="U748" s="23"/>
      <c r="AA748" s="18"/>
      <c r="AF748" s="23"/>
      <c r="AL748" s="18"/>
    </row>
    <row r="749" spans="9:38" x14ac:dyDescent="0.2">
      <c r="I749" s="4">
        <v>742</v>
      </c>
      <c r="R749" s="19"/>
      <c r="S749" s="23"/>
      <c r="U749" s="23"/>
      <c r="AA749" s="18"/>
      <c r="AF749" s="23"/>
      <c r="AL749" s="18"/>
    </row>
    <row r="750" spans="9:38" x14ac:dyDescent="0.2">
      <c r="I750" s="4">
        <v>743</v>
      </c>
      <c r="R750" s="19"/>
      <c r="S750" s="23"/>
      <c r="U750" s="23"/>
      <c r="AA750" s="18"/>
      <c r="AF750" s="23"/>
      <c r="AL750" s="18"/>
    </row>
    <row r="751" spans="9:38" x14ac:dyDescent="0.2">
      <c r="I751" s="4">
        <v>744</v>
      </c>
      <c r="R751" s="19"/>
      <c r="S751" s="23"/>
      <c r="U751" s="23"/>
      <c r="AA751" s="18"/>
      <c r="AF751" s="23"/>
      <c r="AL751" s="18"/>
    </row>
    <row r="752" spans="9:38" x14ac:dyDescent="0.2">
      <c r="I752" s="4">
        <v>745</v>
      </c>
      <c r="R752" s="19"/>
      <c r="S752" s="23"/>
      <c r="U752" s="23"/>
      <c r="AA752" s="18"/>
      <c r="AF752" s="23"/>
      <c r="AL752" s="18"/>
    </row>
    <row r="753" spans="9:38" x14ac:dyDescent="0.2">
      <c r="I753" s="4">
        <v>746</v>
      </c>
      <c r="R753" s="19"/>
      <c r="S753" s="23"/>
      <c r="U753" s="23"/>
      <c r="AA753" s="18"/>
      <c r="AF753" s="23"/>
      <c r="AL753" s="18"/>
    </row>
    <row r="754" spans="9:38" x14ac:dyDescent="0.2">
      <c r="I754" s="4">
        <v>747</v>
      </c>
      <c r="R754" s="19"/>
      <c r="S754" s="23"/>
      <c r="U754" s="23"/>
      <c r="AA754" s="18"/>
      <c r="AF754" s="23"/>
      <c r="AL754" s="18"/>
    </row>
    <row r="755" spans="9:38" x14ac:dyDescent="0.2">
      <c r="I755" s="4">
        <v>748</v>
      </c>
      <c r="R755" s="19"/>
      <c r="S755" s="23"/>
      <c r="U755" s="23"/>
      <c r="AA755" s="18"/>
      <c r="AF755" s="23"/>
      <c r="AL755" s="18"/>
    </row>
    <row r="756" spans="9:38" x14ac:dyDescent="0.2">
      <c r="I756" s="4">
        <v>749</v>
      </c>
      <c r="R756" s="19"/>
      <c r="S756" s="23"/>
      <c r="U756" s="23"/>
      <c r="AA756" s="18"/>
      <c r="AF756" s="23"/>
      <c r="AL756" s="18"/>
    </row>
    <row r="757" spans="9:38" x14ac:dyDescent="0.2">
      <c r="I757" s="4">
        <v>750</v>
      </c>
      <c r="R757" s="19"/>
      <c r="S757" s="23"/>
      <c r="U757" s="23"/>
      <c r="AA757" s="18"/>
      <c r="AF757" s="23"/>
      <c r="AL757" s="18"/>
    </row>
    <row r="758" spans="9:38" x14ac:dyDescent="0.2">
      <c r="I758" s="4">
        <v>751</v>
      </c>
      <c r="R758" s="19"/>
      <c r="S758" s="23"/>
      <c r="U758" s="23"/>
      <c r="AA758" s="18"/>
      <c r="AF758" s="23"/>
      <c r="AL758" s="18"/>
    </row>
    <row r="759" spans="9:38" x14ac:dyDescent="0.2">
      <c r="I759" s="4">
        <v>752</v>
      </c>
      <c r="R759" s="19"/>
      <c r="S759" s="23"/>
      <c r="U759" s="23"/>
      <c r="AA759" s="18"/>
      <c r="AF759" s="23"/>
      <c r="AL759" s="18"/>
    </row>
    <row r="760" spans="9:38" x14ac:dyDescent="0.2">
      <c r="I760" s="4">
        <v>753</v>
      </c>
      <c r="R760" s="19"/>
      <c r="S760" s="23"/>
      <c r="U760" s="23"/>
      <c r="AA760" s="18"/>
      <c r="AF760" s="23"/>
      <c r="AL760" s="18"/>
    </row>
    <row r="761" spans="9:38" x14ac:dyDescent="0.2">
      <c r="I761" s="4">
        <v>754</v>
      </c>
      <c r="R761" s="19"/>
      <c r="S761" s="23"/>
      <c r="U761" s="23"/>
      <c r="AA761" s="18"/>
      <c r="AF761" s="23"/>
      <c r="AL761" s="18"/>
    </row>
    <row r="762" spans="9:38" x14ac:dyDescent="0.2">
      <c r="I762" s="4">
        <v>755</v>
      </c>
      <c r="R762" s="19"/>
      <c r="S762" s="23"/>
      <c r="U762" s="23"/>
      <c r="AA762" s="18"/>
      <c r="AF762" s="23"/>
      <c r="AL762" s="18"/>
    </row>
    <row r="763" spans="9:38" x14ac:dyDescent="0.2">
      <c r="I763" s="4">
        <v>756</v>
      </c>
      <c r="R763" s="19"/>
      <c r="S763" s="23"/>
      <c r="U763" s="23"/>
      <c r="AA763" s="18"/>
      <c r="AF763" s="23"/>
      <c r="AL763" s="18"/>
    </row>
    <row r="764" spans="9:38" x14ac:dyDescent="0.2">
      <c r="I764" s="4">
        <v>757</v>
      </c>
      <c r="R764" s="19"/>
      <c r="S764" s="23"/>
      <c r="U764" s="23"/>
      <c r="AA764" s="18"/>
      <c r="AF764" s="23"/>
      <c r="AL764" s="18"/>
    </row>
    <row r="765" spans="9:38" x14ac:dyDescent="0.2">
      <c r="I765" s="4">
        <v>758</v>
      </c>
      <c r="R765" s="19"/>
      <c r="S765" s="23"/>
      <c r="U765" s="23"/>
      <c r="AA765" s="18"/>
      <c r="AF765" s="23"/>
      <c r="AL765" s="18"/>
    </row>
    <row r="766" spans="9:38" x14ac:dyDescent="0.2">
      <c r="I766" s="4">
        <v>759</v>
      </c>
      <c r="R766" s="19"/>
      <c r="S766" s="23"/>
      <c r="U766" s="23"/>
      <c r="AA766" s="18"/>
      <c r="AF766" s="23"/>
      <c r="AL766" s="18"/>
    </row>
    <row r="767" spans="9:38" x14ac:dyDescent="0.2">
      <c r="I767" s="4">
        <v>760</v>
      </c>
      <c r="R767" s="19"/>
      <c r="S767" s="23"/>
      <c r="U767" s="23"/>
      <c r="AA767" s="18"/>
      <c r="AF767" s="23"/>
      <c r="AL767" s="18"/>
    </row>
    <row r="768" spans="9:38" x14ac:dyDescent="0.2">
      <c r="I768" s="4">
        <v>761</v>
      </c>
      <c r="R768" s="19"/>
      <c r="S768" s="23"/>
      <c r="U768" s="23"/>
      <c r="AA768" s="18"/>
      <c r="AF768" s="23"/>
      <c r="AL768" s="18"/>
    </row>
    <row r="769" spans="9:38" x14ac:dyDescent="0.2">
      <c r="I769" s="4">
        <v>762</v>
      </c>
      <c r="R769" s="19"/>
      <c r="S769" s="23"/>
      <c r="U769" s="23"/>
      <c r="AA769" s="18"/>
      <c r="AF769" s="23"/>
      <c r="AL769" s="18"/>
    </row>
    <row r="770" spans="9:38" x14ac:dyDescent="0.2">
      <c r="I770" s="4">
        <v>763</v>
      </c>
      <c r="R770" s="19"/>
      <c r="S770" s="23"/>
      <c r="U770" s="23"/>
      <c r="AA770" s="18"/>
      <c r="AF770" s="23"/>
      <c r="AL770" s="18"/>
    </row>
    <row r="771" spans="9:38" x14ac:dyDescent="0.2">
      <c r="I771" s="4">
        <v>764</v>
      </c>
      <c r="R771" s="19"/>
      <c r="S771" s="23"/>
      <c r="U771" s="23"/>
      <c r="AA771" s="18"/>
      <c r="AF771" s="23"/>
      <c r="AL771" s="18"/>
    </row>
    <row r="772" spans="9:38" x14ac:dyDescent="0.2">
      <c r="I772" s="4">
        <v>765</v>
      </c>
      <c r="R772" s="19"/>
      <c r="S772" s="23"/>
      <c r="U772" s="23"/>
      <c r="AA772" s="18"/>
      <c r="AF772" s="23"/>
      <c r="AL772" s="18"/>
    </row>
    <row r="773" spans="9:38" x14ac:dyDescent="0.2">
      <c r="I773" s="4">
        <v>766</v>
      </c>
      <c r="R773" s="19"/>
      <c r="S773" s="23"/>
      <c r="U773" s="23"/>
      <c r="AA773" s="18"/>
      <c r="AF773" s="23"/>
      <c r="AL773" s="18"/>
    </row>
    <row r="774" spans="9:38" x14ac:dyDescent="0.2">
      <c r="I774" s="4">
        <v>767</v>
      </c>
      <c r="R774" s="19"/>
      <c r="S774" s="23"/>
      <c r="U774" s="23"/>
      <c r="AA774" s="18"/>
      <c r="AF774" s="23"/>
      <c r="AL774" s="18"/>
    </row>
    <row r="775" spans="9:38" x14ac:dyDescent="0.2">
      <c r="I775" s="4">
        <v>768</v>
      </c>
      <c r="R775" s="19"/>
      <c r="S775" s="23"/>
      <c r="U775" s="23"/>
      <c r="AA775" s="18"/>
      <c r="AF775" s="23"/>
      <c r="AL775" s="18"/>
    </row>
    <row r="776" spans="9:38" x14ac:dyDescent="0.2">
      <c r="I776" s="4">
        <v>769</v>
      </c>
      <c r="R776" s="19"/>
      <c r="S776" s="23"/>
      <c r="U776" s="23"/>
      <c r="AA776" s="18"/>
      <c r="AF776" s="23"/>
      <c r="AL776" s="18"/>
    </row>
    <row r="777" spans="9:38" x14ac:dyDescent="0.2">
      <c r="I777" s="4">
        <v>770</v>
      </c>
      <c r="R777" s="19"/>
      <c r="S777" s="23"/>
      <c r="U777" s="23"/>
      <c r="AA777" s="18"/>
      <c r="AF777" s="23"/>
      <c r="AL777" s="18"/>
    </row>
    <row r="778" spans="9:38" x14ac:dyDescent="0.2">
      <c r="I778" s="4">
        <v>771</v>
      </c>
      <c r="R778" s="19"/>
      <c r="S778" s="23"/>
      <c r="U778" s="23"/>
      <c r="AA778" s="18"/>
      <c r="AF778" s="23"/>
      <c r="AL778" s="18"/>
    </row>
    <row r="779" spans="9:38" x14ac:dyDescent="0.2">
      <c r="I779" s="4">
        <v>772</v>
      </c>
      <c r="R779" s="19"/>
      <c r="S779" s="23"/>
      <c r="U779" s="23"/>
      <c r="AA779" s="18"/>
      <c r="AF779" s="23"/>
      <c r="AL779" s="18"/>
    </row>
    <row r="780" spans="9:38" x14ac:dyDescent="0.2">
      <c r="I780" s="4">
        <v>773</v>
      </c>
      <c r="R780" s="19"/>
      <c r="S780" s="23"/>
      <c r="U780" s="23"/>
      <c r="AA780" s="18"/>
      <c r="AF780" s="23"/>
      <c r="AL780" s="18"/>
    </row>
    <row r="781" spans="9:38" x14ac:dyDescent="0.2">
      <c r="I781" s="4">
        <v>774</v>
      </c>
      <c r="R781" s="19"/>
      <c r="S781" s="23"/>
      <c r="U781" s="23"/>
      <c r="AA781" s="18"/>
      <c r="AF781" s="23"/>
      <c r="AL781" s="18"/>
    </row>
    <row r="782" spans="9:38" x14ac:dyDescent="0.2">
      <c r="I782" s="4">
        <v>775</v>
      </c>
      <c r="R782" s="19"/>
      <c r="S782" s="23"/>
      <c r="U782" s="23"/>
      <c r="AA782" s="18"/>
      <c r="AF782" s="23"/>
      <c r="AL782" s="18"/>
    </row>
    <row r="783" spans="9:38" x14ac:dyDescent="0.2">
      <c r="I783" s="4">
        <v>776</v>
      </c>
      <c r="R783" s="19"/>
      <c r="S783" s="23"/>
      <c r="U783" s="23"/>
      <c r="AA783" s="18"/>
      <c r="AF783" s="23"/>
      <c r="AL783" s="18"/>
    </row>
    <row r="784" spans="9:38" x14ac:dyDescent="0.2">
      <c r="I784" s="4">
        <v>777</v>
      </c>
      <c r="R784" s="19"/>
      <c r="S784" s="23"/>
      <c r="U784" s="23"/>
      <c r="AA784" s="18"/>
      <c r="AF784" s="23"/>
      <c r="AL784" s="18"/>
    </row>
    <row r="785" spans="9:38" x14ac:dyDescent="0.2">
      <c r="I785" s="4">
        <v>778</v>
      </c>
      <c r="R785" s="19"/>
      <c r="S785" s="23"/>
      <c r="U785" s="23"/>
      <c r="AA785" s="18"/>
      <c r="AF785" s="23"/>
      <c r="AL785" s="18"/>
    </row>
    <row r="786" spans="9:38" x14ac:dyDescent="0.2">
      <c r="I786" s="4">
        <v>779</v>
      </c>
      <c r="R786" s="19"/>
      <c r="S786" s="23"/>
      <c r="U786" s="23"/>
      <c r="AA786" s="18"/>
      <c r="AF786" s="23"/>
      <c r="AL786" s="18"/>
    </row>
    <row r="787" spans="9:38" x14ac:dyDescent="0.2">
      <c r="I787" s="4">
        <v>780</v>
      </c>
      <c r="R787" s="19"/>
      <c r="S787" s="23"/>
      <c r="U787" s="23"/>
      <c r="AA787" s="18"/>
      <c r="AF787" s="23"/>
      <c r="AL787" s="18"/>
    </row>
    <row r="788" spans="9:38" x14ac:dyDescent="0.2">
      <c r="I788" s="4">
        <v>781</v>
      </c>
      <c r="R788" s="19"/>
      <c r="S788" s="23"/>
      <c r="U788" s="23"/>
      <c r="AA788" s="18"/>
      <c r="AF788" s="23"/>
      <c r="AL788" s="18"/>
    </row>
    <row r="789" spans="9:38" x14ac:dyDescent="0.2">
      <c r="I789" s="4">
        <v>782</v>
      </c>
      <c r="R789" s="19"/>
      <c r="S789" s="23"/>
      <c r="U789" s="23"/>
      <c r="AA789" s="18"/>
      <c r="AF789" s="23"/>
      <c r="AL789" s="18"/>
    </row>
    <row r="790" spans="9:38" x14ac:dyDescent="0.2">
      <c r="I790" s="4">
        <v>783</v>
      </c>
      <c r="R790" s="19"/>
      <c r="S790" s="23"/>
      <c r="U790" s="23"/>
      <c r="AA790" s="18"/>
      <c r="AF790" s="23"/>
      <c r="AL790" s="18"/>
    </row>
    <row r="791" spans="9:38" x14ac:dyDescent="0.2">
      <c r="I791" s="4">
        <v>784</v>
      </c>
      <c r="R791" s="19"/>
      <c r="S791" s="23"/>
      <c r="U791" s="23"/>
      <c r="AA791" s="18"/>
      <c r="AF791" s="23"/>
      <c r="AL791" s="18"/>
    </row>
    <row r="792" spans="9:38" x14ac:dyDescent="0.2">
      <c r="I792" s="4">
        <v>785</v>
      </c>
      <c r="R792" s="19"/>
      <c r="S792" s="23"/>
      <c r="U792" s="23"/>
      <c r="AA792" s="18"/>
      <c r="AF792" s="23"/>
      <c r="AL792" s="18"/>
    </row>
    <row r="793" spans="9:38" x14ac:dyDescent="0.2">
      <c r="I793" s="4">
        <v>786</v>
      </c>
      <c r="R793" s="19"/>
      <c r="S793" s="23"/>
      <c r="U793" s="23"/>
      <c r="AA793" s="18"/>
      <c r="AF793" s="23"/>
      <c r="AL793" s="18"/>
    </row>
    <row r="794" spans="9:38" x14ac:dyDescent="0.2">
      <c r="I794" s="4">
        <v>787</v>
      </c>
      <c r="R794" s="19"/>
      <c r="S794" s="23"/>
      <c r="U794" s="23"/>
      <c r="AA794" s="18"/>
      <c r="AF794" s="23"/>
      <c r="AL794" s="18"/>
    </row>
    <row r="795" spans="9:38" x14ac:dyDescent="0.2">
      <c r="I795" s="4">
        <v>788</v>
      </c>
      <c r="R795" s="19"/>
      <c r="S795" s="23"/>
      <c r="U795" s="23"/>
      <c r="AA795" s="18"/>
      <c r="AF795" s="23"/>
      <c r="AL795" s="18"/>
    </row>
    <row r="796" spans="9:38" x14ac:dyDescent="0.2">
      <c r="I796" s="4">
        <v>789</v>
      </c>
      <c r="R796" s="19"/>
      <c r="S796" s="23"/>
      <c r="U796" s="23"/>
      <c r="AA796" s="18"/>
      <c r="AF796" s="23"/>
      <c r="AL796" s="18"/>
    </row>
    <row r="797" spans="9:38" x14ac:dyDescent="0.2">
      <c r="I797" s="4">
        <v>790</v>
      </c>
      <c r="R797" s="19"/>
      <c r="S797" s="23"/>
      <c r="U797" s="23"/>
      <c r="AA797" s="18"/>
      <c r="AF797" s="23"/>
      <c r="AL797" s="18"/>
    </row>
    <row r="798" spans="9:38" x14ac:dyDescent="0.2">
      <c r="I798" s="4">
        <v>791</v>
      </c>
      <c r="R798" s="19"/>
      <c r="S798" s="23"/>
      <c r="U798" s="23"/>
      <c r="AA798" s="18"/>
      <c r="AF798" s="23"/>
      <c r="AL798" s="18"/>
    </row>
    <row r="799" spans="9:38" x14ac:dyDescent="0.2">
      <c r="I799" s="4">
        <v>792</v>
      </c>
      <c r="R799" s="19"/>
      <c r="S799" s="23"/>
      <c r="U799" s="23"/>
      <c r="AA799" s="18"/>
      <c r="AF799" s="23"/>
      <c r="AL799" s="18"/>
    </row>
    <row r="800" spans="9:38" x14ac:dyDescent="0.2">
      <c r="I800" s="4">
        <v>793</v>
      </c>
      <c r="R800" s="19"/>
      <c r="S800" s="23"/>
      <c r="U800" s="23"/>
      <c r="AA800" s="18"/>
      <c r="AF800" s="23"/>
      <c r="AL800" s="18"/>
    </row>
    <row r="801" spans="9:38" x14ac:dyDescent="0.2">
      <c r="I801" s="4">
        <v>794</v>
      </c>
      <c r="R801" s="19"/>
      <c r="S801" s="23"/>
      <c r="U801" s="23"/>
      <c r="AA801" s="18"/>
      <c r="AF801" s="23"/>
      <c r="AL801" s="18"/>
    </row>
    <row r="802" spans="9:38" x14ac:dyDescent="0.2">
      <c r="I802" s="4">
        <v>795</v>
      </c>
      <c r="R802" s="19"/>
      <c r="S802" s="23"/>
      <c r="U802" s="23"/>
      <c r="AA802" s="18"/>
      <c r="AF802" s="23"/>
      <c r="AL802" s="18"/>
    </row>
    <row r="803" spans="9:38" x14ac:dyDescent="0.2">
      <c r="I803" s="4">
        <v>796</v>
      </c>
      <c r="R803" s="19"/>
      <c r="S803" s="23"/>
      <c r="U803" s="23"/>
      <c r="AA803" s="18"/>
      <c r="AF803" s="23"/>
      <c r="AL803" s="18"/>
    </row>
    <row r="804" spans="9:38" x14ac:dyDescent="0.2">
      <c r="I804" s="4">
        <v>797</v>
      </c>
      <c r="R804" s="19"/>
      <c r="S804" s="23"/>
      <c r="U804" s="23"/>
      <c r="AA804" s="18"/>
      <c r="AF804" s="23"/>
      <c r="AL804" s="18"/>
    </row>
    <row r="805" spans="9:38" x14ac:dyDescent="0.2">
      <c r="I805" s="4">
        <v>798</v>
      </c>
      <c r="R805" s="19"/>
      <c r="S805" s="23"/>
      <c r="U805" s="23"/>
      <c r="AA805" s="18"/>
      <c r="AF805" s="23"/>
      <c r="AL805" s="18"/>
    </row>
    <row r="806" spans="9:38" x14ac:dyDescent="0.2">
      <c r="I806" s="4">
        <v>799</v>
      </c>
      <c r="R806" s="19"/>
      <c r="S806" s="23"/>
      <c r="U806" s="23"/>
      <c r="AA806" s="18"/>
      <c r="AF806" s="23"/>
      <c r="AL806" s="18"/>
    </row>
    <row r="807" spans="9:38" x14ac:dyDescent="0.2">
      <c r="I807" s="4">
        <v>800</v>
      </c>
      <c r="R807" s="19"/>
      <c r="S807" s="23"/>
      <c r="U807" s="23"/>
      <c r="AA807" s="18"/>
      <c r="AF807" s="23"/>
      <c r="AL807" s="18"/>
    </row>
    <row r="808" spans="9:38" x14ac:dyDescent="0.2">
      <c r="I808" s="4">
        <v>801</v>
      </c>
      <c r="R808" s="19"/>
      <c r="S808" s="23"/>
      <c r="U808" s="23"/>
      <c r="AA808" s="18"/>
      <c r="AF808" s="23"/>
      <c r="AL808" s="18"/>
    </row>
    <row r="809" spans="9:38" x14ac:dyDescent="0.2">
      <c r="I809" s="4">
        <v>802</v>
      </c>
      <c r="R809" s="19"/>
      <c r="S809" s="23"/>
      <c r="U809" s="23"/>
      <c r="AA809" s="18"/>
      <c r="AF809" s="23"/>
      <c r="AL809" s="18"/>
    </row>
    <row r="810" spans="9:38" x14ac:dyDescent="0.2">
      <c r="I810" s="4">
        <v>803</v>
      </c>
      <c r="R810" s="19"/>
      <c r="S810" s="23"/>
      <c r="U810" s="23"/>
      <c r="AA810" s="18"/>
      <c r="AF810" s="23"/>
      <c r="AL810" s="18"/>
    </row>
    <row r="811" spans="9:38" x14ac:dyDescent="0.2">
      <c r="I811" s="4">
        <v>804</v>
      </c>
      <c r="R811" s="19"/>
      <c r="S811" s="23"/>
      <c r="U811" s="23"/>
      <c r="AA811" s="18"/>
      <c r="AF811" s="23"/>
      <c r="AL811" s="18"/>
    </row>
    <row r="812" spans="9:38" x14ac:dyDescent="0.2">
      <c r="I812" s="4">
        <v>805</v>
      </c>
      <c r="R812" s="19"/>
      <c r="S812" s="23"/>
      <c r="U812" s="23"/>
      <c r="AA812" s="18"/>
      <c r="AF812" s="23"/>
      <c r="AL812" s="18"/>
    </row>
    <row r="813" spans="9:38" x14ac:dyDescent="0.2">
      <c r="I813" s="4">
        <v>806</v>
      </c>
      <c r="R813" s="19"/>
      <c r="S813" s="23"/>
      <c r="U813" s="23"/>
      <c r="AA813" s="18"/>
      <c r="AF813" s="23"/>
      <c r="AL813" s="18"/>
    </row>
    <row r="814" spans="9:38" x14ac:dyDescent="0.2">
      <c r="I814" s="4">
        <v>807</v>
      </c>
      <c r="R814" s="19"/>
      <c r="S814" s="23"/>
      <c r="U814" s="23"/>
      <c r="AA814" s="18"/>
      <c r="AF814" s="23"/>
      <c r="AL814" s="18"/>
    </row>
    <row r="815" spans="9:38" x14ac:dyDescent="0.2">
      <c r="I815" s="4">
        <v>808</v>
      </c>
      <c r="R815" s="19"/>
      <c r="S815" s="23"/>
      <c r="U815" s="23"/>
      <c r="AA815" s="18"/>
      <c r="AF815" s="23"/>
      <c r="AL815" s="18"/>
    </row>
    <row r="816" spans="9:38" x14ac:dyDescent="0.2">
      <c r="I816" s="4">
        <v>809</v>
      </c>
      <c r="R816" s="19"/>
      <c r="S816" s="23"/>
      <c r="U816" s="23"/>
      <c r="AA816" s="18"/>
      <c r="AF816" s="23"/>
      <c r="AL816" s="18"/>
    </row>
    <row r="817" spans="9:38" x14ac:dyDescent="0.2">
      <c r="I817" s="4">
        <v>810</v>
      </c>
      <c r="R817" s="19"/>
      <c r="S817" s="23"/>
      <c r="U817" s="23"/>
      <c r="AA817" s="18"/>
      <c r="AF817" s="23"/>
      <c r="AL817" s="18"/>
    </row>
    <row r="818" spans="9:38" x14ac:dyDescent="0.2">
      <c r="I818" s="4">
        <v>811</v>
      </c>
      <c r="R818" s="19"/>
      <c r="S818" s="23"/>
      <c r="U818" s="23"/>
      <c r="AA818" s="18"/>
      <c r="AF818" s="23"/>
      <c r="AL818" s="18"/>
    </row>
    <row r="819" spans="9:38" x14ac:dyDescent="0.2">
      <c r="I819" s="4">
        <v>812</v>
      </c>
      <c r="R819" s="19"/>
      <c r="S819" s="23"/>
      <c r="U819" s="23"/>
      <c r="AA819" s="18"/>
      <c r="AF819" s="23"/>
      <c r="AL819" s="18"/>
    </row>
    <row r="820" spans="9:38" x14ac:dyDescent="0.2">
      <c r="I820" s="4">
        <v>813</v>
      </c>
      <c r="R820" s="19"/>
      <c r="S820" s="23"/>
      <c r="U820" s="23"/>
      <c r="AA820" s="18"/>
      <c r="AF820" s="23"/>
      <c r="AL820" s="18"/>
    </row>
    <row r="821" spans="9:38" x14ac:dyDescent="0.2">
      <c r="I821" s="4">
        <v>814</v>
      </c>
      <c r="R821" s="19"/>
      <c r="S821" s="23"/>
      <c r="U821" s="23"/>
      <c r="AA821" s="18"/>
      <c r="AF821" s="23"/>
      <c r="AL821" s="18"/>
    </row>
    <row r="822" spans="9:38" x14ac:dyDescent="0.2">
      <c r="I822" s="4">
        <v>815</v>
      </c>
      <c r="R822" s="19"/>
      <c r="S822" s="23"/>
      <c r="U822" s="23"/>
      <c r="AA822" s="18"/>
      <c r="AF822" s="23"/>
      <c r="AL822" s="18"/>
    </row>
    <row r="823" spans="9:38" x14ac:dyDescent="0.2">
      <c r="I823" s="4">
        <v>816</v>
      </c>
      <c r="R823" s="19"/>
      <c r="S823" s="23"/>
      <c r="U823" s="23"/>
      <c r="AA823" s="18"/>
      <c r="AF823" s="23"/>
      <c r="AL823" s="18"/>
    </row>
    <row r="824" spans="9:38" x14ac:dyDescent="0.2">
      <c r="I824" s="4">
        <v>817</v>
      </c>
      <c r="R824" s="19"/>
      <c r="S824" s="23"/>
      <c r="U824" s="23"/>
      <c r="AA824" s="18"/>
      <c r="AF824" s="23"/>
      <c r="AL824" s="18"/>
    </row>
    <row r="825" spans="9:38" x14ac:dyDescent="0.2">
      <c r="I825" s="4">
        <v>818</v>
      </c>
      <c r="R825" s="19"/>
      <c r="S825" s="23"/>
      <c r="U825" s="23"/>
      <c r="AA825" s="18"/>
      <c r="AF825" s="23"/>
      <c r="AL825" s="18"/>
    </row>
    <row r="826" spans="9:38" x14ac:dyDescent="0.2">
      <c r="I826" s="4">
        <v>819</v>
      </c>
      <c r="R826" s="19"/>
      <c r="S826" s="23"/>
      <c r="U826" s="23"/>
      <c r="AA826" s="18"/>
      <c r="AF826" s="23"/>
      <c r="AL826" s="18"/>
    </row>
    <row r="827" spans="9:38" x14ac:dyDescent="0.2">
      <c r="I827" s="4">
        <v>820</v>
      </c>
      <c r="R827" s="19"/>
      <c r="S827" s="23"/>
      <c r="U827" s="23"/>
      <c r="AA827" s="18"/>
      <c r="AF827" s="23"/>
      <c r="AL827" s="18"/>
    </row>
    <row r="828" spans="9:38" x14ac:dyDescent="0.2">
      <c r="I828" s="4">
        <v>821</v>
      </c>
      <c r="R828" s="19"/>
      <c r="S828" s="23"/>
      <c r="U828" s="23"/>
      <c r="AA828" s="18"/>
      <c r="AF828" s="23"/>
      <c r="AL828" s="18"/>
    </row>
    <row r="829" spans="9:38" x14ac:dyDescent="0.2">
      <c r="I829" s="4">
        <v>822</v>
      </c>
      <c r="R829" s="19"/>
      <c r="S829" s="23"/>
      <c r="U829" s="23"/>
      <c r="AA829" s="18"/>
      <c r="AF829" s="23"/>
      <c r="AL829" s="18"/>
    </row>
    <row r="830" spans="9:38" x14ac:dyDescent="0.2">
      <c r="I830" s="4">
        <v>823</v>
      </c>
      <c r="R830" s="19"/>
      <c r="S830" s="23"/>
      <c r="U830" s="23"/>
      <c r="AA830" s="18"/>
      <c r="AF830" s="23"/>
      <c r="AL830" s="18"/>
    </row>
    <row r="831" spans="9:38" x14ac:dyDescent="0.2">
      <c r="I831" s="4">
        <v>824</v>
      </c>
      <c r="R831" s="19"/>
      <c r="S831" s="23"/>
      <c r="U831" s="23"/>
      <c r="AA831" s="18"/>
      <c r="AF831" s="23"/>
      <c r="AL831" s="18"/>
    </row>
    <row r="832" spans="9:38" x14ac:dyDescent="0.2">
      <c r="I832" s="4">
        <v>825</v>
      </c>
      <c r="R832" s="19"/>
      <c r="S832" s="23"/>
      <c r="U832" s="23"/>
      <c r="AA832" s="18"/>
      <c r="AF832" s="23"/>
      <c r="AL832" s="18"/>
    </row>
    <row r="833" spans="9:38" x14ac:dyDescent="0.2">
      <c r="I833" s="4">
        <v>826</v>
      </c>
      <c r="R833" s="19"/>
      <c r="S833" s="23"/>
      <c r="U833" s="23"/>
      <c r="AA833" s="18"/>
      <c r="AF833" s="23"/>
      <c r="AL833" s="18"/>
    </row>
    <row r="834" spans="9:38" x14ac:dyDescent="0.2">
      <c r="I834" s="4">
        <v>827</v>
      </c>
      <c r="R834" s="19"/>
      <c r="S834" s="23"/>
      <c r="U834" s="23"/>
      <c r="AA834" s="18"/>
      <c r="AF834" s="23"/>
      <c r="AL834" s="18"/>
    </row>
    <row r="835" spans="9:38" x14ac:dyDescent="0.2">
      <c r="I835" s="4">
        <v>828</v>
      </c>
      <c r="R835" s="19"/>
      <c r="S835" s="23"/>
      <c r="U835" s="23"/>
      <c r="AA835" s="18"/>
      <c r="AF835" s="23"/>
      <c r="AL835" s="18"/>
    </row>
    <row r="836" spans="9:38" x14ac:dyDescent="0.2">
      <c r="I836" s="4">
        <v>829</v>
      </c>
      <c r="R836" s="19"/>
      <c r="S836" s="23"/>
      <c r="U836" s="23"/>
      <c r="AA836" s="18"/>
      <c r="AF836" s="23"/>
      <c r="AL836" s="18"/>
    </row>
    <row r="837" spans="9:38" x14ac:dyDescent="0.2">
      <c r="I837" s="4">
        <v>830</v>
      </c>
      <c r="R837" s="19"/>
      <c r="S837" s="23"/>
      <c r="U837" s="23"/>
      <c r="AA837" s="18"/>
      <c r="AF837" s="23"/>
      <c r="AL837" s="18"/>
    </row>
    <row r="838" spans="9:38" x14ac:dyDescent="0.2">
      <c r="I838" s="4">
        <v>831</v>
      </c>
      <c r="R838" s="19"/>
      <c r="S838" s="23"/>
      <c r="U838" s="23"/>
      <c r="AA838" s="18"/>
      <c r="AF838" s="23"/>
      <c r="AL838" s="18"/>
    </row>
    <row r="839" spans="9:38" x14ac:dyDescent="0.2">
      <c r="I839" s="4">
        <v>832</v>
      </c>
      <c r="R839" s="19"/>
      <c r="S839" s="23"/>
      <c r="U839" s="23"/>
      <c r="AA839" s="18"/>
      <c r="AF839" s="23"/>
      <c r="AL839" s="18"/>
    </row>
    <row r="840" spans="9:38" x14ac:dyDescent="0.2">
      <c r="I840" s="4">
        <v>833</v>
      </c>
      <c r="R840" s="19"/>
      <c r="S840" s="23"/>
      <c r="U840" s="23"/>
      <c r="AA840" s="18"/>
      <c r="AF840" s="23"/>
      <c r="AL840" s="18"/>
    </row>
    <row r="841" spans="9:38" x14ac:dyDescent="0.2">
      <c r="I841" s="4">
        <v>834</v>
      </c>
      <c r="R841" s="19"/>
      <c r="S841" s="23"/>
      <c r="U841" s="23"/>
      <c r="AA841" s="18"/>
      <c r="AF841" s="23"/>
      <c r="AL841" s="18"/>
    </row>
    <row r="842" spans="9:38" x14ac:dyDescent="0.2">
      <c r="I842" s="4">
        <v>835</v>
      </c>
      <c r="R842" s="19"/>
      <c r="S842" s="23"/>
      <c r="U842" s="23"/>
      <c r="AA842" s="18"/>
      <c r="AF842" s="23"/>
      <c r="AL842" s="18"/>
    </row>
    <row r="843" spans="9:38" x14ac:dyDescent="0.2">
      <c r="I843" s="4">
        <v>836</v>
      </c>
      <c r="R843" s="19"/>
      <c r="S843" s="23"/>
      <c r="U843" s="23"/>
      <c r="AA843" s="18"/>
      <c r="AF843" s="23"/>
      <c r="AL843" s="18"/>
    </row>
    <row r="844" spans="9:38" x14ac:dyDescent="0.2">
      <c r="I844" s="4">
        <v>837</v>
      </c>
      <c r="R844" s="19"/>
      <c r="S844" s="23"/>
      <c r="U844" s="23"/>
      <c r="AA844" s="18"/>
      <c r="AF844" s="23"/>
      <c r="AL844" s="18"/>
    </row>
    <row r="845" spans="9:38" x14ac:dyDescent="0.2">
      <c r="I845" s="4">
        <v>838</v>
      </c>
      <c r="R845" s="19"/>
      <c r="S845" s="23"/>
      <c r="U845" s="23"/>
      <c r="AA845" s="18"/>
      <c r="AF845" s="23"/>
      <c r="AL845" s="18"/>
    </row>
    <row r="846" spans="9:38" x14ac:dyDescent="0.2">
      <c r="I846" s="4">
        <v>839</v>
      </c>
      <c r="R846" s="19"/>
      <c r="S846" s="23"/>
      <c r="U846" s="23"/>
      <c r="AA846" s="18"/>
      <c r="AF846" s="23"/>
      <c r="AL846" s="18"/>
    </row>
    <row r="847" spans="9:38" x14ac:dyDescent="0.2">
      <c r="I847" s="4">
        <v>840</v>
      </c>
      <c r="R847" s="19"/>
      <c r="S847" s="23"/>
      <c r="U847" s="23"/>
      <c r="AA847" s="18"/>
      <c r="AF847" s="23"/>
      <c r="AL847" s="18"/>
    </row>
    <row r="848" spans="9:38" x14ac:dyDescent="0.2">
      <c r="I848" s="4">
        <v>841</v>
      </c>
      <c r="R848" s="19"/>
      <c r="S848" s="23"/>
      <c r="U848" s="23"/>
      <c r="AA848" s="18"/>
      <c r="AF848" s="23"/>
      <c r="AL848" s="18"/>
    </row>
    <row r="849" spans="9:38" x14ac:dyDescent="0.2">
      <c r="I849" s="4">
        <v>842</v>
      </c>
      <c r="R849" s="19"/>
      <c r="S849" s="23"/>
      <c r="U849" s="23"/>
      <c r="AA849" s="18"/>
      <c r="AF849" s="23"/>
      <c r="AL849" s="18"/>
    </row>
    <row r="850" spans="9:38" x14ac:dyDescent="0.2">
      <c r="I850" s="4">
        <v>843</v>
      </c>
      <c r="R850" s="19"/>
      <c r="S850" s="23"/>
      <c r="U850" s="23"/>
      <c r="AA850" s="18"/>
      <c r="AF850" s="23"/>
      <c r="AL850" s="18"/>
    </row>
    <row r="851" spans="9:38" x14ac:dyDescent="0.2">
      <c r="I851" s="4">
        <v>844</v>
      </c>
      <c r="R851" s="19"/>
      <c r="S851" s="23"/>
      <c r="U851" s="23"/>
      <c r="AA851" s="18"/>
      <c r="AF851" s="23"/>
      <c r="AL851" s="18"/>
    </row>
    <row r="852" spans="9:38" x14ac:dyDescent="0.2">
      <c r="I852" s="4">
        <v>845</v>
      </c>
      <c r="R852" s="19"/>
      <c r="S852" s="23"/>
      <c r="U852" s="23"/>
      <c r="AA852" s="18"/>
      <c r="AF852" s="23"/>
      <c r="AL852" s="18"/>
    </row>
    <row r="853" spans="9:38" x14ac:dyDescent="0.2">
      <c r="I853" s="4">
        <v>846</v>
      </c>
      <c r="R853" s="19"/>
      <c r="S853" s="23"/>
      <c r="U853" s="23"/>
      <c r="AA853" s="18"/>
      <c r="AF853" s="23"/>
      <c r="AL853" s="18"/>
    </row>
    <row r="854" spans="9:38" x14ac:dyDescent="0.2">
      <c r="I854" s="4">
        <v>847</v>
      </c>
      <c r="R854" s="19"/>
      <c r="S854" s="23"/>
      <c r="U854" s="23"/>
      <c r="AA854" s="18"/>
      <c r="AF854" s="23"/>
      <c r="AL854" s="18"/>
    </row>
    <row r="855" spans="9:38" x14ac:dyDescent="0.2">
      <c r="I855" s="4">
        <v>848</v>
      </c>
      <c r="R855" s="19"/>
      <c r="S855" s="23"/>
      <c r="U855" s="23"/>
      <c r="AA855" s="18"/>
      <c r="AF855" s="23"/>
      <c r="AL855" s="18"/>
    </row>
    <row r="856" spans="9:38" x14ac:dyDescent="0.2">
      <c r="I856" s="4">
        <v>849</v>
      </c>
      <c r="R856" s="19"/>
      <c r="S856" s="23"/>
      <c r="U856" s="23"/>
      <c r="AA856" s="18"/>
      <c r="AF856" s="23"/>
      <c r="AL856" s="18"/>
    </row>
    <row r="857" spans="9:38" x14ac:dyDescent="0.2">
      <c r="I857" s="4">
        <v>850</v>
      </c>
      <c r="R857" s="19"/>
      <c r="S857" s="23"/>
      <c r="U857" s="23"/>
      <c r="AA857" s="18"/>
      <c r="AF857" s="23"/>
      <c r="AL857" s="18"/>
    </row>
    <row r="858" spans="9:38" x14ac:dyDescent="0.2">
      <c r="I858" s="4">
        <v>851</v>
      </c>
      <c r="R858" s="19"/>
      <c r="S858" s="23"/>
      <c r="U858" s="23"/>
      <c r="AA858" s="18"/>
      <c r="AF858" s="23"/>
      <c r="AL858" s="18"/>
    </row>
    <row r="859" spans="9:38" x14ac:dyDescent="0.2">
      <c r="I859" s="4">
        <v>852</v>
      </c>
      <c r="R859" s="19"/>
      <c r="S859" s="23"/>
      <c r="U859" s="23"/>
      <c r="AA859" s="18"/>
      <c r="AF859" s="23"/>
      <c r="AL859" s="18"/>
    </row>
    <row r="860" spans="9:38" x14ac:dyDescent="0.2">
      <c r="I860" s="4">
        <v>853</v>
      </c>
      <c r="R860" s="19"/>
      <c r="S860" s="23"/>
      <c r="U860" s="23"/>
      <c r="AA860" s="18"/>
      <c r="AF860" s="23"/>
      <c r="AL860" s="18"/>
    </row>
    <row r="861" spans="9:38" x14ac:dyDescent="0.2">
      <c r="I861" s="4">
        <v>854</v>
      </c>
      <c r="R861" s="19"/>
      <c r="S861" s="23"/>
      <c r="U861" s="23"/>
      <c r="AA861" s="18"/>
      <c r="AF861" s="23"/>
      <c r="AL861" s="18"/>
    </row>
    <row r="862" spans="9:38" x14ac:dyDescent="0.2">
      <c r="I862" s="4">
        <v>855</v>
      </c>
      <c r="R862" s="19"/>
      <c r="S862" s="23"/>
      <c r="U862" s="23"/>
      <c r="AA862" s="18"/>
      <c r="AF862" s="23"/>
      <c r="AL862" s="18"/>
    </row>
    <row r="863" spans="9:38" x14ac:dyDescent="0.2">
      <c r="I863" s="4">
        <v>856</v>
      </c>
      <c r="R863" s="19"/>
      <c r="S863" s="23"/>
      <c r="U863" s="23"/>
      <c r="AA863" s="18"/>
      <c r="AF863" s="23"/>
      <c r="AL863" s="18"/>
    </row>
    <row r="864" spans="9:38" x14ac:dyDescent="0.2">
      <c r="I864" s="4">
        <v>857</v>
      </c>
      <c r="R864" s="19"/>
      <c r="S864" s="23"/>
      <c r="U864" s="23"/>
      <c r="AA864" s="18"/>
      <c r="AF864" s="23"/>
      <c r="AL864" s="18"/>
    </row>
    <row r="865" spans="9:38" x14ac:dyDescent="0.2">
      <c r="I865" s="4">
        <v>858</v>
      </c>
      <c r="R865" s="19"/>
      <c r="S865" s="23"/>
      <c r="U865" s="23"/>
      <c r="AA865" s="18"/>
      <c r="AF865" s="23"/>
      <c r="AL865" s="18"/>
    </row>
    <row r="866" spans="9:38" x14ac:dyDescent="0.2">
      <c r="I866" s="4">
        <v>859</v>
      </c>
      <c r="R866" s="19"/>
      <c r="S866" s="23"/>
      <c r="U866" s="23"/>
      <c r="AA866" s="18"/>
      <c r="AF866" s="23"/>
      <c r="AL866" s="18"/>
    </row>
    <row r="867" spans="9:38" x14ac:dyDescent="0.2">
      <c r="I867" s="4">
        <v>860</v>
      </c>
      <c r="R867" s="19"/>
      <c r="S867" s="23"/>
      <c r="U867" s="23"/>
      <c r="AA867" s="18"/>
      <c r="AF867" s="23"/>
      <c r="AL867" s="18"/>
    </row>
    <row r="868" spans="9:38" x14ac:dyDescent="0.2">
      <c r="I868" s="4">
        <v>861</v>
      </c>
      <c r="R868" s="19"/>
      <c r="S868" s="23"/>
      <c r="U868" s="23"/>
      <c r="AA868" s="18"/>
      <c r="AF868" s="23"/>
      <c r="AL868" s="18"/>
    </row>
    <row r="869" spans="9:38" x14ac:dyDescent="0.2">
      <c r="I869" s="4">
        <v>862</v>
      </c>
      <c r="R869" s="19"/>
      <c r="S869" s="23"/>
      <c r="U869" s="23"/>
      <c r="AA869" s="18"/>
      <c r="AF869" s="23"/>
      <c r="AL869" s="18"/>
    </row>
    <row r="870" spans="9:38" x14ac:dyDescent="0.2">
      <c r="I870" s="4">
        <v>863</v>
      </c>
      <c r="R870" s="19"/>
      <c r="S870" s="23"/>
      <c r="U870" s="23"/>
      <c r="AA870" s="18"/>
      <c r="AF870" s="23"/>
      <c r="AL870" s="18"/>
    </row>
    <row r="871" spans="9:38" x14ac:dyDescent="0.2">
      <c r="I871" s="4">
        <v>864</v>
      </c>
      <c r="R871" s="19"/>
      <c r="S871" s="23"/>
      <c r="U871" s="23"/>
      <c r="AA871" s="18"/>
      <c r="AF871" s="23"/>
      <c r="AL871" s="18"/>
    </row>
    <row r="872" spans="9:38" x14ac:dyDescent="0.2">
      <c r="I872" s="4">
        <v>865</v>
      </c>
      <c r="R872" s="19"/>
      <c r="S872" s="23"/>
      <c r="U872" s="23"/>
      <c r="AA872" s="18"/>
      <c r="AF872" s="23"/>
      <c r="AL872" s="18"/>
    </row>
    <row r="873" spans="9:38" x14ac:dyDescent="0.2">
      <c r="I873" s="4">
        <v>866</v>
      </c>
      <c r="R873" s="19"/>
      <c r="S873" s="23"/>
      <c r="U873" s="23"/>
      <c r="AA873" s="18"/>
      <c r="AF873" s="23"/>
      <c r="AL873" s="18"/>
    </row>
    <row r="874" spans="9:38" x14ac:dyDescent="0.2">
      <c r="I874" s="4">
        <v>867</v>
      </c>
      <c r="R874" s="19"/>
      <c r="S874" s="23"/>
      <c r="U874" s="23"/>
      <c r="AA874" s="18"/>
      <c r="AF874" s="23"/>
      <c r="AL874" s="18"/>
    </row>
    <row r="875" spans="9:38" x14ac:dyDescent="0.2">
      <c r="I875" s="4">
        <v>868</v>
      </c>
      <c r="R875" s="19"/>
      <c r="S875" s="23"/>
      <c r="U875" s="23"/>
      <c r="AA875" s="18"/>
      <c r="AF875" s="23"/>
      <c r="AL875" s="18"/>
    </row>
    <row r="876" spans="9:38" x14ac:dyDescent="0.2">
      <c r="I876" s="4">
        <v>869</v>
      </c>
      <c r="R876" s="19"/>
      <c r="S876" s="23"/>
      <c r="U876" s="23"/>
      <c r="AA876" s="18"/>
      <c r="AF876" s="23"/>
      <c r="AL876" s="18"/>
    </row>
    <row r="877" spans="9:38" x14ac:dyDescent="0.2">
      <c r="I877" s="4">
        <v>870</v>
      </c>
      <c r="R877" s="19"/>
      <c r="S877" s="23"/>
      <c r="U877" s="23"/>
      <c r="AA877" s="18"/>
      <c r="AF877" s="23"/>
      <c r="AL877" s="18"/>
    </row>
    <row r="878" spans="9:38" x14ac:dyDescent="0.2">
      <c r="I878" s="4">
        <v>871</v>
      </c>
      <c r="R878" s="19"/>
      <c r="S878" s="23"/>
      <c r="U878" s="23"/>
      <c r="AA878" s="18"/>
      <c r="AF878" s="23"/>
      <c r="AL878" s="18"/>
    </row>
    <row r="879" spans="9:38" x14ac:dyDescent="0.2">
      <c r="I879" s="4">
        <v>872</v>
      </c>
      <c r="R879" s="19"/>
      <c r="S879" s="23"/>
      <c r="U879" s="23"/>
      <c r="AA879" s="18"/>
      <c r="AF879" s="23"/>
      <c r="AL879" s="18"/>
    </row>
    <row r="880" spans="9:38" x14ac:dyDescent="0.2">
      <c r="I880" s="4">
        <v>873</v>
      </c>
      <c r="R880" s="19"/>
      <c r="S880" s="23"/>
      <c r="U880" s="23"/>
      <c r="AA880" s="18"/>
      <c r="AF880" s="23"/>
      <c r="AL880" s="18"/>
    </row>
    <row r="881" spans="9:38" x14ac:dyDescent="0.2">
      <c r="I881" s="4">
        <v>874</v>
      </c>
      <c r="R881" s="19"/>
      <c r="S881" s="23"/>
      <c r="U881" s="23"/>
      <c r="AA881" s="18"/>
      <c r="AF881" s="23"/>
      <c r="AL881" s="18"/>
    </row>
    <row r="882" spans="9:38" x14ac:dyDescent="0.2">
      <c r="I882" s="4">
        <v>875</v>
      </c>
      <c r="R882" s="19"/>
      <c r="S882" s="23"/>
      <c r="U882" s="23"/>
      <c r="AA882" s="18"/>
      <c r="AF882" s="23"/>
      <c r="AL882" s="18"/>
    </row>
    <row r="883" spans="9:38" x14ac:dyDescent="0.2">
      <c r="I883" s="4">
        <v>876</v>
      </c>
      <c r="R883" s="19"/>
      <c r="S883" s="23"/>
      <c r="U883" s="23"/>
      <c r="AA883" s="18"/>
      <c r="AF883" s="23"/>
      <c r="AL883" s="18"/>
    </row>
    <row r="884" spans="9:38" x14ac:dyDescent="0.2">
      <c r="I884" s="4">
        <v>877</v>
      </c>
      <c r="R884" s="19"/>
      <c r="S884" s="23"/>
      <c r="U884" s="23"/>
      <c r="AA884" s="18"/>
      <c r="AF884" s="23"/>
      <c r="AL884" s="18"/>
    </row>
    <row r="885" spans="9:38" x14ac:dyDescent="0.2">
      <c r="I885" s="4">
        <v>878</v>
      </c>
      <c r="R885" s="19"/>
      <c r="S885" s="23"/>
      <c r="U885" s="23"/>
      <c r="AA885" s="18"/>
      <c r="AF885" s="23"/>
      <c r="AL885" s="18"/>
    </row>
    <row r="886" spans="9:38" x14ac:dyDescent="0.2">
      <c r="I886" s="4">
        <v>879</v>
      </c>
      <c r="R886" s="19"/>
      <c r="S886" s="23"/>
      <c r="U886" s="23"/>
      <c r="AA886" s="18"/>
      <c r="AF886" s="23"/>
      <c r="AL886" s="18"/>
    </row>
    <row r="887" spans="9:38" x14ac:dyDescent="0.2">
      <c r="I887" s="4">
        <v>880</v>
      </c>
      <c r="R887" s="19"/>
      <c r="S887" s="23"/>
      <c r="U887" s="23"/>
      <c r="AA887" s="18"/>
      <c r="AF887" s="23"/>
      <c r="AL887" s="18"/>
    </row>
    <row r="888" spans="9:38" x14ac:dyDescent="0.2">
      <c r="I888" s="4">
        <v>881</v>
      </c>
      <c r="R888" s="19"/>
      <c r="S888" s="23"/>
      <c r="U888" s="23"/>
      <c r="AA888" s="18"/>
      <c r="AF888" s="23"/>
      <c r="AL888" s="18"/>
    </row>
    <row r="889" spans="9:38" x14ac:dyDescent="0.2">
      <c r="I889" s="4">
        <v>882</v>
      </c>
      <c r="R889" s="19"/>
      <c r="S889" s="23"/>
      <c r="U889" s="23"/>
      <c r="AA889" s="18"/>
      <c r="AF889" s="23"/>
      <c r="AL889" s="18"/>
    </row>
    <row r="890" spans="9:38" x14ac:dyDescent="0.2">
      <c r="I890" s="4">
        <v>883</v>
      </c>
      <c r="R890" s="19"/>
      <c r="S890" s="23"/>
      <c r="U890" s="23"/>
      <c r="AA890" s="18"/>
      <c r="AF890" s="23"/>
      <c r="AL890" s="18"/>
    </row>
    <row r="891" spans="9:38" x14ac:dyDescent="0.2">
      <c r="I891" s="4">
        <v>884</v>
      </c>
      <c r="R891" s="19"/>
      <c r="S891" s="23"/>
      <c r="U891" s="23"/>
      <c r="AA891" s="18"/>
      <c r="AF891" s="23"/>
      <c r="AL891" s="18"/>
    </row>
    <row r="892" spans="9:38" x14ac:dyDescent="0.2">
      <c r="I892" s="4">
        <v>885</v>
      </c>
      <c r="R892" s="19"/>
      <c r="S892" s="23"/>
      <c r="U892" s="23"/>
      <c r="AA892" s="18"/>
      <c r="AF892" s="23"/>
      <c r="AL892" s="18"/>
    </row>
    <row r="893" spans="9:38" x14ac:dyDescent="0.2">
      <c r="I893" s="4">
        <v>886</v>
      </c>
      <c r="R893" s="19"/>
      <c r="S893" s="23"/>
      <c r="U893" s="23"/>
      <c r="AA893" s="18"/>
      <c r="AF893" s="23"/>
      <c r="AL893" s="18"/>
    </row>
    <row r="894" spans="9:38" x14ac:dyDescent="0.2">
      <c r="I894" s="4">
        <v>887</v>
      </c>
      <c r="R894" s="19"/>
      <c r="S894" s="23"/>
      <c r="U894" s="23"/>
      <c r="AA894" s="18"/>
      <c r="AF894" s="23"/>
      <c r="AL894" s="18"/>
    </row>
    <row r="895" spans="9:38" x14ac:dyDescent="0.2">
      <c r="I895" s="4">
        <v>888</v>
      </c>
      <c r="R895" s="19"/>
      <c r="S895" s="23"/>
      <c r="U895" s="23"/>
      <c r="AA895" s="18"/>
      <c r="AF895" s="23"/>
      <c r="AL895" s="18"/>
    </row>
    <row r="896" spans="9:38" x14ac:dyDescent="0.2">
      <c r="I896" s="4">
        <v>889</v>
      </c>
      <c r="R896" s="19"/>
      <c r="S896" s="23"/>
      <c r="U896" s="23"/>
      <c r="AA896" s="18"/>
      <c r="AF896" s="23"/>
      <c r="AL896" s="18"/>
    </row>
    <row r="897" spans="9:38" x14ac:dyDescent="0.2">
      <c r="I897" s="4">
        <v>890</v>
      </c>
      <c r="R897" s="19"/>
      <c r="S897" s="23"/>
      <c r="U897" s="23"/>
      <c r="AA897" s="18"/>
      <c r="AF897" s="23"/>
      <c r="AL897" s="18"/>
    </row>
    <row r="898" spans="9:38" x14ac:dyDescent="0.2">
      <c r="I898" s="4">
        <v>891</v>
      </c>
      <c r="R898" s="19"/>
      <c r="S898" s="23"/>
      <c r="U898" s="23"/>
      <c r="AA898" s="18"/>
      <c r="AF898" s="23"/>
      <c r="AL898" s="18"/>
    </row>
    <row r="899" spans="9:38" x14ac:dyDescent="0.2">
      <c r="I899" s="4">
        <v>892</v>
      </c>
      <c r="R899" s="19"/>
      <c r="S899" s="23"/>
      <c r="U899" s="23"/>
      <c r="AA899" s="18"/>
      <c r="AF899" s="23"/>
      <c r="AL899" s="18"/>
    </row>
    <row r="900" spans="9:38" x14ac:dyDescent="0.2">
      <c r="I900" s="4">
        <v>893</v>
      </c>
      <c r="R900" s="19"/>
      <c r="S900" s="23"/>
      <c r="U900" s="23"/>
      <c r="AA900" s="18"/>
      <c r="AF900" s="23"/>
      <c r="AL900" s="18"/>
    </row>
    <row r="901" spans="9:38" x14ac:dyDescent="0.2">
      <c r="I901" s="4">
        <v>894</v>
      </c>
      <c r="R901" s="19"/>
      <c r="S901" s="23"/>
      <c r="U901" s="23"/>
      <c r="AA901" s="18"/>
      <c r="AF901" s="23"/>
      <c r="AL901" s="18"/>
    </row>
    <row r="902" spans="9:38" x14ac:dyDescent="0.2">
      <c r="I902" s="4">
        <v>895</v>
      </c>
      <c r="R902" s="19"/>
      <c r="S902" s="23"/>
      <c r="U902" s="23"/>
      <c r="AA902" s="18"/>
      <c r="AF902" s="23"/>
      <c r="AL902" s="18"/>
    </row>
    <row r="903" spans="9:38" x14ac:dyDescent="0.2">
      <c r="I903" s="4">
        <v>896</v>
      </c>
      <c r="R903" s="19"/>
      <c r="S903" s="23"/>
      <c r="U903" s="23"/>
      <c r="AA903" s="18"/>
      <c r="AF903" s="23"/>
      <c r="AL903" s="18"/>
    </row>
    <row r="904" spans="9:38" x14ac:dyDescent="0.2">
      <c r="I904" s="4">
        <v>897</v>
      </c>
      <c r="R904" s="19"/>
      <c r="S904" s="23"/>
      <c r="U904" s="23"/>
      <c r="AA904" s="18"/>
      <c r="AF904" s="23"/>
      <c r="AL904" s="18"/>
    </row>
    <row r="905" spans="9:38" x14ac:dyDescent="0.2">
      <c r="I905" s="4">
        <v>898</v>
      </c>
      <c r="R905" s="19"/>
      <c r="S905" s="23"/>
      <c r="U905" s="23"/>
      <c r="AA905" s="18"/>
      <c r="AF905" s="23"/>
      <c r="AL905" s="18"/>
    </row>
    <row r="906" spans="9:38" x14ac:dyDescent="0.2">
      <c r="I906" s="4">
        <v>899</v>
      </c>
      <c r="R906" s="19"/>
      <c r="S906" s="23"/>
      <c r="U906" s="23"/>
      <c r="AA906" s="18"/>
      <c r="AF906" s="23"/>
      <c r="AL906" s="18"/>
    </row>
    <row r="907" spans="9:38" x14ac:dyDescent="0.2">
      <c r="I907" s="4">
        <v>900</v>
      </c>
      <c r="R907" s="19"/>
      <c r="S907" s="23"/>
      <c r="U907" s="23"/>
      <c r="AA907" s="18"/>
      <c r="AF907" s="23"/>
      <c r="AL907" s="18"/>
    </row>
    <row r="908" spans="9:38" x14ac:dyDescent="0.2">
      <c r="I908" s="4">
        <v>901</v>
      </c>
      <c r="R908" s="19"/>
      <c r="S908" s="23"/>
      <c r="U908" s="23"/>
      <c r="AA908" s="18"/>
      <c r="AF908" s="23"/>
      <c r="AL908" s="18"/>
    </row>
    <row r="909" spans="9:38" x14ac:dyDescent="0.2">
      <c r="I909" s="4">
        <v>902</v>
      </c>
      <c r="R909" s="19"/>
      <c r="S909" s="23"/>
      <c r="U909" s="23"/>
      <c r="AA909" s="18"/>
      <c r="AF909" s="23"/>
      <c r="AL909" s="18"/>
    </row>
    <row r="910" spans="9:38" x14ac:dyDescent="0.2">
      <c r="I910" s="4">
        <v>903</v>
      </c>
      <c r="R910" s="19"/>
      <c r="S910" s="23"/>
      <c r="U910" s="23"/>
      <c r="AA910" s="18"/>
      <c r="AF910" s="23"/>
      <c r="AL910" s="18"/>
    </row>
    <row r="911" spans="9:38" x14ac:dyDescent="0.2">
      <c r="I911" s="4">
        <v>904</v>
      </c>
      <c r="R911" s="19"/>
      <c r="S911" s="23"/>
      <c r="U911" s="23"/>
      <c r="AA911" s="18"/>
      <c r="AF911" s="23"/>
      <c r="AL911" s="18"/>
    </row>
    <row r="912" spans="9:38" x14ac:dyDescent="0.2">
      <c r="I912" s="4">
        <v>905</v>
      </c>
      <c r="R912" s="19"/>
      <c r="S912" s="23"/>
      <c r="U912" s="23"/>
      <c r="AA912" s="18"/>
      <c r="AF912" s="23"/>
      <c r="AL912" s="18"/>
    </row>
    <row r="913" spans="9:38" x14ac:dyDescent="0.2">
      <c r="I913" s="4">
        <v>906</v>
      </c>
      <c r="R913" s="19"/>
      <c r="S913" s="23"/>
      <c r="U913" s="23"/>
      <c r="AA913" s="18"/>
      <c r="AF913" s="23"/>
      <c r="AL913" s="18"/>
    </row>
    <row r="914" spans="9:38" x14ac:dyDescent="0.2">
      <c r="I914" s="4">
        <v>907</v>
      </c>
      <c r="R914" s="19"/>
      <c r="S914" s="23"/>
      <c r="U914" s="23"/>
      <c r="AA914" s="18"/>
      <c r="AF914" s="23"/>
      <c r="AL914" s="18"/>
    </row>
    <row r="915" spans="9:38" x14ac:dyDescent="0.2">
      <c r="I915" s="4">
        <v>908</v>
      </c>
      <c r="R915" s="19"/>
      <c r="S915" s="23"/>
      <c r="U915" s="23"/>
      <c r="AA915" s="18"/>
      <c r="AF915" s="23"/>
      <c r="AL915" s="18"/>
    </row>
    <row r="916" spans="9:38" x14ac:dyDescent="0.2">
      <c r="I916" s="4">
        <v>909</v>
      </c>
      <c r="R916" s="19"/>
      <c r="S916" s="23"/>
      <c r="U916" s="23"/>
      <c r="AA916" s="18"/>
      <c r="AF916" s="23"/>
      <c r="AL916" s="18"/>
    </row>
    <row r="917" spans="9:38" x14ac:dyDescent="0.2">
      <c r="I917" s="4">
        <v>910</v>
      </c>
      <c r="R917" s="19"/>
      <c r="S917" s="23"/>
      <c r="U917" s="23"/>
      <c r="AA917" s="18"/>
      <c r="AF917" s="23"/>
      <c r="AL917" s="18"/>
    </row>
    <row r="918" spans="9:38" x14ac:dyDescent="0.2">
      <c r="I918" s="4">
        <v>911</v>
      </c>
      <c r="R918" s="19"/>
      <c r="S918" s="23"/>
      <c r="U918" s="23"/>
      <c r="AA918" s="18"/>
      <c r="AF918" s="23"/>
      <c r="AL918" s="18"/>
    </row>
    <row r="919" spans="9:38" x14ac:dyDescent="0.2">
      <c r="I919" s="4">
        <v>912</v>
      </c>
      <c r="R919" s="19"/>
      <c r="S919" s="23"/>
      <c r="U919" s="23"/>
      <c r="AA919" s="18"/>
      <c r="AF919" s="23"/>
      <c r="AL919" s="18"/>
    </row>
    <row r="920" spans="9:38" x14ac:dyDescent="0.2">
      <c r="I920" s="4">
        <v>913</v>
      </c>
      <c r="R920" s="19"/>
      <c r="S920" s="23"/>
      <c r="U920" s="23"/>
      <c r="AA920" s="18"/>
      <c r="AF920" s="23"/>
      <c r="AL920" s="18"/>
    </row>
    <row r="921" spans="9:38" x14ac:dyDescent="0.2">
      <c r="I921" s="4">
        <v>914</v>
      </c>
      <c r="R921" s="19"/>
      <c r="S921" s="23"/>
      <c r="U921" s="23"/>
      <c r="AA921" s="18"/>
      <c r="AF921" s="23"/>
      <c r="AL921" s="18"/>
    </row>
    <row r="922" spans="9:38" x14ac:dyDescent="0.2">
      <c r="I922" s="4">
        <v>915</v>
      </c>
      <c r="R922" s="19"/>
      <c r="S922" s="23"/>
      <c r="U922" s="23"/>
      <c r="AA922" s="18"/>
      <c r="AF922" s="23"/>
      <c r="AL922" s="18"/>
    </row>
    <row r="923" spans="9:38" x14ac:dyDescent="0.2">
      <c r="I923" s="4">
        <v>916</v>
      </c>
      <c r="R923" s="19"/>
      <c r="S923" s="23"/>
      <c r="U923" s="23"/>
      <c r="AA923" s="18"/>
      <c r="AF923" s="23"/>
      <c r="AL923" s="18"/>
    </row>
    <row r="924" spans="9:38" x14ac:dyDescent="0.2">
      <c r="I924" s="4">
        <v>917</v>
      </c>
      <c r="R924" s="19"/>
      <c r="S924" s="23"/>
      <c r="U924" s="23"/>
      <c r="AA924" s="18"/>
      <c r="AF924" s="23"/>
      <c r="AL924" s="18"/>
    </row>
    <row r="925" spans="9:38" x14ac:dyDescent="0.2">
      <c r="I925" s="4">
        <v>918</v>
      </c>
      <c r="R925" s="19"/>
      <c r="S925" s="23"/>
      <c r="U925" s="23"/>
      <c r="AA925" s="18"/>
      <c r="AF925" s="23"/>
      <c r="AL925" s="18"/>
    </row>
    <row r="926" spans="9:38" x14ac:dyDescent="0.2">
      <c r="I926" s="4">
        <v>919</v>
      </c>
      <c r="R926" s="19"/>
      <c r="S926" s="23"/>
      <c r="U926" s="23"/>
      <c r="AA926" s="18"/>
      <c r="AF926" s="23"/>
      <c r="AL926" s="18"/>
    </row>
    <row r="927" spans="9:38" x14ac:dyDescent="0.2">
      <c r="I927" s="4">
        <v>920</v>
      </c>
      <c r="R927" s="19"/>
      <c r="S927" s="23"/>
      <c r="U927" s="23"/>
      <c r="AA927" s="18"/>
      <c r="AF927" s="23"/>
      <c r="AL927" s="18"/>
    </row>
    <row r="928" spans="9:38" x14ac:dyDescent="0.2">
      <c r="I928" s="4">
        <v>921</v>
      </c>
      <c r="R928" s="19"/>
      <c r="S928" s="23"/>
      <c r="U928" s="23"/>
      <c r="AA928" s="18"/>
      <c r="AF928" s="23"/>
      <c r="AL928" s="18"/>
    </row>
    <row r="929" spans="9:38" x14ac:dyDescent="0.2">
      <c r="I929" s="4">
        <v>922</v>
      </c>
      <c r="R929" s="19"/>
      <c r="S929" s="23"/>
      <c r="U929" s="23"/>
      <c r="AA929" s="18"/>
      <c r="AF929" s="23"/>
      <c r="AL929" s="18"/>
    </row>
    <row r="930" spans="9:38" x14ac:dyDescent="0.2">
      <c r="I930" s="4">
        <v>923</v>
      </c>
      <c r="R930" s="19"/>
      <c r="S930" s="23"/>
      <c r="U930" s="23"/>
      <c r="AA930" s="18"/>
      <c r="AF930" s="23"/>
      <c r="AL930" s="18"/>
    </row>
    <row r="931" spans="9:38" x14ac:dyDescent="0.2">
      <c r="I931" s="4">
        <v>924</v>
      </c>
      <c r="R931" s="19"/>
      <c r="S931" s="23"/>
      <c r="U931" s="23"/>
      <c r="AA931" s="18"/>
      <c r="AF931" s="23"/>
      <c r="AL931" s="18"/>
    </row>
    <row r="932" spans="9:38" x14ac:dyDescent="0.2">
      <c r="I932" s="4">
        <v>925</v>
      </c>
      <c r="R932" s="19"/>
      <c r="S932" s="23"/>
      <c r="U932" s="23"/>
      <c r="AA932" s="18"/>
      <c r="AF932" s="23"/>
      <c r="AL932" s="18"/>
    </row>
    <row r="933" spans="9:38" x14ac:dyDescent="0.2">
      <c r="I933" s="4">
        <v>926</v>
      </c>
      <c r="R933" s="19"/>
      <c r="S933" s="23"/>
      <c r="U933" s="23"/>
      <c r="AA933" s="18"/>
      <c r="AF933" s="23"/>
      <c r="AL933" s="18"/>
    </row>
    <row r="934" spans="9:38" x14ac:dyDescent="0.2">
      <c r="I934" s="4">
        <v>927</v>
      </c>
      <c r="R934" s="19"/>
      <c r="S934" s="23"/>
      <c r="U934" s="23"/>
      <c r="AA934" s="18"/>
      <c r="AF934" s="23"/>
      <c r="AL934" s="18"/>
    </row>
    <row r="935" spans="9:38" x14ac:dyDescent="0.2">
      <c r="I935" s="4">
        <v>928</v>
      </c>
      <c r="R935" s="19"/>
      <c r="S935" s="23"/>
      <c r="U935" s="23"/>
      <c r="AA935" s="18"/>
      <c r="AF935" s="23"/>
      <c r="AL935" s="18"/>
    </row>
    <row r="936" spans="9:38" x14ac:dyDescent="0.2">
      <c r="I936" s="4">
        <v>929</v>
      </c>
      <c r="R936" s="19"/>
      <c r="S936" s="23"/>
      <c r="U936" s="23"/>
      <c r="AA936" s="18"/>
      <c r="AF936" s="23"/>
      <c r="AL936" s="18"/>
    </row>
    <row r="937" spans="9:38" x14ac:dyDescent="0.2">
      <c r="I937" s="4">
        <v>930</v>
      </c>
      <c r="R937" s="19"/>
      <c r="S937" s="23"/>
      <c r="U937" s="23"/>
      <c r="AA937" s="18"/>
      <c r="AF937" s="23"/>
      <c r="AL937" s="18"/>
    </row>
    <row r="938" spans="9:38" x14ac:dyDescent="0.2">
      <c r="I938" s="4">
        <v>931</v>
      </c>
      <c r="R938" s="19"/>
      <c r="S938" s="23"/>
      <c r="U938" s="23"/>
      <c r="AA938" s="18"/>
      <c r="AF938" s="23"/>
      <c r="AL938" s="18"/>
    </row>
    <row r="939" spans="9:38" x14ac:dyDescent="0.2">
      <c r="I939" s="4">
        <v>932</v>
      </c>
      <c r="R939" s="19"/>
      <c r="S939" s="23"/>
      <c r="U939" s="23"/>
      <c r="AA939" s="18"/>
      <c r="AF939" s="23"/>
      <c r="AL939" s="18"/>
    </row>
    <row r="940" spans="9:38" x14ac:dyDescent="0.2">
      <c r="I940" s="4">
        <v>933</v>
      </c>
      <c r="R940" s="19"/>
      <c r="S940" s="23"/>
      <c r="U940" s="23"/>
      <c r="AA940" s="18"/>
      <c r="AF940" s="23"/>
      <c r="AL940" s="18"/>
    </row>
    <row r="941" spans="9:38" x14ac:dyDescent="0.2">
      <c r="I941" s="4">
        <v>934</v>
      </c>
      <c r="R941" s="19"/>
      <c r="S941" s="23"/>
      <c r="U941" s="23"/>
      <c r="AA941" s="18"/>
      <c r="AF941" s="23"/>
      <c r="AL941" s="18"/>
    </row>
    <row r="942" spans="9:38" x14ac:dyDescent="0.2">
      <c r="I942" s="4">
        <v>935</v>
      </c>
      <c r="R942" s="19"/>
      <c r="S942" s="23"/>
      <c r="U942" s="23"/>
      <c r="AA942" s="18"/>
      <c r="AF942" s="23"/>
      <c r="AL942" s="18"/>
    </row>
    <row r="943" spans="9:38" x14ac:dyDescent="0.2">
      <c r="I943" s="4">
        <v>936</v>
      </c>
      <c r="R943" s="19"/>
      <c r="S943" s="23"/>
      <c r="U943" s="23"/>
      <c r="AA943" s="18"/>
      <c r="AF943" s="23"/>
      <c r="AL943" s="18"/>
    </row>
    <row r="944" spans="9:38" x14ac:dyDescent="0.2">
      <c r="I944" s="4">
        <v>937</v>
      </c>
      <c r="R944" s="19"/>
      <c r="S944" s="23"/>
      <c r="U944" s="23"/>
      <c r="AA944" s="18"/>
      <c r="AF944" s="23"/>
      <c r="AL944" s="18"/>
    </row>
    <row r="945" spans="9:38" x14ac:dyDescent="0.2">
      <c r="I945" s="4">
        <v>938</v>
      </c>
      <c r="R945" s="19"/>
      <c r="S945" s="23"/>
      <c r="U945" s="23"/>
      <c r="AA945" s="18"/>
      <c r="AF945" s="23"/>
      <c r="AL945" s="18"/>
    </row>
    <row r="946" spans="9:38" x14ac:dyDescent="0.2">
      <c r="I946" s="4">
        <v>939</v>
      </c>
      <c r="R946" s="19"/>
      <c r="S946" s="23"/>
      <c r="U946" s="23"/>
      <c r="AA946" s="18"/>
      <c r="AF946" s="23"/>
      <c r="AL946" s="18"/>
    </row>
    <row r="947" spans="9:38" x14ac:dyDescent="0.2">
      <c r="I947" s="4">
        <v>940</v>
      </c>
      <c r="R947" s="19"/>
      <c r="S947" s="23"/>
      <c r="U947" s="23"/>
      <c r="AA947" s="18"/>
      <c r="AF947" s="23"/>
      <c r="AL947" s="18"/>
    </row>
    <row r="948" spans="9:38" x14ac:dyDescent="0.2">
      <c r="I948" s="4">
        <v>941</v>
      </c>
      <c r="R948" s="19"/>
      <c r="S948" s="23"/>
      <c r="U948" s="23"/>
      <c r="AA948" s="18"/>
      <c r="AF948" s="23"/>
      <c r="AL948" s="18"/>
    </row>
    <row r="949" spans="9:38" x14ac:dyDescent="0.2">
      <c r="I949" s="4">
        <v>942</v>
      </c>
      <c r="R949" s="19"/>
      <c r="S949" s="23"/>
      <c r="U949" s="23"/>
      <c r="AA949" s="18"/>
      <c r="AF949" s="23"/>
      <c r="AL949" s="18"/>
    </row>
    <row r="950" spans="9:38" x14ac:dyDescent="0.2">
      <c r="I950" s="4">
        <v>943</v>
      </c>
      <c r="R950" s="19"/>
      <c r="S950" s="23"/>
      <c r="U950" s="23"/>
      <c r="AA950" s="18"/>
      <c r="AF950" s="23"/>
      <c r="AL950" s="18"/>
    </row>
    <row r="951" spans="9:38" x14ac:dyDescent="0.2">
      <c r="I951" s="4">
        <v>944</v>
      </c>
      <c r="R951" s="19"/>
      <c r="S951" s="23"/>
      <c r="U951" s="23"/>
      <c r="AA951" s="18"/>
      <c r="AF951" s="23"/>
      <c r="AL951" s="18"/>
    </row>
    <row r="952" spans="9:38" x14ac:dyDescent="0.2">
      <c r="I952" s="4">
        <v>945</v>
      </c>
      <c r="R952" s="19"/>
      <c r="S952" s="23"/>
      <c r="U952" s="23"/>
      <c r="AA952" s="18"/>
      <c r="AF952" s="23"/>
      <c r="AL952" s="18"/>
    </row>
    <row r="953" spans="9:38" x14ac:dyDescent="0.2">
      <c r="I953" s="4">
        <v>946</v>
      </c>
      <c r="R953" s="19"/>
      <c r="S953" s="23"/>
      <c r="U953" s="23"/>
      <c r="AA953" s="18"/>
      <c r="AF953" s="23"/>
      <c r="AL953" s="18"/>
    </row>
    <row r="954" spans="9:38" x14ac:dyDescent="0.2">
      <c r="I954" s="4">
        <v>947</v>
      </c>
      <c r="R954" s="19"/>
      <c r="S954" s="23"/>
      <c r="U954" s="23"/>
      <c r="AA954" s="18"/>
      <c r="AF954" s="23"/>
      <c r="AL954" s="18"/>
    </row>
    <row r="955" spans="9:38" x14ac:dyDescent="0.2">
      <c r="I955" s="4">
        <v>948</v>
      </c>
      <c r="R955" s="19"/>
      <c r="S955" s="23"/>
      <c r="U955" s="23"/>
      <c r="AA955" s="18"/>
      <c r="AF955" s="23"/>
      <c r="AL955" s="18"/>
    </row>
    <row r="956" spans="9:38" x14ac:dyDescent="0.2">
      <c r="I956" s="4">
        <v>949</v>
      </c>
      <c r="R956" s="19"/>
      <c r="S956" s="23"/>
      <c r="U956" s="23"/>
      <c r="AA956" s="18"/>
      <c r="AF956" s="23"/>
      <c r="AL956" s="18"/>
    </row>
    <row r="957" spans="9:38" x14ac:dyDescent="0.2">
      <c r="I957" s="4">
        <v>950</v>
      </c>
      <c r="R957" s="19"/>
      <c r="S957" s="23"/>
      <c r="U957" s="23"/>
      <c r="AA957" s="18"/>
      <c r="AF957" s="23"/>
      <c r="AL957" s="18"/>
    </row>
    <row r="958" spans="9:38" x14ac:dyDescent="0.2">
      <c r="I958" s="4">
        <v>951</v>
      </c>
      <c r="R958" s="19"/>
      <c r="S958" s="23"/>
      <c r="U958" s="23"/>
      <c r="AA958" s="18"/>
      <c r="AF958" s="23"/>
      <c r="AL958" s="18"/>
    </row>
    <row r="959" spans="9:38" x14ac:dyDescent="0.2">
      <c r="I959" s="4">
        <v>952</v>
      </c>
      <c r="R959" s="19"/>
      <c r="S959" s="23"/>
      <c r="U959" s="23"/>
      <c r="AA959" s="18"/>
      <c r="AF959" s="23"/>
      <c r="AL959" s="18"/>
    </row>
    <row r="960" spans="9:38" x14ac:dyDescent="0.2">
      <c r="I960" s="4">
        <v>953</v>
      </c>
      <c r="R960" s="19"/>
      <c r="S960" s="23"/>
      <c r="U960" s="23"/>
      <c r="AA960" s="18"/>
      <c r="AF960" s="23"/>
      <c r="AL960" s="18"/>
    </row>
    <row r="961" spans="9:38" x14ac:dyDescent="0.2">
      <c r="I961" s="4">
        <v>954</v>
      </c>
      <c r="R961" s="19"/>
      <c r="S961" s="23"/>
      <c r="U961" s="23"/>
      <c r="AA961" s="18"/>
      <c r="AF961" s="23"/>
      <c r="AL961" s="18"/>
    </row>
    <row r="962" spans="9:38" x14ac:dyDescent="0.2">
      <c r="I962" s="4">
        <v>955</v>
      </c>
      <c r="R962" s="19"/>
      <c r="S962" s="23"/>
      <c r="U962" s="23"/>
      <c r="AA962" s="18"/>
      <c r="AF962" s="23"/>
      <c r="AL962" s="18"/>
    </row>
    <row r="963" spans="9:38" x14ac:dyDescent="0.2">
      <c r="I963" s="4">
        <v>956</v>
      </c>
      <c r="R963" s="19"/>
      <c r="S963" s="23"/>
      <c r="U963" s="23"/>
      <c r="AA963" s="18"/>
      <c r="AF963" s="23"/>
      <c r="AL963" s="18"/>
    </row>
    <row r="964" spans="9:38" x14ac:dyDescent="0.2">
      <c r="I964" s="4">
        <v>957</v>
      </c>
      <c r="R964" s="19"/>
      <c r="S964" s="23"/>
      <c r="U964" s="23"/>
      <c r="AA964" s="18"/>
      <c r="AF964" s="23"/>
      <c r="AL964" s="18"/>
    </row>
    <row r="965" spans="9:38" x14ac:dyDescent="0.2">
      <c r="I965" s="4">
        <v>958</v>
      </c>
      <c r="R965" s="19"/>
      <c r="S965" s="23"/>
      <c r="U965" s="23"/>
      <c r="AA965" s="18"/>
      <c r="AF965" s="23"/>
      <c r="AL965" s="18"/>
    </row>
    <row r="966" spans="9:38" x14ac:dyDescent="0.2">
      <c r="I966" s="4">
        <v>959</v>
      </c>
      <c r="R966" s="19"/>
      <c r="S966" s="23"/>
      <c r="U966" s="23"/>
      <c r="AA966" s="18"/>
      <c r="AF966" s="23"/>
      <c r="AL966" s="18"/>
    </row>
    <row r="967" spans="9:38" x14ac:dyDescent="0.2">
      <c r="I967" s="4">
        <v>960</v>
      </c>
      <c r="R967" s="19"/>
      <c r="S967" s="23"/>
      <c r="U967" s="23"/>
      <c r="AA967" s="18"/>
      <c r="AF967" s="23"/>
      <c r="AL967" s="18"/>
    </row>
    <row r="968" spans="9:38" x14ac:dyDescent="0.2">
      <c r="I968" s="4">
        <v>961</v>
      </c>
      <c r="R968" s="19"/>
      <c r="S968" s="23"/>
      <c r="U968" s="23"/>
      <c r="AA968" s="18"/>
      <c r="AF968" s="23"/>
      <c r="AL968" s="18"/>
    </row>
    <row r="969" spans="9:38" x14ac:dyDescent="0.2">
      <c r="I969" s="4">
        <v>962</v>
      </c>
      <c r="R969" s="19"/>
      <c r="S969" s="23"/>
      <c r="U969" s="23"/>
      <c r="AA969" s="18"/>
      <c r="AF969" s="23"/>
      <c r="AL969" s="18"/>
    </row>
    <row r="970" spans="9:38" x14ac:dyDescent="0.2">
      <c r="I970" s="4">
        <v>963</v>
      </c>
      <c r="R970" s="19"/>
      <c r="S970" s="23"/>
      <c r="U970" s="23"/>
      <c r="AA970" s="18"/>
      <c r="AF970" s="23"/>
      <c r="AL970" s="18"/>
    </row>
    <row r="971" spans="9:38" x14ac:dyDescent="0.2">
      <c r="I971" s="4">
        <v>964</v>
      </c>
      <c r="R971" s="19"/>
      <c r="S971" s="23"/>
      <c r="U971" s="23"/>
      <c r="AA971" s="18"/>
      <c r="AF971" s="23"/>
      <c r="AL971" s="18"/>
    </row>
    <row r="972" spans="9:38" x14ac:dyDescent="0.2">
      <c r="I972" s="4">
        <v>965</v>
      </c>
      <c r="R972" s="19"/>
      <c r="S972" s="23"/>
      <c r="U972" s="23"/>
      <c r="AA972" s="18"/>
      <c r="AF972" s="23"/>
      <c r="AL972" s="18"/>
    </row>
    <row r="973" spans="9:38" x14ac:dyDescent="0.2">
      <c r="I973" s="4">
        <v>966</v>
      </c>
      <c r="R973" s="19"/>
      <c r="S973" s="23"/>
      <c r="U973" s="23"/>
      <c r="AA973" s="18"/>
      <c r="AF973" s="23"/>
      <c r="AL973" s="18"/>
    </row>
    <row r="974" spans="9:38" x14ac:dyDescent="0.2">
      <c r="I974" s="4">
        <v>967</v>
      </c>
      <c r="R974" s="19"/>
      <c r="S974" s="23"/>
      <c r="U974" s="23"/>
      <c r="AA974" s="18"/>
      <c r="AF974" s="23"/>
      <c r="AL974" s="18"/>
    </row>
    <row r="975" spans="9:38" x14ac:dyDescent="0.2">
      <c r="I975" s="4">
        <v>968</v>
      </c>
      <c r="R975" s="19"/>
      <c r="S975" s="23"/>
      <c r="U975" s="23"/>
      <c r="AA975" s="18"/>
      <c r="AF975" s="23"/>
      <c r="AL975" s="18"/>
    </row>
    <row r="976" spans="9:38" x14ac:dyDescent="0.2">
      <c r="I976" s="4">
        <v>969</v>
      </c>
      <c r="R976" s="19"/>
      <c r="S976" s="23"/>
      <c r="U976" s="23"/>
      <c r="AA976" s="18"/>
      <c r="AF976" s="23"/>
      <c r="AL976" s="18"/>
    </row>
    <row r="977" spans="9:38" x14ac:dyDescent="0.2">
      <c r="I977" s="4">
        <v>970</v>
      </c>
      <c r="R977" s="19"/>
      <c r="S977" s="23"/>
      <c r="U977" s="23"/>
      <c r="AA977" s="18"/>
      <c r="AF977" s="23"/>
      <c r="AL977" s="18"/>
    </row>
    <row r="978" spans="9:38" x14ac:dyDescent="0.2">
      <c r="I978" s="4">
        <v>971</v>
      </c>
      <c r="R978" s="19"/>
      <c r="S978" s="23"/>
      <c r="U978" s="23"/>
      <c r="AA978" s="18"/>
      <c r="AF978" s="23"/>
      <c r="AL978" s="18"/>
    </row>
    <row r="979" spans="9:38" x14ac:dyDescent="0.2">
      <c r="I979" s="4">
        <v>972</v>
      </c>
      <c r="R979" s="19"/>
      <c r="S979" s="23"/>
      <c r="U979" s="23"/>
      <c r="AA979" s="18"/>
      <c r="AF979" s="23"/>
      <c r="AL979" s="18"/>
    </row>
    <row r="980" spans="9:38" x14ac:dyDescent="0.2">
      <c r="I980" s="4">
        <v>973</v>
      </c>
      <c r="R980" s="19"/>
      <c r="S980" s="23"/>
      <c r="U980" s="23"/>
      <c r="AA980" s="18"/>
      <c r="AF980" s="23"/>
      <c r="AL980" s="18"/>
    </row>
    <row r="981" spans="9:38" x14ac:dyDescent="0.2">
      <c r="I981" s="4">
        <v>974</v>
      </c>
      <c r="R981" s="19"/>
      <c r="S981" s="23"/>
      <c r="U981" s="23"/>
      <c r="AA981" s="18"/>
      <c r="AF981" s="23"/>
      <c r="AL981" s="18"/>
    </row>
    <row r="982" spans="9:38" x14ac:dyDescent="0.2">
      <c r="I982" s="4">
        <v>975</v>
      </c>
      <c r="R982" s="19"/>
      <c r="S982" s="23"/>
      <c r="U982" s="23"/>
      <c r="AA982" s="18"/>
      <c r="AF982" s="23"/>
      <c r="AL982" s="18"/>
    </row>
    <row r="983" spans="9:38" x14ac:dyDescent="0.2">
      <c r="I983" s="4">
        <v>976</v>
      </c>
      <c r="R983" s="19"/>
      <c r="S983" s="23"/>
      <c r="U983" s="23"/>
      <c r="AA983" s="18"/>
      <c r="AF983" s="23"/>
      <c r="AL983" s="18"/>
    </row>
    <row r="984" spans="9:38" x14ac:dyDescent="0.2">
      <c r="I984" s="4">
        <v>977</v>
      </c>
      <c r="R984" s="19"/>
      <c r="S984" s="23"/>
      <c r="U984" s="23"/>
      <c r="AA984" s="18"/>
      <c r="AF984" s="23"/>
      <c r="AL984" s="18"/>
    </row>
    <row r="985" spans="9:38" x14ac:dyDescent="0.2">
      <c r="I985" s="4">
        <v>978</v>
      </c>
      <c r="R985" s="19"/>
      <c r="S985" s="23"/>
      <c r="U985" s="23"/>
      <c r="AA985" s="18"/>
      <c r="AF985" s="23"/>
      <c r="AL985" s="18"/>
    </row>
    <row r="986" spans="9:38" x14ac:dyDescent="0.2">
      <c r="I986" s="4">
        <v>979</v>
      </c>
      <c r="R986" s="19"/>
      <c r="S986" s="23"/>
      <c r="U986" s="23"/>
      <c r="AA986" s="18"/>
      <c r="AF986" s="23"/>
      <c r="AL986" s="18"/>
    </row>
    <row r="987" spans="9:38" x14ac:dyDescent="0.2">
      <c r="I987" s="4">
        <v>980</v>
      </c>
      <c r="R987" s="19"/>
      <c r="S987" s="23"/>
      <c r="U987" s="23"/>
      <c r="AA987" s="18"/>
      <c r="AF987" s="23"/>
      <c r="AL987" s="18"/>
    </row>
    <row r="988" spans="9:38" x14ac:dyDescent="0.2">
      <c r="I988" s="4">
        <v>981</v>
      </c>
      <c r="R988" s="19"/>
      <c r="S988" s="23"/>
      <c r="U988" s="23"/>
      <c r="AA988" s="18"/>
      <c r="AF988" s="23"/>
      <c r="AL988" s="18"/>
    </row>
    <row r="989" spans="9:38" x14ac:dyDescent="0.2">
      <c r="I989" s="4">
        <v>982</v>
      </c>
      <c r="R989" s="19"/>
      <c r="S989" s="23"/>
      <c r="U989" s="23"/>
      <c r="AA989" s="18"/>
      <c r="AF989" s="23"/>
      <c r="AL989" s="18"/>
    </row>
    <row r="990" spans="9:38" x14ac:dyDescent="0.2">
      <c r="I990" s="4">
        <v>983</v>
      </c>
      <c r="R990" s="19"/>
      <c r="S990" s="23"/>
      <c r="U990" s="23"/>
      <c r="AA990" s="18"/>
      <c r="AF990" s="23"/>
      <c r="AL990" s="18"/>
    </row>
    <row r="991" spans="9:38" x14ac:dyDescent="0.2">
      <c r="I991" s="4">
        <v>984</v>
      </c>
      <c r="R991" s="19"/>
      <c r="S991" s="23"/>
      <c r="U991" s="23"/>
      <c r="AA991" s="18"/>
      <c r="AF991" s="23"/>
      <c r="AL991" s="18"/>
    </row>
    <row r="992" spans="9:38" x14ac:dyDescent="0.2">
      <c r="I992" s="4">
        <v>985</v>
      </c>
      <c r="R992" s="19"/>
      <c r="S992" s="23"/>
      <c r="U992" s="23"/>
      <c r="AA992" s="18"/>
      <c r="AF992" s="23"/>
      <c r="AL992" s="18"/>
    </row>
    <row r="993" spans="9:38" x14ac:dyDescent="0.2">
      <c r="I993" s="4">
        <v>986</v>
      </c>
      <c r="R993" s="19"/>
      <c r="S993" s="23"/>
      <c r="U993" s="23"/>
      <c r="AA993" s="18"/>
      <c r="AF993" s="23"/>
      <c r="AL993" s="18"/>
    </row>
    <row r="994" spans="9:38" x14ac:dyDescent="0.2">
      <c r="I994" s="4">
        <v>987</v>
      </c>
      <c r="R994" s="19"/>
      <c r="S994" s="23"/>
      <c r="U994" s="23"/>
      <c r="AA994" s="18"/>
      <c r="AF994" s="23"/>
      <c r="AL994" s="18"/>
    </row>
    <row r="995" spans="9:38" x14ac:dyDescent="0.2">
      <c r="I995" s="4">
        <v>988</v>
      </c>
      <c r="R995" s="19"/>
      <c r="S995" s="23"/>
      <c r="U995" s="23"/>
      <c r="AA995" s="18"/>
      <c r="AF995" s="23"/>
      <c r="AL995" s="18"/>
    </row>
    <row r="996" spans="9:38" x14ac:dyDescent="0.2">
      <c r="I996" s="4">
        <v>989</v>
      </c>
      <c r="R996" s="19"/>
      <c r="S996" s="23"/>
      <c r="U996" s="23"/>
      <c r="AA996" s="18"/>
      <c r="AF996" s="23"/>
      <c r="AL996" s="18"/>
    </row>
    <row r="997" spans="9:38" x14ac:dyDescent="0.2">
      <c r="I997" s="4">
        <v>990</v>
      </c>
      <c r="R997" s="19"/>
      <c r="S997" s="23"/>
      <c r="U997" s="23"/>
      <c r="AA997" s="18"/>
      <c r="AF997" s="23"/>
      <c r="AL997" s="18"/>
    </row>
    <row r="998" spans="9:38" x14ac:dyDescent="0.2">
      <c r="I998" s="4">
        <v>991</v>
      </c>
      <c r="R998" s="19"/>
      <c r="S998" s="23"/>
      <c r="U998" s="23"/>
      <c r="AA998" s="18"/>
      <c r="AF998" s="23"/>
      <c r="AL998" s="18"/>
    </row>
    <row r="999" spans="9:38" x14ac:dyDescent="0.2">
      <c r="I999" s="4">
        <v>992</v>
      </c>
      <c r="R999" s="19"/>
      <c r="S999" s="23"/>
      <c r="U999" s="23"/>
      <c r="AA999" s="18"/>
      <c r="AF999" s="23"/>
      <c r="AL999" s="18"/>
    </row>
    <row r="1000" spans="9:38" x14ac:dyDescent="0.2">
      <c r="I1000" s="4">
        <v>993</v>
      </c>
      <c r="R1000" s="19"/>
      <c r="S1000" s="23"/>
      <c r="U1000" s="23"/>
      <c r="AA1000" s="18"/>
      <c r="AF1000" s="23"/>
      <c r="AL1000" s="18"/>
    </row>
    <row r="1001" spans="9:38" x14ac:dyDescent="0.2">
      <c r="I1001" s="4">
        <v>994</v>
      </c>
      <c r="R1001" s="19"/>
      <c r="S1001" s="23"/>
      <c r="U1001" s="23"/>
      <c r="AA1001" s="18"/>
      <c r="AF1001" s="23"/>
      <c r="AL1001" s="18"/>
    </row>
    <row r="1002" spans="9:38" x14ac:dyDescent="0.2">
      <c r="I1002" s="4">
        <v>995</v>
      </c>
      <c r="R1002" s="19"/>
      <c r="S1002" s="23"/>
      <c r="U1002" s="23"/>
      <c r="AA1002" s="18"/>
      <c r="AF1002" s="23"/>
      <c r="AL1002" s="18"/>
    </row>
    <row r="1003" spans="9:38" x14ac:dyDescent="0.2">
      <c r="I1003" s="4">
        <v>996</v>
      </c>
      <c r="R1003" s="19"/>
      <c r="S1003" s="23"/>
      <c r="U1003" s="23"/>
      <c r="AA1003" s="18"/>
      <c r="AF1003" s="23"/>
      <c r="AL1003" s="18"/>
    </row>
    <row r="1004" spans="9:38" x14ac:dyDescent="0.2">
      <c r="I1004" s="4">
        <v>997</v>
      </c>
      <c r="R1004" s="19"/>
      <c r="S1004" s="23"/>
      <c r="U1004" s="23"/>
      <c r="AA1004" s="18"/>
      <c r="AF1004" s="23"/>
      <c r="AL1004" s="18"/>
    </row>
    <row r="1005" spans="9:38" x14ac:dyDescent="0.2">
      <c r="I1005" s="4">
        <v>998</v>
      </c>
      <c r="R1005" s="19"/>
      <c r="S1005" s="23"/>
      <c r="U1005" s="23"/>
      <c r="AA1005" s="18"/>
      <c r="AF1005" s="23"/>
      <c r="AL1005" s="18"/>
    </row>
    <row r="1006" spans="9:38" x14ac:dyDescent="0.2">
      <c r="I1006" s="4">
        <v>999</v>
      </c>
      <c r="R1006" s="19"/>
      <c r="S1006" s="23"/>
      <c r="U1006" s="23"/>
      <c r="AA1006" s="18"/>
      <c r="AF1006" s="23"/>
      <c r="AL1006" s="18"/>
    </row>
    <row r="1007" spans="9:38" x14ac:dyDescent="0.2">
      <c r="I1007" s="4">
        <v>1000</v>
      </c>
      <c r="R1007" s="19"/>
      <c r="S1007" s="23"/>
      <c r="U1007" s="23"/>
      <c r="AA1007" s="18"/>
      <c r="AF1007" s="23"/>
      <c r="AL1007" s="18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otstrap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CEACurve">
                <anchor moveWithCells="1" sizeWithCells="1">
                  <from>
                    <xdr:col>28</xdr:col>
                    <xdr:colOff>0</xdr:colOff>
                    <xdr:row>2</xdr:row>
                    <xdr:rowOff>0</xdr:rowOff>
                  </from>
                  <to>
                    <xdr:col>30</xdr:col>
                    <xdr:colOff>133350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58"/>
  <sheetViews>
    <sheetView workbookViewId="0">
      <selection activeCell="B8" sqref="B8:E58"/>
    </sheetView>
  </sheetViews>
  <sheetFormatPr defaultRowHeight="12.75" x14ac:dyDescent="0.2"/>
  <cols>
    <col min="1" max="5" width="8.85546875" style="4" customWidth="1"/>
  </cols>
  <sheetData>
    <row r="1" spans="1:5" ht="18" x14ac:dyDescent="0.25">
      <c r="A1" s="3" t="s">
        <v>41</v>
      </c>
      <c r="B1" s="3"/>
      <c r="C1" s="3"/>
      <c r="D1" s="3"/>
      <c r="E1" s="3"/>
    </row>
    <row r="2" spans="1:5" ht="15.75" x14ac:dyDescent="0.25">
      <c r="A2" s="2"/>
      <c r="B2" s="2"/>
      <c r="C2" s="2"/>
      <c r="D2" s="2"/>
      <c r="E2" s="2"/>
    </row>
    <row r="3" spans="1:5" ht="15.75" x14ac:dyDescent="0.25">
      <c r="A3" s="2"/>
      <c r="B3" s="2"/>
      <c r="C3" s="2"/>
      <c r="D3" s="2"/>
      <c r="E3" s="2"/>
    </row>
    <row r="5" spans="1:5" x14ac:dyDescent="0.2">
      <c r="A5" s="1" t="s">
        <v>38</v>
      </c>
    </row>
    <row r="6" spans="1:5" x14ac:dyDescent="0.2">
      <c r="A6" s="1" t="s">
        <v>32</v>
      </c>
      <c r="B6" s="1" t="s">
        <v>34</v>
      </c>
      <c r="C6" s="1" t="s">
        <v>35</v>
      </c>
      <c r="D6" s="1" t="s">
        <v>40</v>
      </c>
      <c r="E6" s="1" t="s">
        <v>33</v>
      </c>
    </row>
    <row r="8" spans="1:5" x14ac:dyDescent="0.2">
      <c r="A8" s="10">
        <v>0</v>
      </c>
      <c r="B8" s="23"/>
      <c r="C8" s="23"/>
      <c r="D8" s="28"/>
      <c r="E8" s="28"/>
    </row>
    <row r="9" spans="1:5" x14ac:dyDescent="0.2">
      <c r="A9" s="10">
        <v>1000</v>
      </c>
      <c r="B9" s="23"/>
      <c r="C9" s="23"/>
      <c r="D9" s="28"/>
      <c r="E9" s="28"/>
    </row>
    <row r="10" spans="1:5" x14ac:dyDescent="0.2">
      <c r="A10" s="10">
        <v>2000</v>
      </c>
      <c r="B10" s="23"/>
      <c r="C10" s="23"/>
      <c r="D10" s="28"/>
      <c r="E10" s="28"/>
    </row>
    <row r="11" spans="1:5" x14ac:dyDescent="0.2">
      <c r="A11" s="10">
        <v>3000</v>
      </c>
      <c r="B11" s="23"/>
      <c r="C11" s="23"/>
      <c r="D11" s="28"/>
      <c r="E11" s="28"/>
    </row>
    <row r="12" spans="1:5" x14ac:dyDescent="0.2">
      <c r="A12" s="10">
        <v>4000</v>
      </c>
      <c r="B12" s="23"/>
      <c r="C12" s="23"/>
      <c r="D12" s="28"/>
      <c r="E12" s="28"/>
    </row>
    <row r="13" spans="1:5" x14ac:dyDescent="0.2">
      <c r="A13" s="10">
        <v>5000</v>
      </c>
      <c r="B13" s="23"/>
      <c r="C13" s="23"/>
      <c r="D13" s="28"/>
      <c r="E13" s="28"/>
    </row>
    <row r="14" spans="1:5" x14ac:dyDescent="0.2">
      <c r="A14" s="10">
        <v>6000</v>
      </c>
      <c r="B14" s="23"/>
      <c r="C14" s="23"/>
      <c r="D14" s="28"/>
      <c r="E14" s="28"/>
    </row>
    <row r="15" spans="1:5" x14ac:dyDescent="0.2">
      <c r="A15" s="10">
        <v>7000</v>
      </c>
      <c r="B15" s="23"/>
      <c r="C15" s="23"/>
      <c r="D15" s="28"/>
      <c r="E15" s="28"/>
    </row>
    <row r="16" spans="1:5" x14ac:dyDescent="0.2">
      <c r="A16" s="10">
        <v>8000</v>
      </c>
      <c r="B16" s="23"/>
      <c r="C16" s="23"/>
      <c r="D16" s="28"/>
      <c r="E16" s="28"/>
    </row>
    <row r="17" spans="1:5" x14ac:dyDescent="0.2">
      <c r="A17" s="10">
        <v>9000</v>
      </c>
      <c r="B17" s="23"/>
      <c r="C17" s="23"/>
      <c r="D17" s="28"/>
      <c r="E17" s="28"/>
    </row>
    <row r="18" spans="1:5" x14ac:dyDescent="0.2">
      <c r="A18" s="10">
        <v>10000</v>
      </c>
      <c r="B18" s="23"/>
      <c r="C18" s="23"/>
      <c r="D18" s="28"/>
      <c r="E18" s="28"/>
    </row>
    <row r="19" spans="1:5" x14ac:dyDescent="0.2">
      <c r="A19" s="10">
        <v>11000</v>
      </c>
      <c r="B19" s="23"/>
      <c r="C19" s="23"/>
      <c r="D19" s="28"/>
      <c r="E19" s="28"/>
    </row>
    <row r="20" spans="1:5" x14ac:dyDescent="0.2">
      <c r="A20" s="10">
        <v>12000</v>
      </c>
      <c r="B20" s="23"/>
      <c r="C20" s="23"/>
      <c r="D20" s="28"/>
      <c r="E20" s="28"/>
    </row>
    <row r="21" spans="1:5" x14ac:dyDescent="0.2">
      <c r="A21" s="10">
        <v>13000</v>
      </c>
      <c r="B21" s="23"/>
      <c r="C21" s="23"/>
      <c r="D21" s="28"/>
      <c r="E21" s="28"/>
    </row>
    <row r="22" spans="1:5" x14ac:dyDescent="0.2">
      <c r="A22" s="10">
        <v>14000</v>
      </c>
      <c r="B22" s="23"/>
      <c r="C22" s="23"/>
      <c r="D22" s="28"/>
      <c r="E22" s="28"/>
    </row>
    <row r="23" spans="1:5" x14ac:dyDescent="0.2">
      <c r="A23" s="10">
        <v>15000</v>
      </c>
      <c r="B23" s="23"/>
      <c r="C23" s="23"/>
      <c r="D23" s="28"/>
      <c r="E23" s="28"/>
    </row>
    <row r="24" spans="1:5" x14ac:dyDescent="0.2">
      <c r="A24" s="10">
        <v>16000</v>
      </c>
      <c r="B24" s="23"/>
      <c r="C24" s="23"/>
      <c r="D24" s="28"/>
      <c r="E24" s="28"/>
    </row>
    <row r="25" spans="1:5" x14ac:dyDescent="0.2">
      <c r="A25" s="10">
        <v>17000</v>
      </c>
      <c r="B25" s="23"/>
      <c r="C25" s="23"/>
      <c r="D25" s="28"/>
      <c r="E25" s="28"/>
    </row>
    <row r="26" spans="1:5" x14ac:dyDescent="0.2">
      <c r="A26" s="10">
        <v>18000</v>
      </c>
      <c r="B26" s="23"/>
      <c r="C26" s="23"/>
      <c r="D26" s="28"/>
      <c r="E26" s="28"/>
    </row>
    <row r="27" spans="1:5" x14ac:dyDescent="0.2">
      <c r="A27" s="10">
        <v>19000</v>
      </c>
      <c r="B27" s="23"/>
      <c r="C27" s="23"/>
      <c r="D27" s="28"/>
      <c r="E27" s="28"/>
    </row>
    <row r="28" spans="1:5" x14ac:dyDescent="0.2">
      <c r="A28" s="10">
        <v>20000</v>
      </c>
      <c r="B28" s="23"/>
      <c r="C28" s="23"/>
      <c r="D28" s="28"/>
      <c r="E28" s="28"/>
    </row>
    <row r="29" spans="1:5" x14ac:dyDescent="0.2">
      <c r="A29" s="10">
        <v>21000</v>
      </c>
      <c r="B29" s="23"/>
      <c r="C29" s="23"/>
      <c r="D29" s="28"/>
      <c r="E29" s="28"/>
    </row>
    <row r="30" spans="1:5" x14ac:dyDescent="0.2">
      <c r="A30" s="10">
        <v>22000</v>
      </c>
      <c r="B30" s="23"/>
      <c r="C30" s="23"/>
      <c r="D30" s="28"/>
      <c r="E30" s="28"/>
    </row>
    <row r="31" spans="1:5" x14ac:dyDescent="0.2">
      <c r="A31" s="10">
        <v>23000</v>
      </c>
      <c r="B31" s="23"/>
      <c r="C31" s="23"/>
      <c r="D31" s="28"/>
      <c r="E31" s="28"/>
    </row>
    <row r="32" spans="1:5" x14ac:dyDescent="0.2">
      <c r="A32" s="10">
        <v>24000</v>
      </c>
      <c r="B32" s="23"/>
      <c r="C32" s="23"/>
      <c r="D32" s="28"/>
      <c r="E32" s="28"/>
    </row>
    <row r="33" spans="1:5" x14ac:dyDescent="0.2">
      <c r="A33" s="10">
        <v>25000</v>
      </c>
      <c r="B33" s="23"/>
      <c r="C33" s="23"/>
      <c r="D33" s="28"/>
      <c r="E33" s="28"/>
    </row>
    <row r="34" spans="1:5" x14ac:dyDescent="0.2">
      <c r="A34" s="10">
        <v>26000</v>
      </c>
      <c r="B34" s="23"/>
      <c r="C34" s="23"/>
      <c r="D34" s="28"/>
      <c r="E34" s="28"/>
    </row>
    <row r="35" spans="1:5" x14ac:dyDescent="0.2">
      <c r="A35" s="10">
        <v>27000</v>
      </c>
      <c r="B35" s="23"/>
      <c r="C35" s="23"/>
      <c r="D35" s="28"/>
      <c r="E35" s="28"/>
    </row>
    <row r="36" spans="1:5" x14ac:dyDescent="0.2">
      <c r="A36" s="10">
        <v>28000</v>
      </c>
      <c r="B36" s="23"/>
      <c r="C36" s="23"/>
      <c r="D36" s="28"/>
      <c r="E36" s="28"/>
    </row>
    <row r="37" spans="1:5" x14ac:dyDescent="0.2">
      <c r="A37" s="10">
        <v>29000</v>
      </c>
      <c r="B37" s="23"/>
      <c r="C37" s="23"/>
      <c r="D37" s="28"/>
      <c r="E37" s="28"/>
    </row>
    <row r="38" spans="1:5" x14ac:dyDescent="0.2">
      <c r="A38" s="10">
        <v>30000</v>
      </c>
      <c r="B38" s="23"/>
      <c r="C38" s="23"/>
      <c r="D38" s="28"/>
      <c r="E38" s="28"/>
    </row>
    <row r="39" spans="1:5" x14ac:dyDescent="0.2">
      <c r="A39" s="10">
        <v>31000</v>
      </c>
      <c r="B39" s="23"/>
      <c r="C39" s="23"/>
      <c r="D39" s="28"/>
      <c r="E39" s="28"/>
    </row>
    <row r="40" spans="1:5" x14ac:dyDescent="0.2">
      <c r="A40" s="10">
        <v>32000</v>
      </c>
      <c r="B40" s="23"/>
      <c r="C40" s="23"/>
      <c r="D40" s="28"/>
      <c r="E40" s="28"/>
    </row>
    <row r="41" spans="1:5" x14ac:dyDescent="0.2">
      <c r="A41" s="10">
        <v>33000</v>
      </c>
      <c r="B41" s="23"/>
      <c r="C41" s="23"/>
      <c r="D41" s="28"/>
      <c r="E41" s="28"/>
    </row>
    <row r="42" spans="1:5" x14ac:dyDescent="0.2">
      <c r="A42" s="10">
        <v>34000</v>
      </c>
      <c r="B42" s="23"/>
      <c r="C42" s="23"/>
      <c r="D42" s="28"/>
      <c r="E42" s="28"/>
    </row>
    <row r="43" spans="1:5" x14ac:dyDescent="0.2">
      <c r="A43" s="10">
        <v>35000</v>
      </c>
      <c r="B43" s="23"/>
      <c r="C43" s="23"/>
      <c r="D43" s="28"/>
      <c r="E43" s="28"/>
    </row>
    <row r="44" spans="1:5" x14ac:dyDescent="0.2">
      <c r="A44" s="10">
        <v>36000</v>
      </c>
      <c r="B44" s="23"/>
      <c r="C44" s="23"/>
      <c r="D44" s="28"/>
      <c r="E44" s="28"/>
    </row>
    <row r="45" spans="1:5" x14ac:dyDescent="0.2">
      <c r="A45" s="10">
        <v>37000</v>
      </c>
      <c r="B45" s="23"/>
      <c r="C45" s="23"/>
      <c r="D45" s="28"/>
      <c r="E45" s="28"/>
    </row>
    <row r="46" spans="1:5" x14ac:dyDescent="0.2">
      <c r="A46" s="10">
        <v>38000</v>
      </c>
      <c r="B46" s="23"/>
      <c r="C46" s="23"/>
      <c r="D46" s="28"/>
      <c r="E46" s="28"/>
    </row>
    <row r="47" spans="1:5" x14ac:dyDescent="0.2">
      <c r="A47" s="10">
        <v>39000</v>
      </c>
      <c r="B47" s="23"/>
      <c r="C47" s="23"/>
      <c r="D47" s="28"/>
      <c r="E47" s="28"/>
    </row>
    <row r="48" spans="1:5" x14ac:dyDescent="0.2">
      <c r="A48" s="10">
        <v>40000</v>
      </c>
      <c r="B48" s="23"/>
      <c r="C48" s="23"/>
      <c r="D48" s="28"/>
      <c r="E48" s="28"/>
    </row>
    <row r="49" spans="1:5" x14ac:dyDescent="0.2">
      <c r="A49" s="10">
        <v>41000</v>
      </c>
      <c r="B49" s="23"/>
      <c r="C49" s="23"/>
      <c r="D49" s="28"/>
      <c r="E49" s="28"/>
    </row>
    <row r="50" spans="1:5" x14ac:dyDescent="0.2">
      <c r="A50" s="10">
        <v>42000</v>
      </c>
      <c r="B50" s="23"/>
      <c r="C50" s="23"/>
      <c r="D50" s="28"/>
      <c r="E50" s="28"/>
    </row>
    <row r="51" spans="1:5" x14ac:dyDescent="0.2">
      <c r="A51" s="10">
        <v>43000</v>
      </c>
      <c r="B51" s="23"/>
      <c r="C51" s="23"/>
      <c r="D51" s="28"/>
      <c r="E51" s="28"/>
    </row>
    <row r="52" spans="1:5" x14ac:dyDescent="0.2">
      <c r="A52" s="10">
        <v>44000</v>
      </c>
      <c r="B52" s="23"/>
      <c r="C52" s="23"/>
      <c r="D52" s="28"/>
      <c r="E52" s="28"/>
    </row>
    <row r="53" spans="1:5" x14ac:dyDescent="0.2">
      <c r="A53" s="10">
        <v>45000</v>
      </c>
      <c r="B53" s="23"/>
      <c r="C53" s="23"/>
      <c r="D53" s="28"/>
      <c r="E53" s="28"/>
    </row>
    <row r="54" spans="1:5" x14ac:dyDescent="0.2">
      <c r="A54" s="10">
        <v>46000</v>
      </c>
      <c r="B54" s="23"/>
      <c r="C54" s="23"/>
      <c r="D54" s="28"/>
      <c r="E54" s="28"/>
    </row>
    <row r="55" spans="1:5" x14ac:dyDescent="0.2">
      <c r="A55" s="10">
        <v>47000</v>
      </c>
      <c r="B55" s="23"/>
      <c r="C55" s="23"/>
      <c r="D55" s="28"/>
      <c r="E55" s="28"/>
    </row>
    <row r="56" spans="1:5" x14ac:dyDescent="0.2">
      <c r="A56" s="10">
        <v>48000</v>
      </c>
      <c r="B56" s="23"/>
      <c r="C56" s="23"/>
      <c r="D56" s="28"/>
      <c r="E56" s="28"/>
    </row>
    <row r="57" spans="1:5" x14ac:dyDescent="0.2">
      <c r="A57" s="10">
        <v>49000</v>
      </c>
      <c r="B57" s="23"/>
      <c r="C57" s="23"/>
      <c r="D57" s="28"/>
      <c r="E57" s="28"/>
    </row>
    <row r="58" spans="1:5" x14ac:dyDescent="0.2">
      <c r="A58" s="10">
        <v>50000</v>
      </c>
      <c r="B58" s="23"/>
      <c r="C58" s="23"/>
      <c r="D58" s="28"/>
      <c r="E58" s="28"/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Raw data</vt:lpstr>
      <vt:lpstr>Summary Statistics</vt:lpstr>
      <vt:lpstr>Bootstrapping</vt:lpstr>
      <vt:lpstr>Parametric</vt:lpstr>
      <vt:lpstr>CE plane</vt:lpstr>
      <vt:lpstr>ICER Histogram</vt:lpstr>
      <vt:lpstr>CEA curve</vt:lpstr>
      <vt:lpstr>Net Ben Histogram</vt:lpstr>
      <vt:lpstr>control</vt:lpstr>
      <vt:lpstr>Rc_</vt:lpstr>
      <vt:lpstr>treatment</vt:lpstr>
    </vt:vector>
  </TitlesOfParts>
  <Company>No.6 Barrett Street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Briggs &amp; Joanna Swaffield</dc:creator>
  <cp:lastModifiedBy>J Murphy</cp:lastModifiedBy>
  <dcterms:created xsi:type="dcterms:W3CDTF">1998-02-28T13:08:27Z</dcterms:created>
  <dcterms:modified xsi:type="dcterms:W3CDTF">2016-06-29T13:55:16Z</dcterms:modified>
</cp:coreProperties>
</file>