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20" yWindow="90" windowWidth="9420" windowHeight="5010" firstSheet="3" activeTab="7"/>
  </bookViews>
  <sheets>
    <sheet name="Raw data" sheetId="2" r:id="rId1"/>
    <sheet name="Summary Statistics" sheetId="5" r:id="rId2"/>
    <sheet name="Bootstrapping" sheetId="4" r:id="rId3"/>
    <sheet name="Parametric" sheetId="10" r:id="rId4"/>
    <sheet name="CE plane" sheetId="6" r:id="rId5"/>
    <sheet name="ICER Histogram" sheetId="7" r:id="rId6"/>
    <sheet name="CEA curve" sheetId="8" r:id="rId7"/>
    <sheet name="Net Ben Histogram" sheetId="9" r:id="rId8"/>
  </sheets>
  <definedNames>
    <definedName name="control">'Raw data'!$B$5:$D$104</definedName>
    <definedName name="Rc_">Bootstrapping!$AA$2</definedName>
    <definedName name="treatment">'Raw data'!$F$5:$H$104</definedName>
  </definedNames>
  <calcPr calcId="145621"/>
</workbook>
</file>

<file path=xl/calcChain.xml><?xml version="1.0" encoding="utf-8"?>
<calcChain xmlns="http://schemas.openxmlformats.org/spreadsheetml/2006/main">
  <c r="E9" i="10" l="1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8" i="10"/>
  <c r="E9" i="4"/>
  <c r="G9" i="4" s="1"/>
  <c r="E10" i="4"/>
  <c r="G10" i="4" s="1"/>
  <c r="E11" i="4"/>
  <c r="G11" i="4" s="1"/>
  <c r="E12" i="4"/>
  <c r="G12" i="4" s="1"/>
  <c r="E13" i="4"/>
  <c r="G13" i="4" s="1"/>
  <c r="E14" i="4"/>
  <c r="G14" i="4" s="1"/>
  <c r="E15" i="4"/>
  <c r="G15" i="4" s="1"/>
  <c r="E16" i="4"/>
  <c r="G16" i="4" s="1"/>
  <c r="E17" i="4"/>
  <c r="G17" i="4" s="1"/>
  <c r="E18" i="4"/>
  <c r="G18" i="4" s="1"/>
  <c r="E19" i="4"/>
  <c r="G19" i="4" s="1"/>
  <c r="E20" i="4"/>
  <c r="G20" i="4" s="1"/>
  <c r="E21" i="4"/>
  <c r="G21" i="4" s="1"/>
  <c r="E22" i="4"/>
  <c r="G22" i="4" s="1"/>
  <c r="E23" i="4"/>
  <c r="G23" i="4" s="1"/>
  <c r="E24" i="4"/>
  <c r="G24" i="4" s="1"/>
  <c r="E25" i="4"/>
  <c r="G25" i="4" s="1"/>
  <c r="E26" i="4"/>
  <c r="G26" i="4" s="1"/>
  <c r="E27" i="4"/>
  <c r="G27" i="4" s="1"/>
  <c r="E28" i="4"/>
  <c r="G28" i="4" s="1"/>
  <c r="E29" i="4"/>
  <c r="G29" i="4" s="1"/>
  <c r="E30" i="4"/>
  <c r="G30" i="4" s="1"/>
  <c r="E31" i="4"/>
  <c r="G31" i="4" s="1"/>
  <c r="E32" i="4"/>
  <c r="G32" i="4" s="1"/>
  <c r="E33" i="4"/>
  <c r="G33" i="4" s="1"/>
  <c r="E34" i="4"/>
  <c r="G34" i="4" s="1"/>
  <c r="E35" i="4"/>
  <c r="G35" i="4" s="1"/>
  <c r="E36" i="4"/>
  <c r="G36" i="4" s="1"/>
  <c r="E37" i="4"/>
  <c r="G37" i="4" s="1"/>
  <c r="E38" i="4"/>
  <c r="G38" i="4" s="1"/>
  <c r="E39" i="4"/>
  <c r="G39" i="4" s="1"/>
  <c r="E40" i="4"/>
  <c r="G40" i="4" s="1"/>
  <c r="E41" i="4"/>
  <c r="G41" i="4" s="1"/>
  <c r="E42" i="4"/>
  <c r="G42" i="4" s="1"/>
  <c r="E43" i="4"/>
  <c r="G43" i="4" s="1"/>
  <c r="E44" i="4"/>
  <c r="G44" i="4" s="1"/>
  <c r="E45" i="4"/>
  <c r="G45" i="4" s="1"/>
  <c r="E46" i="4"/>
  <c r="G46" i="4" s="1"/>
  <c r="E47" i="4"/>
  <c r="G47" i="4" s="1"/>
  <c r="E48" i="4"/>
  <c r="G48" i="4" s="1"/>
  <c r="E49" i="4"/>
  <c r="G49" i="4" s="1"/>
  <c r="E50" i="4"/>
  <c r="G50" i="4" s="1"/>
  <c r="E51" i="4"/>
  <c r="G51" i="4" s="1"/>
  <c r="E52" i="4"/>
  <c r="G52" i="4" s="1"/>
  <c r="E53" i="4"/>
  <c r="G53" i="4" s="1"/>
  <c r="E54" i="4"/>
  <c r="G54" i="4" s="1"/>
  <c r="E55" i="4"/>
  <c r="G55" i="4" s="1"/>
  <c r="E56" i="4"/>
  <c r="G56" i="4" s="1"/>
  <c r="E57" i="4"/>
  <c r="G57" i="4" s="1"/>
  <c r="E58" i="4"/>
  <c r="G58" i="4" s="1"/>
  <c r="E59" i="4"/>
  <c r="G59" i="4" s="1"/>
  <c r="E60" i="4"/>
  <c r="G60" i="4" s="1"/>
  <c r="E61" i="4"/>
  <c r="G61" i="4" s="1"/>
  <c r="E62" i="4"/>
  <c r="G62" i="4" s="1"/>
  <c r="E63" i="4"/>
  <c r="G63" i="4" s="1"/>
  <c r="E64" i="4"/>
  <c r="G64" i="4" s="1"/>
  <c r="E65" i="4"/>
  <c r="G65" i="4" s="1"/>
  <c r="E66" i="4"/>
  <c r="G66" i="4" s="1"/>
  <c r="E67" i="4"/>
  <c r="G67" i="4" s="1"/>
  <c r="E68" i="4"/>
  <c r="G68" i="4" s="1"/>
  <c r="E69" i="4"/>
  <c r="G69" i="4" s="1"/>
  <c r="E70" i="4"/>
  <c r="G70" i="4" s="1"/>
  <c r="E71" i="4"/>
  <c r="G71" i="4" s="1"/>
  <c r="E72" i="4"/>
  <c r="G72" i="4" s="1"/>
  <c r="E73" i="4"/>
  <c r="G73" i="4" s="1"/>
  <c r="E74" i="4"/>
  <c r="G74" i="4" s="1"/>
  <c r="E75" i="4"/>
  <c r="G75" i="4" s="1"/>
  <c r="E76" i="4"/>
  <c r="G76" i="4" s="1"/>
  <c r="E77" i="4"/>
  <c r="G77" i="4" s="1"/>
  <c r="E78" i="4"/>
  <c r="G78" i="4" s="1"/>
  <c r="E79" i="4"/>
  <c r="G79" i="4" s="1"/>
  <c r="E80" i="4"/>
  <c r="G80" i="4" s="1"/>
  <c r="E81" i="4"/>
  <c r="G81" i="4" s="1"/>
  <c r="E82" i="4"/>
  <c r="G82" i="4" s="1"/>
  <c r="E83" i="4"/>
  <c r="G83" i="4" s="1"/>
  <c r="E84" i="4"/>
  <c r="G84" i="4" s="1"/>
  <c r="E85" i="4"/>
  <c r="G85" i="4" s="1"/>
  <c r="E86" i="4"/>
  <c r="G86" i="4" s="1"/>
  <c r="E87" i="4"/>
  <c r="G87" i="4" s="1"/>
  <c r="E88" i="4"/>
  <c r="G88" i="4" s="1"/>
  <c r="E89" i="4"/>
  <c r="G89" i="4" s="1"/>
  <c r="E90" i="4"/>
  <c r="G90" i="4" s="1"/>
  <c r="E91" i="4"/>
  <c r="G91" i="4" s="1"/>
  <c r="E92" i="4"/>
  <c r="G92" i="4" s="1"/>
  <c r="E93" i="4"/>
  <c r="G93" i="4" s="1"/>
  <c r="E94" i="4"/>
  <c r="G94" i="4" s="1"/>
  <c r="E95" i="4"/>
  <c r="G95" i="4" s="1"/>
  <c r="E96" i="4"/>
  <c r="G96" i="4" s="1"/>
  <c r="E97" i="4"/>
  <c r="G97" i="4" s="1"/>
  <c r="E98" i="4"/>
  <c r="G98" i="4" s="1"/>
  <c r="E99" i="4"/>
  <c r="G99" i="4" s="1"/>
  <c r="E100" i="4"/>
  <c r="G100" i="4" s="1"/>
  <c r="E101" i="4"/>
  <c r="G101" i="4" s="1"/>
  <c r="E102" i="4"/>
  <c r="G102" i="4" s="1"/>
  <c r="E103" i="4"/>
  <c r="G103" i="4" s="1"/>
  <c r="E104" i="4"/>
  <c r="G104" i="4" s="1"/>
  <c r="E105" i="4"/>
  <c r="G105" i="4" s="1"/>
  <c r="E106" i="4"/>
  <c r="G106" i="4" s="1"/>
  <c r="E107" i="4"/>
  <c r="G107" i="4" s="1"/>
  <c r="E8" i="4"/>
  <c r="F8" i="4" s="1"/>
  <c r="A9" i="4"/>
  <c r="C9" i="4" s="1"/>
  <c r="A10" i="4"/>
  <c r="C10" i="4" s="1"/>
  <c r="A11" i="4"/>
  <c r="C11" i="4" s="1"/>
  <c r="A12" i="4"/>
  <c r="C12" i="4" s="1"/>
  <c r="A13" i="4"/>
  <c r="C13" i="4" s="1"/>
  <c r="A14" i="4"/>
  <c r="C14" i="4" s="1"/>
  <c r="A15" i="4"/>
  <c r="C15" i="4" s="1"/>
  <c r="A16" i="4"/>
  <c r="C16" i="4" s="1"/>
  <c r="A17" i="4"/>
  <c r="C17" i="4" s="1"/>
  <c r="A18" i="4"/>
  <c r="C18" i="4" s="1"/>
  <c r="A19" i="4"/>
  <c r="C19" i="4" s="1"/>
  <c r="A20" i="4"/>
  <c r="C20" i="4" s="1"/>
  <c r="A21" i="4"/>
  <c r="C21" i="4" s="1"/>
  <c r="A22" i="4"/>
  <c r="C22" i="4" s="1"/>
  <c r="A23" i="4"/>
  <c r="C23" i="4" s="1"/>
  <c r="A24" i="4"/>
  <c r="C24" i="4" s="1"/>
  <c r="A25" i="4"/>
  <c r="C25" i="4" s="1"/>
  <c r="A26" i="4"/>
  <c r="C26" i="4" s="1"/>
  <c r="A27" i="4"/>
  <c r="C27" i="4" s="1"/>
  <c r="A28" i="4"/>
  <c r="C28" i="4" s="1"/>
  <c r="A29" i="4"/>
  <c r="C29" i="4" s="1"/>
  <c r="A30" i="4"/>
  <c r="C30" i="4" s="1"/>
  <c r="A31" i="4"/>
  <c r="C31" i="4" s="1"/>
  <c r="A32" i="4"/>
  <c r="C32" i="4" s="1"/>
  <c r="A33" i="4"/>
  <c r="C33" i="4" s="1"/>
  <c r="A34" i="4"/>
  <c r="C34" i="4" s="1"/>
  <c r="A35" i="4"/>
  <c r="C35" i="4" s="1"/>
  <c r="A36" i="4"/>
  <c r="C36" i="4" s="1"/>
  <c r="A37" i="4"/>
  <c r="C37" i="4" s="1"/>
  <c r="A38" i="4"/>
  <c r="C38" i="4" s="1"/>
  <c r="A39" i="4"/>
  <c r="C39" i="4" s="1"/>
  <c r="A40" i="4"/>
  <c r="C40" i="4" s="1"/>
  <c r="A41" i="4"/>
  <c r="C41" i="4" s="1"/>
  <c r="A42" i="4"/>
  <c r="C42" i="4" s="1"/>
  <c r="A43" i="4"/>
  <c r="C43" i="4" s="1"/>
  <c r="A44" i="4"/>
  <c r="C44" i="4" s="1"/>
  <c r="A45" i="4"/>
  <c r="C45" i="4" s="1"/>
  <c r="A46" i="4"/>
  <c r="C46" i="4" s="1"/>
  <c r="A47" i="4"/>
  <c r="C47" i="4" s="1"/>
  <c r="A48" i="4"/>
  <c r="C48" i="4" s="1"/>
  <c r="A49" i="4"/>
  <c r="C49" i="4" s="1"/>
  <c r="A50" i="4"/>
  <c r="C50" i="4" s="1"/>
  <c r="A51" i="4"/>
  <c r="C51" i="4" s="1"/>
  <c r="A52" i="4"/>
  <c r="C52" i="4" s="1"/>
  <c r="A53" i="4"/>
  <c r="C53" i="4" s="1"/>
  <c r="A54" i="4"/>
  <c r="C54" i="4" s="1"/>
  <c r="A55" i="4"/>
  <c r="C55" i="4" s="1"/>
  <c r="A56" i="4"/>
  <c r="C56" i="4" s="1"/>
  <c r="A57" i="4"/>
  <c r="C57" i="4" s="1"/>
  <c r="A58" i="4"/>
  <c r="C58" i="4" s="1"/>
  <c r="A59" i="4"/>
  <c r="C59" i="4" s="1"/>
  <c r="A60" i="4"/>
  <c r="C60" i="4" s="1"/>
  <c r="A61" i="4"/>
  <c r="C61" i="4" s="1"/>
  <c r="A62" i="4"/>
  <c r="C62" i="4" s="1"/>
  <c r="A63" i="4"/>
  <c r="C63" i="4" s="1"/>
  <c r="A64" i="4"/>
  <c r="C64" i="4" s="1"/>
  <c r="A65" i="4"/>
  <c r="C65" i="4" s="1"/>
  <c r="A66" i="4"/>
  <c r="C66" i="4" s="1"/>
  <c r="A67" i="4"/>
  <c r="C67" i="4" s="1"/>
  <c r="A68" i="4"/>
  <c r="C68" i="4" s="1"/>
  <c r="A69" i="4"/>
  <c r="C69" i="4" s="1"/>
  <c r="A70" i="4"/>
  <c r="C70" i="4" s="1"/>
  <c r="A71" i="4"/>
  <c r="C71" i="4" s="1"/>
  <c r="A72" i="4"/>
  <c r="C72" i="4" s="1"/>
  <c r="A73" i="4"/>
  <c r="C73" i="4" s="1"/>
  <c r="A74" i="4"/>
  <c r="C74" i="4" s="1"/>
  <c r="A75" i="4"/>
  <c r="C75" i="4" s="1"/>
  <c r="A76" i="4"/>
  <c r="C76" i="4" s="1"/>
  <c r="A77" i="4"/>
  <c r="C77" i="4" s="1"/>
  <c r="A78" i="4"/>
  <c r="C78" i="4" s="1"/>
  <c r="A79" i="4"/>
  <c r="C79" i="4" s="1"/>
  <c r="A80" i="4"/>
  <c r="C80" i="4" s="1"/>
  <c r="A81" i="4"/>
  <c r="C81" i="4" s="1"/>
  <c r="A82" i="4"/>
  <c r="C82" i="4" s="1"/>
  <c r="A83" i="4"/>
  <c r="C83" i="4" s="1"/>
  <c r="A84" i="4"/>
  <c r="C84" i="4" s="1"/>
  <c r="A85" i="4"/>
  <c r="C85" i="4" s="1"/>
  <c r="A86" i="4"/>
  <c r="C86" i="4" s="1"/>
  <c r="A87" i="4"/>
  <c r="C87" i="4" s="1"/>
  <c r="A88" i="4"/>
  <c r="C88" i="4" s="1"/>
  <c r="A89" i="4"/>
  <c r="C89" i="4" s="1"/>
  <c r="A90" i="4"/>
  <c r="C90" i="4" s="1"/>
  <c r="A91" i="4"/>
  <c r="C91" i="4" s="1"/>
  <c r="A92" i="4"/>
  <c r="C92" i="4" s="1"/>
  <c r="A93" i="4"/>
  <c r="C93" i="4" s="1"/>
  <c r="A94" i="4"/>
  <c r="C94" i="4" s="1"/>
  <c r="A95" i="4"/>
  <c r="C95" i="4" s="1"/>
  <c r="A96" i="4"/>
  <c r="C96" i="4" s="1"/>
  <c r="A97" i="4"/>
  <c r="C97" i="4" s="1"/>
  <c r="A98" i="4"/>
  <c r="C98" i="4" s="1"/>
  <c r="A99" i="4"/>
  <c r="C99" i="4" s="1"/>
  <c r="A100" i="4"/>
  <c r="C100" i="4" s="1"/>
  <c r="A101" i="4"/>
  <c r="C101" i="4" s="1"/>
  <c r="A102" i="4"/>
  <c r="C102" i="4" s="1"/>
  <c r="A103" i="4"/>
  <c r="C103" i="4" s="1"/>
  <c r="A104" i="4"/>
  <c r="C104" i="4" s="1"/>
  <c r="A105" i="4"/>
  <c r="C105" i="4" s="1"/>
  <c r="A106" i="4"/>
  <c r="C106" i="4" s="1"/>
  <c r="A107" i="4"/>
  <c r="C107" i="4" s="1"/>
  <c r="A8" i="4"/>
  <c r="B8" i="4" s="1"/>
  <c r="B22" i="5"/>
  <c r="B21" i="5"/>
  <c r="E7" i="5"/>
  <c r="F6" i="5"/>
  <c r="F7" i="5" s="1"/>
  <c r="F5" i="5"/>
  <c r="E6" i="5"/>
  <c r="E5" i="5"/>
  <c r="C6" i="5"/>
  <c r="C7" i="5" s="1"/>
  <c r="B6" i="5"/>
  <c r="B7" i="5" s="1"/>
  <c r="C5" i="5"/>
  <c r="B5" i="5"/>
  <c r="F107" i="4" l="1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G8" i="4"/>
  <c r="C8" i="4"/>
  <c r="R8" i="4"/>
  <c r="S8" i="4"/>
  <c r="U8" i="4"/>
  <c r="AA8" i="4"/>
  <c r="AF8" i="4"/>
  <c r="AL8" i="4"/>
  <c r="R9" i="4"/>
  <c r="S9" i="4"/>
  <c r="R10" i="4"/>
  <c r="S10" i="4"/>
  <c r="U10" i="4"/>
  <c r="R11" i="4"/>
  <c r="S11" i="4"/>
  <c r="AF11" i="4" s="1"/>
  <c r="AL11" i="4" s="1"/>
  <c r="U11" i="4"/>
  <c r="AA11" i="4" s="1"/>
  <c r="R12" i="4"/>
  <c r="S12" i="4"/>
  <c r="U12" i="4"/>
  <c r="AA12" i="4"/>
  <c r="AF12" i="4"/>
  <c r="AL12" i="4"/>
  <c r="R13" i="4"/>
  <c r="S13" i="4"/>
  <c r="R14" i="4"/>
  <c r="S14" i="4"/>
  <c r="U14" i="4" s="1"/>
  <c r="R15" i="4"/>
  <c r="S15" i="4"/>
  <c r="R16" i="4"/>
  <c r="S16" i="4"/>
  <c r="U16" i="4"/>
  <c r="AA16" i="4"/>
  <c r="AF16" i="4"/>
  <c r="AL16" i="4" s="1"/>
  <c r="R17" i="4"/>
  <c r="S17" i="4"/>
  <c r="R18" i="4"/>
  <c r="S18" i="4"/>
  <c r="U18" i="4"/>
  <c r="R19" i="4"/>
  <c r="S19" i="4"/>
  <c r="U19" i="4" s="1"/>
  <c r="AA19" i="4" s="1"/>
  <c r="AF19" i="4"/>
  <c r="AL19" i="4" s="1"/>
  <c r="R20" i="4"/>
  <c r="S20" i="4"/>
  <c r="U20" i="4"/>
  <c r="AA20" i="4"/>
  <c r="AF20" i="4"/>
  <c r="AL20" i="4" s="1"/>
  <c r="R21" i="4"/>
  <c r="S21" i="4"/>
  <c r="U21" i="4" s="1"/>
  <c r="R22" i="4"/>
  <c r="S22" i="4"/>
  <c r="U22" i="4"/>
  <c r="R23" i="4"/>
  <c r="S23" i="4"/>
  <c r="U23" i="4" s="1"/>
  <c r="AA23" i="4" s="1"/>
  <c r="AF23" i="4"/>
  <c r="AL23" i="4" s="1"/>
  <c r="R24" i="4"/>
  <c r="S24" i="4"/>
  <c r="U24" i="4"/>
  <c r="AA24" i="4"/>
  <c r="AF24" i="4"/>
  <c r="AL24" i="4" s="1"/>
  <c r="R25" i="4"/>
  <c r="S25" i="4"/>
  <c r="U25" i="4" s="1"/>
  <c r="R26" i="4"/>
  <c r="S26" i="4"/>
  <c r="R27" i="4"/>
  <c r="S27" i="4"/>
  <c r="U27" i="4"/>
  <c r="AA27" i="4"/>
  <c r="AF27" i="4"/>
  <c r="AL27" i="4" s="1"/>
  <c r="R28" i="4"/>
  <c r="S28" i="4"/>
  <c r="U28" i="4"/>
  <c r="AA28" i="4"/>
  <c r="AF28" i="4"/>
  <c r="AL28" i="4"/>
  <c r="R29" i="4"/>
  <c r="S29" i="4"/>
  <c r="U29" i="4" s="1"/>
  <c r="R30" i="4"/>
  <c r="S30" i="4"/>
  <c r="R31" i="4"/>
  <c r="S31" i="4"/>
  <c r="U31" i="4"/>
  <c r="AA31" i="4"/>
  <c r="AF31" i="4"/>
  <c r="AL31" i="4" s="1"/>
  <c r="R32" i="4"/>
  <c r="S32" i="4"/>
  <c r="U32" i="4"/>
  <c r="AA32" i="4"/>
  <c r="AF32" i="4"/>
  <c r="AL32" i="4"/>
  <c r="R33" i="4"/>
  <c r="S33" i="4"/>
  <c r="U33" i="4" s="1"/>
  <c r="R34" i="4"/>
  <c r="S34" i="4"/>
  <c r="U34" i="4" s="1"/>
  <c r="R35" i="4"/>
  <c r="S35" i="4"/>
  <c r="U35" i="4"/>
  <c r="AA35" i="4"/>
  <c r="AF35" i="4"/>
  <c r="AL35" i="4" s="1"/>
  <c r="R36" i="4"/>
  <c r="S36" i="4"/>
  <c r="U36" i="4"/>
  <c r="AA36" i="4"/>
  <c r="AF36" i="4"/>
  <c r="AL36" i="4"/>
  <c r="R37" i="4"/>
  <c r="S37" i="4"/>
  <c r="U37" i="4" s="1"/>
  <c r="R38" i="4"/>
  <c r="S38" i="4"/>
  <c r="U38" i="4"/>
  <c r="R39" i="4"/>
  <c r="S39" i="4"/>
  <c r="AF39" i="4" s="1"/>
  <c r="AL39" i="4" s="1"/>
  <c r="U39" i="4"/>
  <c r="AA39" i="4"/>
  <c r="R40" i="4"/>
  <c r="S40" i="4"/>
  <c r="U40" i="4"/>
  <c r="AA40" i="4"/>
  <c r="AF40" i="4"/>
  <c r="AL40" i="4"/>
  <c r="R41" i="4"/>
  <c r="S41" i="4"/>
  <c r="R42" i="4"/>
  <c r="S42" i="4"/>
  <c r="U42" i="4"/>
  <c r="R43" i="4"/>
  <c r="S43" i="4"/>
  <c r="AF43" i="4" s="1"/>
  <c r="AL43" i="4" s="1"/>
  <c r="U43" i="4"/>
  <c r="AA43" i="4" s="1"/>
  <c r="R44" i="4"/>
  <c r="S44" i="4"/>
  <c r="U44" i="4"/>
  <c r="AA44" i="4"/>
  <c r="AF44" i="4"/>
  <c r="AL44" i="4" s="1"/>
  <c r="R45" i="4"/>
  <c r="S45" i="4"/>
  <c r="R46" i="4"/>
  <c r="S46" i="4"/>
  <c r="U46" i="4"/>
  <c r="R47" i="4"/>
  <c r="S47" i="4"/>
  <c r="R48" i="4"/>
  <c r="S48" i="4"/>
  <c r="U48" i="4"/>
  <c r="AA48" i="4"/>
  <c r="AF48" i="4"/>
  <c r="AL48" i="4" s="1"/>
  <c r="R49" i="4"/>
  <c r="S49" i="4"/>
  <c r="R50" i="4"/>
  <c r="S50" i="4"/>
  <c r="R51" i="4"/>
  <c r="S51" i="4"/>
  <c r="U51" i="4" s="1"/>
  <c r="AA51" i="4" s="1"/>
  <c r="AF51" i="4"/>
  <c r="AL51" i="4" s="1"/>
  <c r="R52" i="4"/>
  <c r="S52" i="4"/>
  <c r="U52" i="4"/>
  <c r="AA52" i="4"/>
  <c r="AF52" i="4"/>
  <c r="AL52" i="4" s="1"/>
  <c r="R53" i="4"/>
  <c r="S53" i="4"/>
  <c r="U53" i="4" s="1"/>
  <c r="R54" i="4"/>
  <c r="S54" i="4"/>
  <c r="U54" i="4" s="1"/>
  <c r="R55" i="4"/>
  <c r="S55" i="4"/>
  <c r="U55" i="4" s="1"/>
  <c r="AA55" i="4"/>
  <c r="AF55" i="4"/>
  <c r="AL55" i="4" s="1"/>
  <c r="R56" i="4"/>
  <c r="S56" i="4"/>
  <c r="U56" i="4"/>
  <c r="AA56" i="4"/>
  <c r="AF56" i="4"/>
  <c r="AL56" i="4" s="1"/>
  <c r="R57" i="4"/>
  <c r="S57" i="4"/>
  <c r="U57" i="4" s="1"/>
  <c r="R58" i="4"/>
  <c r="S58" i="4"/>
  <c r="R59" i="4"/>
  <c r="S59" i="4"/>
  <c r="U59" i="4"/>
  <c r="AA59" i="4"/>
  <c r="AF59" i="4"/>
  <c r="AL59" i="4" s="1"/>
  <c r="R60" i="4"/>
  <c r="S60" i="4"/>
  <c r="U60" i="4"/>
  <c r="AA60" i="4"/>
  <c r="AF60" i="4"/>
  <c r="AL60" i="4"/>
  <c r="R61" i="4"/>
  <c r="S61" i="4"/>
  <c r="U61" i="4" s="1"/>
  <c r="R62" i="4"/>
  <c r="S62" i="4"/>
  <c r="R63" i="4"/>
  <c r="S63" i="4"/>
  <c r="U63" i="4" s="1"/>
  <c r="AA63" i="4" s="1"/>
  <c r="AF63" i="4"/>
  <c r="AL63" i="4" s="1"/>
  <c r="R64" i="4"/>
  <c r="S64" i="4"/>
  <c r="U64" i="4"/>
  <c r="AA64" i="4"/>
  <c r="AF64" i="4"/>
  <c r="AL64" i="4" s="1"/>
  <c r="R65" i="4"/>
  <c r="S65" i="4"/>
  <c r="U65" i="4" s="1"/>
  <c r="R66" i="4"/>
  <c r="S66" i="4"/>
  <c r="R67" i="4"/>
  <c r="S67" i="4"/>
  <c r="U67" i="4" s="1"/>
  <c r="AA67" i="4" s="1"/>
  <c r="AF67" i="4"/>
  <c r="AL67" i="4" s="1"/>
  <c r="R68" i="4"/>
  <c r="S68" i="4"/>
  <c r="U68" i="4"/>
  <c r="AA68" i="4"/>
  <c r="AF68" i="4"/>
  <c r="AL68" i="4" s="1"/>
  <c r="R69" i="4"/>
  <c r="S69" i="4"/>
  <c r="U69" i="4" s="1"/>
  <c r="R70" i="4"/>
  <c r="S70" i="4"/>
  <c r="U70" i="4"/>
  <c r="R71" i="4"/>
  <c r="S71" i="4"/>
  <c r="AF71" i="4" s="1"/>
  <c r="AL71" i="4" s="1"/>
  <c r="R72" i="4"/>
  <c r="S72" i="4"/>
  <c r="U72" i="4"/>
  <c r="AA72" i="4"/>
  <c r="AF72" i="4"/>
  <c r="AL72" i="4" s="1"/>
  <c r="R73" i="4"/>
  <c r="S73" i="4"/>
  <c r="R74" i="4"/>
  <c r="S74" i="4"/>
  <c r="U74" i="4"/>
  <c r="R75" i="4"/>
  <c r="S75" i="4"/>
  <c r="R76" i="4"/>
  <c r="S76" i="4"/>
  <c r="U76" i="4"/>
  <c r="AA76" i="4"/>
  <c r="AF76" i="4"/>
  <c r="AL76" i="4"/>
  <c r="R77" i="4"/>
  <c r="S77" i="4"/>
  <c r="R78" i="4"/>
  <c r="S78" i="4"/>
  <c r="U78" i="4"/>
  <c r="R79" i="4"/>
  <c r="S79" i="4"/>
  <c r="R80" i="4"/>
  <c r="S80" i="4"/>
  <c r="U80" i="4"/>
  <c r="AA80" i="4"/>
  <c r="AF80" i="4"/>
  <c r="AL80" i="4" s="1"/>
  <c r="R81" i="4"/>
  <c r="S81" i="4"/>
  <c r="U81" i="4" s="1"/>
  <c r="R82" i="4"/>
  <c r="S82" i="4"/>
  <c r="R83" i="4"/>
  <c r="S83" i="4"/>
  <c r="U83" i="4" s="1"/>
  <c r="AA83" i="4" s="1"/>
  <c r="AF83" i="4"/>
  <c r="AL83" i="4" s="1"/>
  <c r="R84" i="4"/>
  <c r="S84" i="4"/>
  <c r="U84" i="4"/>
  <c r="AA84" i="4"/>
  <c r="AF84" i="4"/>
  <c r="AL84" i="4" s="1"/>
  <c r="R85" i="4"/>
  <c r="S85" i="4"/>
  <c r="U85" i="4" s="1"/>
  <c r="R86" i="4"/>
  <c r="S86" i="4"/>
  <c r="U86" i="4"/>
  <c r="R87" i="4"/>
  <c r="S87" i="4"/>
  <c r="U87" i="4"/>
  <c r="AA87" i="4"/>
  <c r="AF87" i="4"/>
  <c r="AL87" i="4" s="1"/>
  <c r="R88" i="4"/>
  <c r="S88" i="4"/>
  <c r="U88" i="4"/>
  <c r="AA88" i="4"/>
  <c r="AF88" i="4"/>
  <c r="AL88" i="4"/>
  <c r="R89" i="4"/>
  <c r="S89" i="4"/>
  <c r="U89" i="4" s="1"/>
  <c r="R90" i="4"/>
  <c r="S90" i="4"/>
  <c r="U90" i="4" s="1"/>
  <c r="R91" i="4"/>
  <c r="S91" i="4"/>
  <c r="U91" i="4"/>
  <c r="AA91" i="4"/>
  <c r="AF91" i="4"/>
  <c r="AL91" i="4" s="1"/>
  <c r="R92" i="4"/>
  <c r="S92" i="4"/>
  <c r="U92" i="4"/>
  <c r="AA92" i="4"/>
  <c r="AF92" i="4"/>
  <c r="AL92" i="4"/>
  <c r="R93" i="4"/>
  <c r="S93" i="4"/>
  <c r="U93" i="4" s="1"/>
  <c r="R94" i="4"/>
  <c r="S94" i="4"/>
  <c r="U94" i="4" s="1"/>
  <c r="R95" i="4"/>
  <c r="S95" i="4"/>
  <c r="U95" i="4" s="1"/>
  <c r="AA95" i="4" s="1"/>
  <c r="AF95" i="4"/>
  <c r="AL95" i="4" s="1"/>
  <c r="R96" i="4"/>
  <c r="S96" i="4"/>
  <c r="U96" i="4"/>
  <c r="AA96" i="4"/>
  <c r="AF96" i="4"/>
  <c r="AL96" i="4" s="1"/>
  <c r="R97" i="4"/>
  <c r="S97" i="4"/>
  <c r="U97" i="4" s="1"/>
  <c r="R98" i="4"/>
  <c r="S98" i="4"/>
  <c r="U98" i="4"/>
  <c r="R99" i="4"/>
  <c r="S99" i="4"/>
  <c r="U99" i="4"/>
  <c r="AA99" i="4"/>
  <c r="AF99" i="4"/>
  <c r="AL99" i="4" s="1"/>
  <c r="R100" i="4"/>
  <c r="S100" i="4"/>
  <c r="U100" i="4"/>
  <c r="AA100" i="4"/>
  <c r="AF100" i="4"/>
  <c r="AL100" i="4"/>
  <c r="R101" i="4"/>
  <c r="S101" i="4"/>
  <c r="U101" i="4" s="1"/>
  <c r="R102" i="4"/>
  <c r="S102" i="4"/>
  <c r="U102" i="4"/>
  <c r="R103" i="4"/>
  <c r="S103" i="4"/>
  <c r="AF103" i="4" s="1"/>
  <c r="AL103" i="4" s="1"/>
  <c r="U103" i="4"/>
  <c r="AA103" i="4"/>
  <c r="R104" i="4"/>
  <c r="S104" i="4"/>
  <c r="U104" i="4"/>
  <c r="AA104" i="4"/>
  <c r="AF104" i="4"/>
  <c r="AL104" i="4" s="1"/>
  <c r="R105" i="4"/>
  <c r="S105" i="4"/>
  <c r="R106" i="4"/>
  <c r="S106" i="4"/>
  <c r="U106" i="4" s="1"/>
  <c r="R107" i="4"/>
  <c r="S107" i="4"/>
  <c r="AF107" i="4" s="1"/>
  <c r="AL107" i="4" s="1"/>
  <c r="R108" i="4"/>
  <c r="S108" i="4"/>
  <c r="U108" i="4"/>
  <c r="AA108" i="4"/>
  <c r="AF108" i="4"/>
  <c r="AL108" i="4" s="1"/>
  <c r="R109" i="4"/>
  <c r="S109" i="4"/>
  <c r="R110" i="4"/>
  <c r="S110" i="4"/>
  <c r="U110" i="4"/>
  <c r="R111" i="4"/>
  <c r="S111" i="4"/>
  <c r="R112" i="4"/>
  <c r="S112" i="4"/>
  <c r="U112" i="4"/>
  <c r="AA112" i="4"/>
  <c r="AF112" i="4"/>
  <c r="AL112" i="4" s="1"/>
  <c r="R113" i="4"/>
  <c r="S113" i="4"/>
  <c r="U113" i="4" s="1"/>
  <c r="R114" i="4"/>
  <c r="S114" i="4"/>
  <c r="U114" i="4" s="1"/>
  <c r="R115" i="4"/>
  <c r="S115" i="4"/>
  <c r="U115" i="4" s="1"/>
  <c r="AA115" i="4" s="1"/>
  <c r="AF115" i="4"/>
  <c r="AL115" i="4" s="1"/>
  <c r="R116" i="4"/>
  <c r="S116" i="4"/>
  <c r="U116" i="4"/>
  <c r="AA116" i="4"/>
  <c r="AF116" i="4"/>
  <c r="AL116" i="4" s="1"/>
  <c r="R117" i="4"/>
  <c r="S117" i="4"/>
  <c r="U117" i="4" s="1"/>
  <c r="R118" i="4"/>
  <c r="S118" i="4"/>
  <c r="R119" i="4"/>
  <c r="S119" i="4"/>
  <c r="U119" i="4"/>
  <c r="AA119" i="4"/>
  <c r="AF119" i="4"/>
  <c r="AL119" i="4" s="1"/>
  <c r="R120" i="4"/>
  <c r="S120" i="4"/>
  <c r="U120" i="4"/>
  <c r="AA120" i="4"/>
  <c r="AF120" i="4"/>
  <c r="AL120" i="4"/>
  <c r="R121" i="4"/>
  <c r="S121" i="4"/>
  <c r="U121" i="4" s="1"/>
  <c r="R122" i="4"/>
  <c r="S122" i="4"/>
  <c r="R123" i="4"/>
  <c r="S123" i="4"/>
  <c r="U123" i="4"/>
  <c r="AA123" i="4"/>
  <c r="AF123" i="4"/>
  <c r="AL123" i="4"/>
  <c r="R124" i="4"/>
  <c r="S124" i="4"/>
  <c r="U124" i="4"/>
  <c r="AA124" i="4"/>
  <c r="AF124" i="4"/>
  <c r="AL124" i="4"/>
  <c r="R125" i="4"/>
  <c r="S125" i="4"/>
  <c r="U125" i="4" s="1"/>
  <c r="R126" i="4"/>
  <c r="S126" i="4"/>
  <c r="U126" i="4" s="1"/>
  <c r="AA126" i="4" s="1"/>
  <c r="R127" i="4"/>
  <c r="S127" i="4"/>
  <c r="U127" i="4" s="1"/>
  <c r="R128" i="4"/>
  <c r="S128" i="4"/>
  <c r="U128" i="4"/>
  <c r="AA128" i="4" s="1"/>
  <c r="AF128" i="4"/>
  <c r="AL128" i="4" s="1"/>
  <c r="R129" i="4"/>
  <c r="S129" i="4"/>
  <c r="U129" i="4" s="1"/>
  <c r="AF129" i="4"/>
  <c r="AL129" i="4"/>
  <c r="R130" i="4"/>
  <c r="S130" i="4"/>
  <c r="U130" i="4" s="1"/>
  <c r="R131" i="4"/>
  <c r="S131" i="4"/>
  <c r="U131" i="4"/>
  <c r="AA131" i="4"/>
  <c r="AF131" i="4"/>
  <c r="AL131" i="4"/>
  <c r="R132" i="4"/>
  <c r="S132" i="4"/>
  <c r="U132" i="4"/>
  <c r="AA132" i="4"/>
  <c r="AF132" i="4"/>
  <c r="AL132" i="4"/>
  <c r="R133" i="4"/>
  <c r="S133" i="4"/>
  <c r="U133" i="4" s="1"/>
  <c r="R134" i="4"/>
  <c r="S134" i="4"/>
  <c r="U134" i="4" s="1"/>
  <c r="AA134" i="4" s="1"/>
  <c r="R135" i="4"/>
  <c r="S135" i="4"/>
  <c r="U135" i="4" s="1"/>
  <c r="R136" i="4"/>
  <c r="S136" i="4"/>
  <c r="U136" i="4"/>
  <c r="AA136" i="4" s="1"/>
  <c r="AF136" i="4"/>
  <c r="AL136" i="4" s="1"/>
  <c r="R137" i="4"/>
  <c r="S137" i="4"/>
  <c r="U137" i="4" s="1"/>
  <c r="AF137" i="4"/>
  <c r="AL137" i="4" s="1"/>
  <c r="R138" i="4"/>
  <c r="S138" i="4"/>
  <c r="U138" i="4" s="1"/>
  <c r="R139" i="4"/>
  <c r="S139" i="4"/>
  <c r="U139" i="4"/>
  <c r="AA139" i="4"/>
  <c r="AF139" i="4"/>
  <c r="AL139" i="4" s="1"/>
  <c r="R140" i="4"/>
  <c r="S140" i="4"/>
  <c r="U140" i="4"/>
  <c r="AA140" i="4"/>
  <c r="AF140" i="4"/>
  <c r="AL140" i="4"/>
  <c r="R141" i="4"/>
  <c r="S141" i="4"/>
  <c r="R142" i="4"/>
  <c r="S142" i="4"/>
  <c r="U142" i="4" s="1"/>
  <c r="AA142" i="4" s="1"/>
  <c r="R143" i="4"/>
  <c r="S143" i="4"/>
  <c r="U143" i="4" s="1"/>
  <c r="R144" i="4"/>
  <c r="S144" i="4"/>
  <c r="U144" i="4"/>
  <c r="AA144" i="4" s="1"/>
  <c r="AF144" i="4"/>
  <c r="AL144" i="4" s="1"/>
  <c r="R145" i="4"/>
  <c r="S145" i="4"/>
  <c r="U145" i="4" s="1"/>
  <c r="AF145" i="4"/>
  <c r="AL145" i="4" s="1"/>
  <c r="R146" i="4"/>
  <c r="S146" i="4"/>
  <c r="R147" i="4"/>
  <c r="S147" i="4"/>
  <c r="U147" i="4"/>
  <c r="AA147" i="4"/>
  <c r="AF147" i="4"/>
  <c r="AL147" i="4" s="1"/>
  <c r="R148" i="4"/>
  <c r="S148" i="4"/>
  <c r="U148" i="4"/>
  <c r="AA148" i="4"/>
  <c r="AF148" i="4"/>
  <c r="AL148" i="4"/>
  <c r="R149" i="4"/>
  <c r="S149" i="4"/>
  <c r="R150" i="4"/>
  <c r="S150" i="4"/>
  <c r="U150" i="4" s="1"/>
  <c r="AA150" i="4" s="1"/>
  <c r="R151" i="4"/>
  <c r="S151" i="4"/>
  <c r="U151" i="4" s="1"/>
  <c r="R152" i="4"/>
  <c r="S152" i="4"/>
  <c r="U152" i="4"/>
  <c r="AA152" i="4" s="1"/>
  <c r="AF152" i="4"/>
  <c r="AL152" i="4" s="1"/>
  <c r="R153" i="4"/>
  <c r="S153" i="4"/>
  <c r="U153" i="4" s="1"/>
  <c r="AF153" i="4"/>
  <c r="AL153" i="4"/>
  <c r="R154" i="4"/>
  <c r="S154" i="4"/>
  <c r="U154" i="4" s="1"/>
  <c r="R155" i="4"/>
  <c r="S155" i="4"/>
  <c r="U155" i="4"/>
  <c r="AA155" i="4"/>
  <c r="AF155" i="4"/>
  <c r="AL155" i="4"/>
  <c r="R156" i="4"/>
  <c r="S156" i="4"/>
  <c r="U156" i="4"/>
  <c r="AA156" i="4"/>
  <c r="AF156" i="4"/>
  <c r="AL156" i="4"/>
  <c r="R157" i="4"/>
  <c r="S157" i="4"/>
  <c r="U157" i="4" s="1"/>
  <c r="R158" i="4"/>
  <c r="S158" i="4"/>
  <c r="U158" i="4" s="1"/>
  <c r="AA158" i="4" s="1"/>
  <c r="R159" i="4"/>
  <c r="S159" i="4"/>
  <c r="U159" i="4" s="1"/>
  <c r="R160" i="4"/>
  <c r="S160" i="4"/>
  <c r="U160" i="4"/>
  <c r="AA160" i="4" s="1"/>
  <c r="AF160" i="4"/>
  <c r="AL160" i="4" s="1"/>
  <c r="R161" i="4"/>
  <c r="S161" i="4"/>
  <c r="U161" i="4" s="1"/>
  <c r="AF161" i="4"/>
  <c r="AL161" i="4"/>
  <c r="R162" i="4"/>
  <c r="S162" i="4"/>
  <c r="R163" i="4"/>
  <c r="S163" i="4"/>
  <c r="U163" i="4"/>
  <c r="AA163" i="4"/>
  <c r="AF163" i="4"/>
  <c r="AL163" i="4"/>
  <c r="R164" i="4"/>
  <c r="S164" i="4"/>
  <c r="U164" i="4"/>
  <c r="AA164" i="4"/>
  <c r="AF164" i="4"/>
  <c r="AL164" i="4"/>
  <c r="R165" i="4"/>
  <c r="S165" i="4"/>
  <c r="U165" i="4" s="1"/>
  <c r="R166" i="4"/>
  <c r="S166" i="4"/>
  <c r="U166" i="4" s="1"/>
  <c r="AA166" i="4" s="1"/>
  <c r="R167" i="4"/>
  <c r="S167" i="4"/>
  <c r="U167" i="4" s="1"/>
  <c r="R168" i="4"/>
  <c r="S168" i="4"/>
  <c r="U168" i="4"/>
  <c r="AA168" i="4" s="1"/>
  <c r="AF168" i="4"/>
  <c r="AL168" i="4" s="1"/>
  <c r="R169" i="4"/>
  <c r="S169" i="4"/>
  <c r="U169" i="4" s="1"/>
  <c r="AF169" i="4"/>
  <c r="AL169" i="4"/>
  <c r="R170" i="4"/>
  <c r="S170" i="4"/>
  <c r="R171" i="4"/>
  <c r="S171" i="4"/>
  <c r="U171" i="4"/>
  <c r="AA171" i="4"/>
  <c r="AF171" i="4"/>
  <c r="AL171" i="4"/>
  <c r="R172" i="4"/>
  <c r="S172" i="4"/>
  <c r="U172" i="4"/>
  <c r="AA172" i="4"/>
  <c r="AF172" i="4"/>
  <c r="AL172" i="4"/>
  <c r="R173" i="4"/>
  <c r="S173" i="4"/>
  <c r="U173" i="4" s="1"/>
  <c r="R174" i="4"/>
  <c r="S174" i="4"/>
  <c r="U174" i="4" s="1"/>
  <c r="AA174" i="4" s="1"/>
  <c r="R175" i="4"/>
  <c r="S175" i="4"/>
  <c r="U175" i="4" s="1"/>
  <c r="R176" i="4"/>
  <c r="S176" i="4"/>
  <c r="U176" i="4"/>
  <c r="AA176" i="4" s="1"/>
  <c r="AF176" i="4"/>
  <c r="AL176" i="4" s="1"/>
  <c r="R177" i="4"/>
  <c r="S177" i="4"/>
  <c r="U177" i="4" s="1"/>
  <c r="AF177" i="4"/>
  <c r="AL177" i="4" s="1"/>
  <c r="R178" i="4"/>
  <c r="S178" i="4"/>
  <c r="U178" i="4" s="1"/>
  <c r="R179" i="4"/>
  <c r="S179" i="4"/>
  <c r="U179" i="4"/>
  <c r="AA179" i="4"/>
  <c r="R180" i="4"/>
  <c r="S180" i="4"/>
  <c r="AF180" i="4" s="1"/>
  <c r="AL180" i="4" s="1"/>
  <c r="U180" i="4"/>
  <c r="AA180" i="4" s="1"/>
  <c r="R181" i="4"/>
  <c r="S181" i="4"/>
  <c r="U181" i="4"/>
  <c r="AA181" i="4"/>
  <c r="AF181" i="4"/>
  <c r="AL181" i="4" s="1"/>
  <c r="R182" i="4"/>
  <c r="S182" i="4"/>
  <c r="U182" i="4" s="1"/>
  <c r="R183" i="4"/>
  <c r="S183" i="4"/>
  <c r="U183" i="4"/>
  <c r="AA183" i="4" s="1"/>
  <c r="R184" i="4"/>
  <c r="S184" i="4"/>
  <c r="U184" i="4"/>
  <c r="AA184" i="4"/>
  <c r="AF184" i="4"/>
  <c r="AL184" i="4"/>
  <c r="R185" i="4"/>
  <c r="S185" i="4"/>
  <c r="U185" i="4"/>
  <c r="AA185" i="4"/>
  <c r="AF185" i="4"/>
  <c r="AL185" i="4"/>
  <c r="R186" i="4"/>
  <c r="S186" i="4"/>
  <c r="U186" i="4" s="1"/>
  <c r="R187" i="4"/>
  <c r="S187" i="4"/>
  <c r="U187" i="4" s="1"/>
  <c r="R188" i="4"/>
  <c r="S188" i="4"/>
  <c r="U188" i="4" s="1"/>
  <c r="AA188" i="4" s="1"/>
  <c r="AF188" i="4"/>
  <c r="AL188" i="4" s="1"/>
  <c r="R189" i="4"/>
  <c r="S189" i="4"/>
  <c r="U189" i="4"/>
  <c r="AA189" i="4"/>
  <c r="AF189" i="4"/>
  <c r="AL189" i="4" s="1"/>
  <c r="R190" i="4"/>
  <c r="S190" i="4"/>
  <c r="R191" i="4"/>
  <c r="S191" i="4"/>
  <c r="U191" i="4"/>
  <c r="AA191" i="4" s="1"/>
  <c r="R192" i="4"/>
  <c r="S192" i="4"/>
  <c r="R193" i="4"/>
  <c r="S193" i="4"/>
  <c r="U193" i="4"/>
  <c r="AA193" i="4"/>
  <c r="AF193" i="4"/>
  <c r="AL193" i="4" s="1"/>
  <c r="R194" i="4"/>
  <c r="S194" i="4"/>
  <c r="U194" i="4" s="1"/>
  <c r="R195" i="4"/>
  <c r="S195" i="4"/>
  <c r="U195" i="4"/>
  <c r="R196" i="4"/>
  <c r="S196" i="4"/>
  <c r="U196" i="4"/>
  <c r="AA196" i="4"/>
  <c r="AF196" i="4"/>
  <c r="AL196" i="4"/>
  <c r="R197" i="4"/>
  <c r="S197" i="4"/>
  <c r="U197" i="4"/>
  <c r="AA197" i="4"/>
  <c r="AF197" i="4"/>
  <c r="AL197" i="4"/>
  <c r="R198" i="4"/>
  <c r="S198" i="4"/>
  <c r="U198" i="4" s="1"/>
  <c r="R199" i="4"/>
  <c r="AF199" i="4" s="1"/>
  <c r="AL199" i="4" s="1"/>
  <c r="S199" i="4"/>
  <c r="U199" i="4"/>
  <c r="AA199" i="4"/>
  <c r="R200" i="4"/>
  <c r="S200" i="4"/>
  <c r="AF200" i="4" s="1"/>
  <c r="AL200" i="4" s="1"/>
  <c r="U200" i="4"/>
  <c r="AA200" i="4" s="1"/>
  <c r="R201" i="4"/>
  <c r="S201" i="4"/>
  <c r="U201" i="4"/>
  <c r="AA201" i="4"/>
  <c r="AF201" i="4"/>
  <c r="AL201" i="4" s="1"/>
  <c r="R202" i="4"/>
  <c r="S202" i="4"/>
  <c r="R203" i="4"/>
  <c r="S203" i="4"/>
  <c r="U203" i="4" s="1"/>
  <c r="AA203" i="4" s="1"/>
  <c r="R204" i="4"/>
  <c r="S204" i="4"/>
  <c r="U204" i="4" s="1"/>
  <c r="AA204" i="4" s="1"/>
  <c r="AF204" i="4"/>
  <c r="AL204" i="4"/>
  <c r="R205" i="4"/>
  <c r="S205" i="4"/>
  <c r="U205" i="4"/>
  <c r="AA205" i="4" s="1"/>
  <c r="AF205" i="4"/>
  <c r="AL205" i="4"/>
  <c r="R206" i="4"/>
  <c r="S206" i="4"/>
  <c r="U206" i="4" s="1"/>
  <c r="AF206" i="4"/>
  <c r="AL206" i="4"/>
  <c r="R207" i="4"/>
  <c r="S207" i="4"/>
  <c r="R208" i="4"/>
  <c r="S208" i="4"/>
  <c r="U208" i="4" s="1"/>
  <c r="AA208" i="4" s="1"/>
  <c r="AF208" i="4"/>
  <c r="AL208" i="4" s="1"/>
  <c r="R209" i="4"/>
  <c r="S209" i="4"/>
  <c r="U209" i="4"/>
  <c r="AA209" i="4"/>
  <c r="AF209" i="4"/>
  <c r="AL209" i="4" s="1"/>
  <c r="R210" i="4"/>
  <c r="S210" i="4"/>
  <c r="R211" i="4"/>
  <c r="S211" i="4"/>
  <c r="U211" i="4"/>
  <c r="AA211" i="4"/>
  <c r="R212" i="4"/>
  <c r="S212" i="4"/>
  <c r="R213" i="4"/>
  <c r="S213" i="4"/>
  <c r="U213" i="4"/>
  <c r="AA213" i="4" s="1"/>
  <c r="AF213" i="4"/>
  <c r="AL213" i="4"/>
  <c r="R214" i="4"/>
  <c r="S214" i="4"/>
  <c r="U214" i="4" s="1"/>
  <c r="AF214" i="4"/>
  <c r="AL214" i="4" s="1"/>
  <c r="R215" i="4"/>
  <c r="S215" i="4"/>
  <c r="U215" i="4" s="1"/>
  <c r="R216" i="4"/>
  <c r="S216" i="4"/>
  <c r="R217" i="4"/>
  <c r="S217" i="4"/>
  <c r="U217" i="4"/>
  <c r="AA217" i="4"/>
  <c r="AF217" i="4"/>
  <c r="AL217" i="4" s="1"/>
  <c r="R218" i="4"/>
  <c r="S218" i="4"/>
  <c r="R219" i="4"/>
  <c r="S219" i="4"/>
  <c r="U219" i="4"/>
  <c r="AA219" i="4" s="1"/>
  <c r="R220" i="4"/>
  <c r="S220" i="4"/>
  <c r="R221" i="4"/>
  <c r="S221" i="4"/>
  <c r="U221" i="4"/>
  <c r="AA221" i="4" s="1"/>
  <c r="AF221" i="4"/>
  <c r="AL221" i="4"/>
  <c r="R222" i="4"/>
  <c r="S222" i="4"/>
  <c r="U222" i="4" s="1"/>
  <c r="R223" i="4"/>
  <c r="S223" i="4"/>
  <c r="U223" i="4" s="1"/>
  <c r="R224" i="4"/>
  <c r="S224" i="4"/>
  <c r="AF224" i="4" s="1"/>
  <c r="AL224" i="4" s="1"/>
  <c r="U224" i="4"/>
  <c r="AA224" i="4" s="1"/>
  <c r="R225" i="4"/>
  <c r="S225" i="4"/>
  <c r="U225" i="4"/>
  <c r="AA225" i="4"/>
  <c r="AF225" i="4"/>
  <c r="AL225" i="4" s="1"/>
  <c r="R226" i="4"/>
  <c r="S226" i="4"/>
  <c r="R227" i="4"/>
  <c r="S227" i="4"/>
  <c r="U227" i="4"/>
  <c r="AA227" i="4" s="1"/>
  <c r="R228" i="4"/>
  <c r="S228" i="4"/>
  <c r="R229" i="4"/>
  <c r="S229" i="4"/>
  <c r="U229" i="4"/>
  <c r="AA229" i="4" s="1"/>
  <c r="AF229" i="4"/>
  <c r="AL229" i="4"/>
  <c r="R230" i="4"/>
  <c r="S230" i="4"/>
  <c r="R231" i="4"/>
  <c r="S231" i="4"/>
  <c r="U231" i="4" s="1"/>
  <c r="R232" i="4"/>
  <c r="S232" i="4"/>
  <c r="AF232" i="4" s="1"/>
  <c r="AL232" i="4" s="1"/>
  <c r="U232" i="4"/>
  <c r="AA232" i="4" s="1"/>
  <c r="R233" i="4"/>
  <c r="S233" i="4"/>
  <c r="U233" i="4"/>
  <c r="AA233" i="4"/>
  <c r="AF233" i="4"/>
  <c r="AL233" i="4"/>
  <c r="R234" i="4"/>
  <c r="S234" i="4"/>
  <c r="R235" i="4"/>
  <c r="S235" i="4"/>
  <c r="U235" i="4"/>
  <c r="AA235" i="4"/>
  <c r="R236" i="4"/>
  <c r="S236" i="4"/>
  <c r="U236" i="4" s="1"/>
  <c r="R237" i="4"/>
  <c r="S237" i="4"/>
  <c r="U237" i="4"/>
  <c r="AA237" i="4" s="1"/>
  <c r="AF237" i="4"/>
  <c r="AL237" i="4"/>
  <c r="R238" i="4"/>
  <c r="S238" i="4"/>
  <c r="U238" i="4" s="1"/>
  <c r="AF238" i="4"/>
  <c r="AL238" i="4" s="1"/>
  <c r="R239" i="4"/>
  <c r="S239" i="4"/>
  <c r="U239" i="4" s="1"/>
  <c r="R240" i="4"/>
  <c r="S240" i="4"/>
  <c r="U240" i="4"/>
  <c r="AA240" i="4"/>
  <c r="AF240" i="4"/>
  <c r="AL240" i="4" s="1"/>
  <c r="R241" i="4"/>
  <c r="S241" i="4"/>
  <c r="U241" i="4"/>
  <c r="AA241" i="4"/>
  <c r="AF241" i="4"/>
  <c r="AL241" i="4"/>
  <c r="R242" i="4"/>
  <c r="S242" i="4"/>
  <c r="R243" i="4"/>
  <c r="S243" i="4"/>
  <c r="U243" i="4"/>
  <c r="AA243" i="4" s="1"/>
  <c r="R244" i="4"/>
  <c r="S244" i="4"/>
  <c r="R245" i="4"/>
  <c r="S245" i="4"/>
  <c r="U245" i="4"/>
  <c r="AA245" i="4" s="1"/>
  <c r="AF245" i="4"/>
  <c r="AL245" i="4"/>
  <c r="R246" i="4"/>
  <c r="S246" i="4"/>
  <c r="U246" i="4" s="1"/>
  <c r="AF246" i="4"/>
  <c r="AL246" i="4"/>
  <c r="R247" i="4"/>
  <c r="S247" i="4"/>
  <c r="R248" i="4"/>
  <c r="S248" i="4"/>
  <c r="U248" i="4"/>
  <c r="AA248" i="4" s="1"/>
  <c r="AF248" i="4"/>
  <c r="AL248" i="4" s="1"/>
  <c r="R249" i="4"/>
  <c r="S249" i="4"/>
  <c r="U249" i="4"/>
  <c r="AA249" i="4"/>
  <c r="AF249" i="4"/>
  <c r="AL249" i="4"/>
  <c r="R250" i="4"/>
  <c r="S250" i="4"/>
  <c r="R251" i="4"/>
  <c r="S251" i="4"/>
  <c r="U251" i="4" s="1"/>
  <c r="R252" i="4"/>
  <c r="U252" i="4" s="1"/>
  <c r="AA252" i="4" s="1"/>
  <c r="S252" i="4"/>
  <c r="AF252" i="4"/>
  <c r="AL252" i="4" s="1"/>
  <c r="R253" i="4"/>
  <c r="S253" i="4"/>
  <c r="R254" i="4"/>
  <c r="S254" i="4"/>
  <c r="U254" i="4"/>
  <c r="R255" i="4"/>
  <c r="S255" i="4"/>
  <c r="U255" i="4"/>
  <c r="AA255" i="4"/>
  <c r="AF255" i="4"/>
  <c r="AL255" i="4" s="1"/>
  <c r="R256" i="4"/>
  <c r="S256" i="4"/>
  <c r="U256" i="4" s="1"/>
  <c r="R257" i="4"/>
  <c r="AF257" i="4" s="1"/>
  <c r="AL257" i="4" s="1"/>
  <c r="S257" i="4"/>
  <c r="U257" i="4"/>
  <c r="AA257" i="4"/>
  <c r="R258" i="4"/>
  <c r="S258" i="4"/>
  <c r="AF258" i="4" s="1"/>
  <c r="AL258" i="4" s="1"/>
  <c r="R259" i="4"/>
  <c r="S259" i="4"/>
  <c r="U259" i="4" s="1"/>
  <c r="AF259" i="4"/>
  <c r="AL259" i="4" s="1"/>
  <c r="R260" i="4"/>
  <c r="S260" i="4"/>
  <c r="U260" i="4"/>
  <c r="R261" i="4"/>
  <c r="S261" i="4"/>
  <c r="U261" i="4"/>
  <c r="AA261" i="4"/>
  <c r="AF261" i="4"/>
  <c r="AL261" i="4"/>
  <c r="R262" i="4"/>
  <c r="S262" i="4"/>
  <c r="AF262" i="4"/>
  <c r="AL262" i="4" s="1"/>
  <c r="R263" i="4"/>
  <c r="S263" i="4"/>
  <c r="U263" i="4"/>
  <c r="R264" i="4"/>
  <c r="S264" i="4"/>
  <c r="AF264" i="4" s="1"/>
  <c r="AL264" i="4" s="1"/>
  <c r="U264" i="4"/>
  <c r="AA264" i="4" s="1"/>
  <c r="R265" i="4"/>
  <c r="U265" i="4" s="1"/>
  <c r="S265" i="4"/>
  <c r="AA265" i="4"/>
  <c r="AF265" i="4"/>
  <c r="AL265" i="4" s="1"/>
  <c r="R266" i="4"/>
  <c r="S266" i="4"/>
  <c r="R267" i="4"/>
  <c r="S267" i="4"/>
  <c r="U267" i="4"/>
  <c r="AA267" i="4" s="1"/>
  <c r="AF267" i="4"/>
  <c r="AL267" i="4" s="1"/>
  <c r="R268" i="4"/>
  <c r="U268" i="4" s="1"/>
  <c r="AA268" i="4" s="1"/>
  <c r="S268" i="4"/>
  <c r="AF268" i="4"/>
  <c r="AL268" i="4"/>
  <c r="R269" i="4"/>
  <c r="S269" i="4"/>
  <c r="R270" i="4"/>
  <c r="S270" i="4"/>
  <c r="R271" i="4"/>
  <c r="S271" i="4"/>
  <c r="U271" i="4"/>
  <c r="AA271" i="4"/>
  <c r="AF271" i="4"/>
  <c r="AL271" i="4" s="1"/>
  <c r="R272" i="4"/>
  <c r="S272" i="4"/>
  <c r="R273" i="4"/>
  <c r="AF273" i="4" s="1"/>
  <c r="AL273" i="4" s="1"/>
  <c r="S273" i="4"/>
  <c r="U273" i="4"/>
  <c r="AA273" i="4"/>
  <c r="R274" i="4"/>
  <c r="S274" i="4"/>
  <c r="U274" i="4" s="1"/>
  <c r="AF274" i="4"/>
  <c r="AL274" i="4"/>
  <c r="R275" i="4"/>
  <c r="S275" i="4"/>
  <c r="U275" i="4" s="1"/>
  <c r="AF275" i="4"/>
  <c r="AL275" i="4" s="1"/>
  <c r="R276" i="4"/>
  <c r="S276" i="4"/>
  <c r="U276" i="4" s="1"/>
  <c r="R277" i="4"/>
  <c r="S277" i="4"/>
  <c r="U277" i="4"/>
  <c r="AA277" i="4" s="1"/>
  <c r="AF277" i="4"/>
  <c r="AL277" i="4" s="1"/>
  <c r="R278" i="4"/>
  <c r="S278" i="4"/>
  <c r="AF278" i="4"/>
  <c r="AL278" i="4"/>
  <c r="R279" i="4"/>
  <c r="S279" i="4"/>
  <c r="U279" i="4" s="1"/>
  <c r="R280" i="4"/>
  <c r="S280" i="4"/>
  <c r="U280" i="4"/>
  <c r="AA280" i="4"/>
  <c r="AF280" i="4"/>
  <c r="AL280" i="4" s="1"/>
  <c r="R281" i="4"/>
  <c r="U281" i="4" s="1"/>
  <c r="AA281" i="4" s="1"/>
  <c r="S281" i="4"/>
  <c r="AF281" i="4"/>
  <c r="AL281" i="4"/>
  <c r="R282" i="4"/>
  <c r="S282" i="4"/>
  <c r="U282" i="4" s="1"/>
  <c r="R283" i="4"/>
  <c r="S283" i="4"/>
  <c r="U283" i="4"/>
  <c r="R284" i="4"/>
  <c r="U284" i="4" s="1"/>
  <c r="S284" i="4"/>
  <c r="AA284" i="4"/>
  <c r="AF284" i="4"/>
  <c r="AL284" i="4"/>
  <c r="R285" i="4"/>
  <c r="S285" i="4"/>
  <c r="R286" i="4"/>
  <c r="S286" i="4"/>
  <c r="U286" i="4"/>
  <c r="AF286" i="4"/>
  <c r="AL286" i="4" s="1"/>
  <c r="R287" i="4"/>
  <c r="S287" i="4"/>
  <c r="U287" i="4"/>
  <c r="AA287" i="4" s="1"/>
  <c r="AF287" i="4"/>
  <c r="AL287" i="4" s="1"/>
  <c r="R288" i="4"/>
  <c r="S288" i="4"/>
  <c r="U288" i="4" s="1"/>
  <c r="R289" i="4"/>
  <c r="S289" i="4"/>
  <c r="R290" i="4"/>
  <c r="S290" i="4"/>
  <c r="U290" i="4"/>
  <c r="AA290" i="4"/>
  <c r="AF290" i="4"/>
  <c r="AL290" i="4"/>
  <c r="R291" i="4"/>
  <c r="U291" i="4" s="1"/>
  <c r="S291" i="4"/>
  <c r="AA291" i="4"/>
  <c r="AF291" i="4"/>
  <c r="AL291" i="4"/>
  <c r="R292" i="4"/>
  <c r="S292" i="4"/>
  <c r="R293" i="4"/>
  <c r="AF293" i="4" s="1"/>
  <c r="AL293" i="4" s="1"/>
  <c r="S293" i="4"/>
  <c r="U293" i="4"/>
  <c r="AA293" i="4"/>
  <c r="R294" i="4"/>
  <c r="S294" i="4"/>
  <c r="AF294" i="4" s="1"/>
  <c r="AL294" i="4" s="1"/>
  <c r="R295" i="4"/>
  <c r="U295" i="4" s="1"/>
  <c r="S295" i="4"/>
  <c r="AA295" i="4"/>
  <c r="AF295" i="4"/>
  <c r="AL295" i="4" s="1"/>
  <c r="R296" i="4"/>
  <c r="S296" i="4"/>
  <c r="R297" i="4"/>
  <c r="S297" i="4"/>
  <c r="U297" i="4"/>
  <c r="AA297" i="4" s="1"/>
  <c r="R298" i="4"/>
  <c r="S298" i="4"/>
  <c r="R299" i="4"/>
  <c r="U299" i="4" s="1"/>
  <c r="S299" i="4"/>
  <c r="AA299" i="4"/>
  <c r="AF299" i="4"/>
  <c r="AL299" i="4" s="1"/>
  <c r="R300" i="4"/>
  <c r="S300" i="4"/>
  <c r="U300" i="4" s="1"/>
  <c r="R301" i="4"/>
  <c r="AF301" i="4" s="1"/>
  <c r="AL301" i="4" s="1"/>
  <c r="S301" i="4"/>
  <c r="U301" i="4"/>
  <c r="AA301" i="4" s="1"/>
  <c r="R302" i="4"/>
  <c r="S302" i="4"/>
  <c r="U302" i="4"/>
  <c r="AA302" i="4"/>
  <c r="AF302" i="4"/>
  <c r="AL302" i="4" s="1"/>
  <c r="R303" i="4"/>
  <c r="U303" i="4" s="1"/>
  <c r="AA303" i="4" s="1"/>
  <c r="S303" i="4"/>
  <c r="AF303" i="4"/>
  <c r="AL303" i="4"/>
  <c r="R304" i="4"/>
  <c r="S304" i="4"/>
  <c r="U304" i="4" s="1"/>
  <c r="R305" i="4"/>
  <c r="S305" i="4"/>
  <c r="U305" i="4" s="1"/>
  <c r="R306" i="4"/>
  <c r="S306" i="4"/>
  <c r="U306" i="4"/>
  <c r="AA306" i="4"/>
  <c r="AF306" i="4"/>
  <c r="AL306" i="4" s="1"/>
  <c r="R307" i="4"/>
  <c r="U307" i="4" s="1"/>
  <c r="S307" i="4"/>
  <c r="AA307" i="4"/>
  <c r="AF307" i="4"/>
  <c r="AL307" i="4"/>
  <c r="R308" i="4"/>
  <c r="S308" i="4"/>
  <c r="U308" i="4" s="1"/>
  <c r="R309" i="4"/>
  <c r="AF309" i="4" s="1"/>
  <c r="AL309" i="4" s="1"/>
  <c r="S309" i="4"/>
  <c r="U309" i="4"/>
  <c r="AA309" i="4"/>
  <c r="R310" i="4"/>
  <c r="S310" i="4"/>
  <c r="AF310" i="4" s="1"/>
  <c r="AL310" i="4" s="1"/>
  <c r="U310" i="4"/>
  <c r="AA310" i="4" s="1"/>
  <c r="R311" i="4"/>
  <c r="U311" i="4" s="1"/>
  <c r="S311" i="4"/>
  <c r="AA311" i="4"/>
  <c r="AF311" i="4"/>
  <c r="AL311" i="4" s="1"/>
  <c r="R312" i="4"/>
  <c r="S312" i="4"/>
  <c r="R313" i="4"/>
  <c r="S313" i="4"/>
  <c r="U313" i="4"/>
  <c r="AA313" i="4" s="1"/>
  <c r="R314" i="4"/>
  <c r="S314" i="4"/>
  <c r="R315" i="4"/>
  <c r="U315" i="4" s="1"/>
  <c r="AA315" i="4" s="1"/>
  <c r="S315" i="4"/>
  <c r="AF315" i="4"/>
  <c r="AL315" i="4" s="1"/>
  <c r="R316" i="4"/>
  <c r="S316" i="4"/>
  <c r="U316" i="4" s="1"/>
  <c r="R317" i="4"/>
  <c r="AA317" i="4" s="1"/>
  <c r="S317" i="4"/>
  <c r="U317" i="4"/>
  <c r="R318" i="4"/>
  <c r="S318" i="4"/>
  <c r="U318" i="4"/>
  <c r="AA318" i="4"/>
  <c r="AF318" i="4"/>
  <c r="AL318" i="4"/>
  <c r="R319" i="4"/>
  <c r="U319" i="4" s="1"/>
  <c r="AA319" i="4" s="1"/>
  <c r="S319" i="4"/>
  <c r="AF319" i="4"/>
  <c r="AL319" i="4"/>
  <c r="R320" i="4"/>
  <c r="S320" i="4"/>
  <c r="U320" i="4" s="1"/>
  <c r="R321" i="4"/>
  <c r="S321" i="4"/>
  <c r="U321" i="4" s="1"/>
  <c r="R322" i="4"/>
  <c r="S322" i="4"/>
  <c r="U322" i="4"/>
  <c r="AA322" i="4"/>
  <c r="AF322" i="4"/>
  <c r="AL322" i="4"/>
  <c r="R323" i="4"/>
  <c r="S323" i="4"/>
  <c r="U323" i="4"/>
  <c r="AA323" i="4"/>
  <c r="AF323" i="4"/>
  <c r="AL323" i="4"/>
  <c r="R324" i="4"/>
  <c r="S324" i="4"/>
  <c r="U324" i="4" s="1"/>
  <c r="R325" i="4"/>
  <c r="S325" i="4"/>
  <c r="U325" i="4"/>
  <c r="AA325" i="4"/>
  <c r="R326" i="4"/>
  <c r="S326" i="4"/>
  <c r="AF326" i="4" s="1"/>
  <c r="AL326" i="4" s="1"/>
  <c r="R327" i="4"/>
  <c r="S327" i="4"/>
  <c r="U327" i="4"/>
  <c r="AA327" i="4"/>
  <c r="AF327" i="4"/>
  <c r="AL327" i="4" s="1"/>
  <c r="R328" i="4"/>
  <c r="S328" i="4"/>
  <c r="U328" i="4" s="1"/>
  <c r="R329" i="4"/>
  <c r="S329" i="4"/>
  <c r="U329" i="4"/>
  <c r="AA329" i="4"/>
  <c r="R330" i="4"/>
  <c r="S330" i="4"/>
  <c r="U330" i="4"/>
  <c r="AA330" i="4"/>
  <c r="AF330" i="4"/>
  <c r="AL330" i="4"/>
  <c r="R331" i="4"/>
  <c r="S331" i="4"/>
  <c r="U331" i="4"/>
  <c r="AA331" i="4"/>
  <c r="AF331" i="4"/>
  <c r="AL331" i="4"/>
  <c r="R332" i="4"/>
  <c r="S332" i="4"/>
  <c r="U332" i="4" s="1"/>
  <c r="R333" i="4"/>
  <c r="S333" i="4"/>
  <c r="U333" i="4" s="1"/>
  <c r="R334" i="4"/>
  <c r="S334" i="4"/>
  <c r="U334" i="4"/>
  <c r="AA334" i="4" s="1"/>
  <c r="AF334" i="4"/>
  <c r="AL334" i="4" s="1"/>
  <c r="R335" i="4"/>
  <c r="S335" i="4"/>
  <c r="U335" i="4"/>
  <c r="AA335" i="4"/>
  <c r="AF335" i="4"/>
  <c r="AL335" i="4"/>
  <c r="R336" i="4"/>
  <c r="S336" i="4"/>
  <c r="R337" i="4"/>
  <c r="S337" i="4"/>
  <c r="U337" i="4"/>
  <c r="AA337" i="4" s="1"/>
  <c r="R338" i="4"/>
  <c r="S338" i="4"/>
  <c r="R339" i="4"/>
  <c r="S339" i="4"/>
  <c r="U339" i="4"/>
  <c r="AA339" i="4"/>
  <c r="AF339" i="4"/>
  <c r="AL339" i="4" s="1"/>
  <c r="R340" i="4"/>
  <c r="S340" i="4"/>
  <c r="U340" i="4" s="1"/>
  <c r="R341" i="4"/>
  <c r="S341" i="4"/>
  <c r="U341" i="4"/>
  <c r="R342" i="4"/>
  <c r="S342" i="4"/>
  <c r="U342" i="4"/>
  <c r="AA342" i="4"/>
  <c r="AF342" i="4"/>
  <c r="AL342" i="4" s="1"/>
  <c r="R343" i="4"/>
  <c r="S343" i="4"/>
  <c r="U343" i="4"/>
  <c r="AA343" i="4"/>
  <c r="AF343" i="4"/>
  <c r="AL343" i="4"/>
  <c r="R344" i="4"/>
  <c r="S344" i="4"/>
  <c r="R345" i="4"/>
  <c r="AF345" i="4" s="1"/>
  <c r="AL345" i="4" s="1"/>
  <c r="S345" i="4"/>
  <c r="U345" i="4"/>
  <c r="AA345" i="4"/>
  <c r="R346" i="4"/>
  <c r="S346" i="4"/>
  <c r="AF346" i="4" s="1"/>
  <c r="AL346" i="4" s="1"/>
  <c r="R347" i="4"/>
  <c r="S347" i="4"/>
  <c r="U347" i="4"/>
  <c r="AA347" i="4"/>
  <c r="AF347" i="4"/>
  <c r="AL347" i="4"/>
  <c r="R348" i="4"/>
  <c r="S348" i="4"/>
  <c r="R349" i="4"/>
  <c r="S349" i="4"/>
  <c r="U349" i="4"/>
  <c r="AA349" i="4" s="1"/>
  <c r="R350" i="4"/>
  <c r="S350" i="4"/>
  <c r="U350" i="4" s="1"/>
  <c r="AA350" i="4" s="1"/>
  <c r="AF350" i="4"/>
  <c r="AL350" i="4"/>
  <c r="R351" i="4"/>
  <c r="S351" i="4"/>
  <c r="U351" i="4"/>
  <c r="AA351" i="4"/>
  <c r="AF351" i="4"/>
  <c r="AL351" i="4"/>
  <c r="R352" i="4"/>
  <c r="S352" i="4"/>
  <c r="U352" i="4" s="1"/>
  <c r="R353" i="4"/>
  <c r="S353" i="4"/>
  <c r="R354" i="4"/>
  <c r="S354" i="4"/>
  <c r="U354" i="4"/>
  <c r="AA354" i="4" s="1"/>
  <c r="AF354" i="4"/>
  <c r="AL354" i="4"/>
  <c r="R355" i="4"/>
  <c r="S355" i="4"/>
  <c r="U355" i="4"/>
  <c r="AA355" i="4"/>
  <c r="AF355" i="4"/>
  <c r="AL355" i="4" s="1"/>
  <c r="R356" i="4"/>
  <c r="S356" i="4"/>
  <c r="U356" i="4" s="1"/>
  <c r="R357" i="4"/>
  <c r="S357" i="4"/>
  <c r="U357" i="4"/>
  <c r="AA357" i="4"/>
  <c r="R358" i="4"/>
  <c r="S358" i="4"/>
  <c r="AF358" i="4" s="1"/>
  <c r="AL358" i="4" s="1"/>
  <c r="U358" i="4"/>
  <c r="AA358" i="4" s="1"/>
  <c r="R359" i="4"/>
  <c r="S359" i="4"/>
  <c r="U359" i="4"/>
  <c r="AA359" i="4"/>
  <c r="AF359" i="4"/>
  <c r="AL359" i="4" s="1"/>
  <c r="R360" i="4"/>
  <c r="S360" i="4"/>
  <c r="U360" i="4" s="1"/>
  <c r="R361" i="4"/>
  <c r="S361" i="4"/>
  <c r="U361" i="4"/>
  <c r="AA361" i="4"/>
  <c r="R362" i="4"/>
  <c r="S362" i="4"/>
  <c r="U362" i="4"/>
  <c r="AA362" i="4"/>
  <c r="AF362" i="4"/>
  <c r="AL362" i="4"/>
  <c r="R363" i="4"/>
  <c r="S363" i="4"/>
  <c r="U363" i="4"/>
  <c r="AA363" i="4"/>
  <c r="AF363" i="4"/>
  <c r="AL363" i="4"/>
  <c r="R364" i="4"/>
  <c r="S364" i="4"/>
  <c r="U364" i="4" s="1"/>
  <c r="R365" i="4"/>
  <c r="S365" i="4"/>
  <c r="R366" i="4"/>
  <c r="S366" i="4"/>
  <c r="U366" i="4" s="1"/>
  <c r="AA366" i="4"/>
  <c r="AF366" i="4"/>
  <c r="AL366" i="4" s="1"/>
  <c r="R367" i="4"/>
  <c r="S367" i="4"/>
  <c r="U367" i="4"/>
  <c r="AA367" i="4"/>
  <c r="AF367" i="4"/>
  <c r="AL367" i="4" s="1"/>
  <c r="R368" i="4"/>
  <c r="S368" i="4"/>
  <c r="R369" i="4"/>
  <c r="S369" i="4"/>
  <c r="U369" i="4"/>
  <c r="AA369" i="4" s="1"/>
  <c r="R370" i="4"/>
  <c r="S370" i="4"/>
  <c r="R371" i="4"/>
  <c r="S371" i="4"/>
  <c r="U371" i="4"/>
  <c r="AA371" i="4"/>
  <c r="AF371" i="4"/>
  <c r="AL371" i="4" s="1"/>
  <c r="R372" i="4"/>
  <c r="S372" i="4"/>
  <c r="U372" i="4" s="1"/>
  <c r="R373" i="4"/>
  <c r="S373" i="4"/>
  <c r="U373" i="4"/>
  <c r="R374" i="4"/>
  <c r="S374" i="4"/>
  <c r="U374" i="4"/>
  <c r="AA374" i="4"/>
  <c r="AF374" i="4"/>
  <c r="AL374" i="4"/>
  <c r="R375" i="4"/>
  <c r="S375" i="4"/>
  <c r="U375" i="4"/>
  <c r="AA375" i="4"/>
  <c r="AF375" i="4"/>
  <c r="AL375" i="4"/>
  <c r="R376" i="4"/>
  <c r="S376" i="4"/>
  <c r="U376" i="4" s="1"/>
  <c r="R377" i="4"/>
  <c r="S377" i="4"/>
  <c r="U377" i="4"/>
  <c r="AA377" i="4"/>
  <c r="R378" i="4"/>
  <c r="S378" i="4"/>
  <c r="U378" i="4"/>
  <c r="R379" i="4"/>
  <c r="S379" i="4"/>
  <c r="U379" i="4"/>
  <c r="AA379" i="4" s="1"/>
  <c r="AF379" i="4"/>
  <c r="AL379" i="4" s="1"/>
  <c r="R380" i="4"/>
  <c r="S380" i="4"/>
  <c r="U380" i="4" s="1"/>
  <c r="AF380" i="4"/>
  <c r="AL380" i="4"/>
  <c r="R381" i="4"/>
  <c r="S381" i="4"/>
  <c r="U381" i="4" s="1"/>
  <c r="R382" i="4"/>
  <c r="S382" i="4"/>
  <c r="U382" i="4"/>
  <c r="AA382" i="4"/>
  <c r="AF382" i="4"/>
  <c r="AL382" i="4" s="1"/>
  <c r="R383" i="4"/>
  <c r="S383" i="4"/>
  <c r="U383" i="4"/>
  <c r="AA383" i="4"/>
  <c r="AF383" i="4"/>
  <c r="AL383" i="4"/>
  <c r="R384" i="4"/>
  <c r="S384" i="4"/>
  <c r="R385" i="4"/>
  <c r="S385" i="4"/>
  <c r="U385" i="4"/>
  <c r="AA385" i="4"/>
  <c r="R386" i="4"/>
  <c r="S386" i="4"/>
  <c r="U386" i="4" s="1"/>
  <c r="R387" i="4"/>
  <c r="S387" i="4"/>
  <c r="U387" i="4"/>
  <c r="AA387" i="4"/>
  <c r="AF387" i="4"/>
  <c r="AL387" i="4" s="1"/>
  <c r="R388" i="4"/>
  <c r="S388" i="4"/>
  <c r="U388" i="4"/>
  <c r="AF388" i="4"/>
  <c r="AL388" i="4" s="1"/>
  <c r="R389" i="4"/>
  <c r="S389" i="4"/>
  <c r="U389" i="4" s="1"/>
  <c r="R390" i="4"/>
  <c r="S390" i="4"/>
  <c r="AF390" i="4" s="1"/>
  <c r="AL390" i="4" s="1"/>
  <c r="U390" i="4"/>
  <c r="AA390" i="4"/>
  <c r="R391" i="4"/>
  <c r="S391" i="4"/>
  <c r="U391" i="4"/>
  <c r="AA391" i="4"/>
  <c r="AF391" i="4"/>
  <c r="AL391" i="4"/>
  <c r="R392" i="4"/>
  <c r="S392" i="4"/>
  <c r="R393" i="4"/>
  <c r="AF393" i="4" s="1"/>
  <c r="AL393" i="4" s="1"/>
  <c r="S393" i="4"/>
  <c r="U393" i="4"/>
  <c r="AA393" i="4" s="1"/>
  <c r="R394" i="4"/>
  <c r="S394" i="4"/>
  <c r="U394" i="4"/>
  <c r="AA394" i="4"/>
  <c r="AF394" i="4"/>
  <c r="AL394" i="4" s="1"/>
  <c r="R395" i="4"/>
  <c r="S395" i="4"/>
  <c r="R396" i="4"/>
  <c r="S396" i="4"/>
  <c r="U396" i="4"/>
  <c r="R397" i="4"/>
  <c r="S397" i="4"/>
  <c r="U397" i="4"/>
  <c r="AA397" i="4" s="1"/>
  <c r="AF397" i="4"/>
  <c r="AL397" i="4" s="1"/>
  <c r="R398" i="4"/>
  <c r="S398" i="4"/>
  <c r="U398" i="4" s="1"/>
  <c r="R399" i="4"/>
  <c r="S399" i="4"/>
  <c r="U399" i="4"/>
  <c r="R400" i="4"/>
  <c r="S400" i="4"/>
  <c r="U400" i="4"/>
  <c r="AF400" i="4"/>
  <c r="AL400" i="4"/>
  <c r="R401" i="4"/>
  <c r="S401" i="4"/>
  <c r="U401" i="4"/>
  <c r="AA401" i="4"/>
  <c r="AF401" i="4"/>
  <c r="AL401" i="4" s="1"/>
  <c r="R402" i="4"/>
  <c r="S402" i="4"/>
  <c r="U402" i="4"/>
  <c r="R403" i="4"/>
  <c r="S403" i="4"/>
  <c r="U403" i="4"/>
  <c r="AA403" i="4" s="1"/>
  <c r="AF403" i="4"/>
  <c r="AL403" i="4" s="1"/>
  <c r="R404" i="4"/>
  <c r="S404" i="4"/>
  <c r="U404" i="4"/>
  <c r="AF404" i="4"/>
  <c r="AL404" i="4" s="1"/>
  <c r="R405" i="4"/>
  <c r="S405" i="4"/>
  <c r="R406" i="4"/>
  <c r="S406" i="4"/>
  <c r="AF406" i="4" s="1"/>
  <c r="AL406" i="4" s="1"/>
  <c r="U406" i="4"/>
  <c r="AA406" i="4"/>
  <c r="R407" i="4"/>
  <c r="S407" i="4"/>
  <c r="U407" i="4"/>
  <c r="AA407" i="4"/>
  <c r="AF407" i="4"/>
  <c r="AL407" i="4" s="1"/>
  <c r="R408" i="4"/>
  <c r="S408" i="4"/>
  <c r="R409" i="4"/>
  <c r="S409" i="4"/>
  <c r="U409" i="4" s="1"/>
  <c r="AA409" i="4"/>
  <c r="R410" i="4"/>
  <c r="S410" i="4"/>
  <c r="U410" i="4"/>
  <c r="AA410" i="4"/>
  <c r="AF410" i="4"/>
  <c r="AL410" i="4"/>
  <c r="R411" i="4"/>
  <c r="S411" i="4"/>
  <c r="R412" i="4"/>
  <c r="S412" i="4"/>
  <c r="R413" i="4"/>
  <c r="S413" i="4"/>
  <c r="U413" i="4"/>
  <c r="AA413" i="4"/>
  <c r="AF413" i="4"/>
  <c r="AL413" i="4" s="1"/>
  <c r="R414" i="4"/>
  <c r="S414" i="4"/>
  <c r="R415" i="4"/>
  <c r="S415" i="4"/>
  <c r="U415" i="4"/>
  <c r="R416" i="4"/>
  <c r="S416" i="4"/>
  <c r="U416" i="4"/>
  <c r="AF416" i="4"/>
  <c r="AL416" i="4" s="1"/>
  <c r="R417" i="4"/>
  <c r="S417" i="4"/>
  <c r="U417" i="4"/>
  <c r="AA417" i="4"/>
  <c r="AF417" i="4"/>
  <c r="AL417" i="4" s="1"/>
  <c r="R418" i="4"/>
  <c r="S418" i="4"/>
  <c r="U418" i="4" s="1"/>
  <c r="R419" i="4"/>
  <c r="S419" i="4"/>
  <c r="U419" i="4"/>
  <c r="AA419" i="4"/>
  <c r="AF419" i="4"/>
  <c r="AL419" i="4" s="1"/>
  <c r="R420" i="4"/>
  <c r="S420" i="4"/>
  <c r="U420" i="4"/>
  <c r="AF420" i="4"/>
  <c r="AL420" i="4"/>
  <c r="R421" i="4"/>
  <c r="S421" i="4"/>
  <c r="U421" i="4" s="1"/>
  <c r="R422" i="4"/>
  <c r="S422" i="4"/>
  <c r="AF422" i="4" s="1"/>
  <c r="AL422" i="4" s="1"/>
  <c r="U422" i="4"/>
  <c r="AA422" i="4" s="1"/>
  <c r="R423" i="4"/>
  <c r="S423" i="4"/>
  <c r="U423" i="4"/>
  <c r="AA423" i="4"/>
  <c r="AF423" i="4"/>
  <c r="AL423" i="4" s="1"/>
  <c r="R424" i="4"/>
  <c r="S424" i="4"/>
  <c r="R425" i="4"/>
  <c r="AF425" i="4" s="1"/>
  <c r="AL425" i="4" s="1"/>
  <c r="S425" i="4"/>
  <c r="U425" i="4"/>
  <c r="AA425" i="4" s="1"/>
  <c r="R426" i="4"/>
  <c r="S426" i="4"/>
  <c r="U426" i="4"/>
  <c r="AA426" i="4"/>
  <c r="AF426" i="4"/>
  <c r="AL426" i="4" s="1"/>
  <c r="R427" i="4"/>
  <c r="S427" i="4"/>
  <c r="R428" i="4"/>
  <c r="S428" i="4"/>
  <c r="R429" i="4"/>
  <c r="S429" i="4"/>
  <c r="U429" i="4"/>
  <c r="AA429" i="4"/>
  <c r="AF429" i="4"/>
  <c r="AL429" i="4" s="1"/>
  <c r="R430" i="4"/>
  <c r="S430" i="4"/>
  <c r="R431" i="4"/>
  <c r="S431" i="4"/>
  <c r="U431" i="4"/>
  <c r="R432" i="4"/>
  <c r="S432" i="4"/>
  <c r="AF432" i="4" s="1"/>
  <c r="AL432" i="4" s="1"/>
  <c r="R433" i="4"/>
  <c r="S433" i="4"/>
  <c r="U433" i="4"/>
  <c r="AA433" i="4"/>
  <c r="AF433" i="4"/>
  <c r="AL433" i="4" s="1"/>
  <c r="R434" i="4"/>
  <c r="S434" i="4"/>
  <c r="U434" i="4" s="1"/>
  <c r="R435" i="4"/>
  <c r="S435" i="4"/>
  <c r="U435" i="4"/>
  <c r="AA435" i="4" s="1"/>
  <c r="AF435" i="4"/>
  <c r="AL435" i="4" s="1"/>
  <c r="R436" i="4"/>
  <c r="S436" i="4"/>
  <c r="U436" i="4"/>
  <c r="AF436" i="4"/>
  <c r="AL436" i="4" s="1"/>
  <c r="R437" i="4"/>
  <c r="S437" i="4"/>
  <c r="U437" i="4" s="1"/>
  <c r="R438" i="4"/>
  <c r="S438" i="4"/>
  <c r="R439" i="4"/>
  <c r="S439" i="4"/>
  <c r="U439" i="4"/>
  <c r="AA439" i="4"/>
  <c r="AF439" i="4"/>
  <c r="AL439" i="4" s="1"/>
  <c r="R440" i="4"/>
  <c r="S440" i="4"/>
  <c r="U440" i="4" s="1"/>
  <c r="R441" i="4"/>
  <c r="S441" i="4"/>
  <c r="U441" i="4"/>
  <c r="AA441" i="4"/>
  <c r="R442" i="4"/>
  <c r="S442" i="4"/>
  <c r="U442" i="4"/>
  <c r="AA442" i="4"/>
  <c r="AF442" i="4"/>
  <c r="AL442" i="4"/>
  <c r="R443" i="4"/>
  <c r="S443" i="4"/>
  <c r="R444" i="4"/>
  <c r="S444" i="4"/>
  <c r="U444" i="4"/>
  <c r="R445" i="4"/>
  <c r="S445" i="4"/>
  <c r="U445" i="4"/>
  <c r="AA445" i="4"/>
  <c r="AF445" i="4"/>
  <c r="AL445" i="4" s="1"/>
  <c r="R446" i="4"/>
  <c r="S446" i="4"/>
  <c r="R447" i="4"/>
  <c r="S447" i="4"/>
  <c r="U447" i="4"/>
  <c r="R448" i="4"/>
  <c r="S448" i="4"/>
  <c r="R449" i="4"/>
  <c r="S449" i="4"/>
  <c r="U449" i="4"/>
  <c r="AA449" i="4"/>
  <c r="AF449" i="4"/>
  <c r="AL449" i="4" s="1"/>
  <c r="R450" i="4"/>
  <c r="S450" i="4"/>
  <c r="U450" i="4"/>
  <c r="R451" i="4"/>
  <c r="S451" i="4"/>
  <c r="U451" i="4"/>
  <c r="AA451" i="4" s="1"/>
  <c r="AF451" i="4"/>
  <c r="AL451" i="4" s="1"/>
  <c r="R452" i="4"/>
  <c r="S452" i="4"/>
  <c r="U452" i="4"/>
  <c r="AF452" i="4"/>
  <c r="AL452" i="4"/>
  <c r="R453" i="4"/>
  <c r="S453" i="4"/>
  <c r="R454" i="4"/>
  <c r="S454" i="4"/>
  <c r="U454" i="4" s="1"/>
  <c r="AA454" i="4" s="1"/>
  <c r="AF454" i="4"/>
  <c r="AL454" i="4" s="1"/>
  <c r="R455" i="4"/>
  <c r="S455" i="4"/>
  <c r="U455" i="4"/>
  <c r="AA455" i="4"/>
  <c r="AF455" i="4"/>
  <c r="AL455" i="4" s="1"/>
  <c r="R456" i="4"/>
  <c r="S456" i="4"/>
  <c r="R457" i="4"/>
  <c r="S457" i="4"/>
  <c r="U457" i="4" s="1"/>
  <c r="R458" i="4"/>
  <c r="S458" i="4"/>
  <c r="U458" i="4"/>
  <c r="AA458" i="4"/>
  <c r="AF458" i="4"/>
  <c r="AL458" i="4"/>
  <c r="R459" i="4"/>
  <c r="S459" i="4"/>
  <c r="R460" i="4"/>
  <c r="S460" i="4"/>
  <c r="U460" i="4" s="1"/>
  <c r="R461" i="4"/>
  <c r="S461" i="4"/>
  <c r="U461" i="4"/>
  <c r="AA461" i="4"/>
  <c r="AF461" i="4"/>
  <c r="AL461" i="4" s="1"/>
  <c r="R462" i="4"/>
  <c r="S462" i="4"/>
  <c r="U462" i="4" s="1"/>
  <c r="R463" i="4"/>
  <c r="S463" i="4"/>
  <c r="U463" i="4"/>
  <c r="R464" i="4"/>
  <c r="S464" i="4"/>
  <c r="U464" i="4" s="1"/>
  <c r="AF464" i="4"/>
  <c r="AL464" i="4" s="1"/>
  <c r="R465" i="4"/>
  <c r="S465" i="4"/>
  <c r="U465" i="4"/>
  <c r="AA465" i="4"/>
  <c r="AF465" i="4"/>
  <c r="AL465" i="4" s="1"/>
  <c r="R466" i="4"/>
  <c r="S466" i="4"/>
  <c r="U466" i="4" s="1"/>
  <c r="R467" i="4"/>
  <c r="AF467" i="4" s="1"/>
  <c r="AL467" i="4" s="1"/>
  <c r="S467" i="4"/>
  <c r="U467" i="4"/>
  <c r="AA467" i="4"/>
  <c r="R468" i="4"/>
  <c r="S468" i="4"/>
  <c r="U468" i="4"/>
  <c r="AF468" i="4"/>
  <c r="AL468" i="4" s="1"/>
  <c r="R469" i="4"/>
  <c r="S469" i="4"/>
  <c r="U469" i="4" s="1"/>
  <c r="R470" i="4"/>
  <c r="S470" i="4"/>
  <c r="U470" i="4"/>
  <c r="AA470" i="4" s="1"/>
  <c r="AF470" i="4"/>
  <c r="AL470" i="4" s="1"/>
  <c r="R471" i="4"/>
  <c r="S471" i="4"/>
  <c r="U471" i="4"/>
  <c r="AA471" i="4" s="1"/>
  <c r="AF471" i="4"/>
  <c r="AL471" i="4"/>
  <c r="R472" i="4"/>
  <c r="S472" i="4"/>
  <c r="U472" i="4" s="1"/>
  <c r="R473" i="4"/>
  <c r="S473" i="4"/>
  <c r="R474" i="4"/>
  <c r="S474" i="4"/>
  <c r="U474" i="4"/>
  <c r="AA474" i="4"/>
  <c r="AF474" i="4"/>
  <c r="AL474" i="4"/>
  <c r="R475" i="4"/>
  <c r="S475" i="4"/>
  <c r="AF475" i="4"/>
  <c r="AL475" i="4" s="1"/>
  <c r="R476" i="4"/>
  <c r="S476" i="4"/>
  <c r="U476" i="4"/>
  <c r="R477" i="4"/>
  <c r="S477" i="4"/>
  <c r="U477" i="4" s="1"/>
  <c r="AA477" i="4" s="1"/>
  <c r="AF477" i="4"/>
  <c r="AL477" i="4" s="1"/>
  <c r="R478" i="4"/>
  <c r="S478" i="4"/>
  <c r="AF478" i="4"/>
  <c r="AL478" i="4" s="1"/>
  <c r="R479" i="4"/>
  <c r="S479" i="4"/>
  <c r="U479" i="4"/>
  <c r="R480" i="4"/>
  <c r="S480" i="4"/>
  <c r="U480" i="4" s="1"/>
  <c r="AF480" i="4"/>
  <c r="AL480" i="4" s="1"/>
  <c r="R481" i="4"/>
  <c r="S481" i="4"/>
  <c r="U481" i="4"/>
  <c r="AA481" i="4"/>
  <c r="AF481" i="4"/>
  <c r="AL481" i="4" s="1"/>
  <c r="R482" i="4"/>
  <c r="S482" i="4"/>
  <c r="U482" i="4" s="1"/>
  <c r="R483" i="4"/>
  <c r="S483" i="4"/>
  <c r="U483" i="4"/>
  <c r="AA483" i="4" s="1"/>
  <c r="AF483" i="4"/>
  <c r="AL483" i="4" s="1"/>
  <c r="R484" i="4"/>
  <c r="S484" i="4"/>
  <c r="U484" i="4"/>
  <c r="AF484" i="4"/>
  <c r="AL484" i="4" s="1"/>
  <c r="R485" i="4"/>
  <c r="S485" i="4"/>
  <c r="R486" i="4"/>
  <c r="S486" i="4"/>
  <c r="U486" i="4" s="1"/>
  <c r="R487" i="4"/>
  <c r="S487" i="4"/>
  <c r="U487" i="4"/>
  <c r="AA487" i="4"/>
  <c r="AF487" i="4"/>
  <c r="AL487" i="4"/>
  <c r="R488" i="4"/>
  <c r="S488" i="4"/>
  <c r="R489" i="4"/>
  <c r="AF489" i="4" s="1"/>
  <c r="AL489" i="4" s="1"/>
  <c r="S489" i="4"/>
  <c r="U489" i="4"/>
  <c r="AA489" i="4"/>
  <c r="R490" i="4"/>
  <c r="S490" i="4"/>
  <c r="U490" i="4"/>
  <c r="AA490" i="4" s="1"/>
  <c r="AF490" i="4"/>
  <c r="AL490" i="4" s="1"/>
  <c r="R491" i="4"/>
  <c r="S491" i="4"/>
  <c r="AF491" i="4"/>
  <c r="AL491" i="4"/>
  <c r="R492" i="4"/>
  <c r="S492" i="4"/>
  <c r="U492" i="4"/>
  <c r="R493" i="4"/>
  <c r="S493" i="4"/>
  <c r="U493" i="4" s="1"/>
  <c r="AA493" i="4" s="1"/>
  <c r="AF493" i="4"/>
  <c r="AL493" i="4" s="1"/>
  <c r="R494" i="4"/>
  <c r="S494" i="4"/>
  <c r="AF494" i="4"/>
  <c r="AL494" i="4" s="1"/>
  <c r="R495" i="4"/>
  <c r="S495" i="4"/>
  <c r="U495" i="4"/>
  <c r="R496" i="4"/>
  <c r="S496" i="4"/>
  <c r="U496" i="4" s="1"/>
  <c r="R497" i="4"/>
  <c r="S497" i="4"/>
  <c r="U497" i="4"/>
  <c r="AA497" i="4"/>
  <c r="AF497" i="4"/>
  <c r="AL497" i="4" s="1"/>
  <c r="R498" i="4"/>
  <c r="S498" i="4"/>
  <c r="U498" i="4" s="1"/>
  <c r="R499" i="4"/>
  <c r="AF499" i="4" s="1"/>
  <c r="AL499" i="4" s="1"/>
  <c r="S499" i="4"/>
  <c r="U499" i="4"/>
  <c r="R500" i="4"/>
  <c r="S500" i="4"/>
  <c r="U500" i="4"/>
  <c r="AF500" i="4"/>
  <c r="AL500" i="4"/>
  <c r="R501" i="4"/>
  <c r="S501" i="4"/>
  <c r="U501" i="4" s="1"/>
  <c r="R502" i="4"/>
  <c r="S502" i="4"/>
  <c r="U502" i="4"/>
  <c r="AA502" i="4" s="1"/>
  <c r="AF502" i="4"/>
  <c r="AL502" i="4" s="1"/>
  <c r="R503" i="4"/>
  <c r="S503" i="4"/>
  <c r="U503" i="4"/>
  <c r="AA503" i="4" s="1"/>
  <c r="AF503" i="4"/>
  <c r="AL503" i="4"/>
  <c r="R504" i="4"/>
  <c r="S504" i="4"/>
  <c r="U504" i="4" s="1"/>
  <c r="AF504" i="4"/>
  <c r="AL504" i="4"/>
  <c r="R505" i="4"/>
  <c r="S505" i="4"/>
  <c r="U505" i="4" s="1"/>
  <c r="R506" i="4"/>
  <c r="S506" i="4"/>
  <c r="U506" i="4" s="1"/>
  <c r="AA506" i="4" s="1"/>
  <c r="AF506" i="4"/>
  <c r="AL506" i="4" s="1"/>
  <c r="R507" i="4"/>
  <c r="S507" i="4"/>
  <c r="U507" i="4" s="1"/>
  <c r="AA507" i="4" s="1"/>
  <c r="AF507" i="4"/>
  <c r="AL507" i="4"/>
  <c r="R508" i="4"/>
  <c r="S508" i="4"/>
  <c r="R509" i="4"/>
  <c r="S509" i="4"/>
  <c r="U509" i="4"/>
  <c r="AA509" i="4"/>
  <c r="AF509" i="4"/>
  <c r="AL509" i="4" s="1"/>
  <c r="R510" i="4"/>
  <c r="S510" i="4"/>
  <c r="U510" i="4" s="1"/>
  <c r="AA510" i="4" s="1"/>
  <c r="AF510" i="4"/>
  <c r="AL510" i="4"/>
  <c r="R511" i="4"/>
  <c r="AF511" i="4" s="1"/>
  <c r="AL511" i="4" s="1"/>
  <c r="S511" i="4"/>
  <c r="U511" i="4" s="1"/>
  <c r="AA511" i="4"/>
  <c r="R512" i="4"/>
  <c r="S512" i="4"/>
  <c r="U512" i="4"/>
  <c r="R513" i="4"/>
  <c r="S513" i="4"/>
  <c r="U513" i="4" s="1"/>
  <c r="R514" i="4"/>
  <c r="S514" i="4"/>
  <c r="AF514" i="4" s="1"/>
  <c r="AL514" i="4" s="1"/>
  <c r="U514" i="4"/>
  <c r="AA514" i="4"/>
  <c r="R515" i="4"/>
  <c r="S515" i="4"/>
  <c r="U515" i="4" s="1"/>
  <c r="AA515" i="4" s="1"/>
  <c r="AF515" i="4"/>
  <c r="AL515" i="4"/>
  <c r="R516" i="4"/>
  <c r="S516" i="4"/>
  <c r="U516" i="4" s="1"/>
  <c r="R517" i="4"/>
  <c r="S517" i="4"/>
  <c r="U517" i="4"/>
  <c r="AA517" i="4"/>
  <c r="AF517" i="4"/>
  <c r="AL517" i="4" s="1"/>
  <c r="R518" i="4"/>
  <c r="S518" i="4"/>
  <c r="U518" i="4" s="1"/>
  <c r="AA518" i="4" s="1"/>
  <c r="AF518" i="4"/>
  <c r="AL518" i="4"/>
  <c r="R519" i="4"/>
  <c r="AF519" i="4" s="1"/>
  <c r="AL519" i="4" s="1"/>
  <c r="S519" i="4"/>
  <c r="R520" i="4"/>
  <c r="S520" i="4"/>
  <c r="U520" i="4"/>
  <c r="R521" i="4"/>
  <c r="S521" i="4"/>
  <c r="R522" i="4"/>
  <c r="S522" i="4"/>
  <c r="U522" i="4"/>
  <c r="AA522" i="4"/>
  <c r="AF522" i="4"/>
  <c r="AL522" i="4" s="1"/>
  <c r="R523" i="4"/>
  <c r="S523" i="4"/>
  <c r="U523" i="4" s="1"/>
  <c r="AA523" i="4" s="1"/>
  <c r="AF523" i="4"/>
  <c r="AL523" i="4" s="1"/>
  <c r="R524" i="4"/>
  <c r="S524" i="4"/>
  <c r="U524" i="4" s="1"/>
  <c r="R525" i="4"/>
  <c r="S525" i="4"/>
  <c r="U525" i="4"/>
  <c r="AA525" i="4"/>
  <c r="AF525" i="4"/>
  <c r="AL525" i="4" s="1"/>
  <c r="R526" i="4"/>
  <c r="S526" i="4"/>
  <c r="U526" i="4" s="1"/>
  <c r="AA526" i="4" s="1"/>
  <c r="AF526" i="4"/>
  <c r="AL526" i="4"/>
  <c r="R527" i="4"/>
  <c r="AF527" i="4" s="1"/>
  <c r="AL527" i="4" s="1"/>
  <c r="S527" i="4"/>
  <c r="U527" i="4" s="1"/>
  <c r="AA527" i="4"/>
  <c r="R528" i="4"/>
  <c r="S528" i="4"/>
  <c r="U528" i="4"/>
  <c r="R529" i="4"/>
  <c r="S529" i="4"/>
  <c r="U529" i="4" s="1"/>
  <c r="R530" i="4"/>
  <c r="S530" i="4"/>
  <c r="AF530" i="4" s="1"/>
  <c r="AL530" i="4" s="1"/>
  <c r="R531" i="4"/>
  <c r="S531" i="4"/>
  <c r="U531" i="4" s="1"/>
  <c r="AA531" i="4" s="1"/>
  <c r="AF531" i="4"/>
  <c r="AL531" i="4"/>
  <c r="R532" i="4"/>
  <c r="S532" i="4"/>
  <c r="R533" i="4"/>
  <c r="S533" i="4"/>
  <c r="U533" i="4"/>
  <c r="AA533" i="4"/>
  <c r="AF533" i="4"/>
  <c r="AL533" i="4" s="1"/>
  <c r="R534" i="4"/>
  <c r="S534" i="4"/>
  <c r="U534" i="4" s="1"/>
  <c r="AA534" i="4" s="1"/>
  <c r="AF534" i="4"/>
  <c r="AL534" i="4"/>
  <c r="R535" i="4"/>
  <c r="AF535" i="4" s="1"/>
  <c r="AL535" i="4" s="1"/>
  <c r="S535" i="4"/>
  <c r="U535" i="4" s="1"/>
  <c r="AA535" i="4"/>
  <c r="R536" i="4"/>
  <c r="S536" i="4"/>
  <c r="U536" i="4"/>
  <c r="R537" i="4"/>
  <c r="S537" i="4"/>
  <c r="U537" i="4" s="1"/>
  <c r="R538" i="4"/>
  <c r="S538" i="4"/>
  <c r="U538" i="4"/>
  <c r="AA538" i="4"/>
  <c r="AF538" i="4"/>
  <c r="AL538" i="4" s="1"/>
  <c r="R539" i="4"/>
  <c r="S539" i="4"/>
  <c r="U539" i="4" s="1"/>
  <c r="AA539" i="4" s="1"/>
  <c r="AF539" i="4"/>
  <c r="AL539" i="4" s="1"/>
  <c r="R540" i="4"/>
  <c r="S540" i="4"/>
  <c r="U540" i="4" s="1"/>
  <c r="R541" i="4"/>
  <c r="S541" i="4"/>
  <c r="U541" i="4"/>
  <c r="AA541" i="4" s="1"/>
  <c r="AF541" i="4"/>
  <c r="AL541" i="4" s="1"/>
  <c r="R542" i="4"/>
  <c r="S542" i="4"/>
  <c r="U542" i="4" s="1"/>
  <c r="AA542" i="4" s="1"/>
  <c r="AF542" i="4"/>
  <c r="AL542" i="4"/>
  <c r="R543" i="4"/>
  <c r="AF543" i="4" s="1"/>
  <c r="AL543" i="4" s="1"/>
  <c r="S543" i="4"/>
  <c r="R544" i="4"/>
  <c r="S544" i="4"/>
  <c r="U544" i="4"/>
  <c r="R545" i="4"/>
  <c r="S545" i="4"/>
  <c r="U545" i="4" s="1"/>
  <c r="R546" i="4"/>
  <c r="S546" i="4"/>
  <c r="U546" i="4"/>
  <c r="AA546" i="4" s="1"/>
  <c r="AF546" i="4"/>
  <c r="AL546" i="4" s="1"/>
  <c r="R547" i="4"/>
  <c r="S547" i="4"/>
  <c r="U547" i="4" s="1"/>
  <c r="AA547" i="4" s="1"/>
  <c r="AF547" i="4"/>
  <c r="AL547" i="4" s="1"/>
  <c r="R548" i="4"/>
  <c r="S548" i="4"/>
  <c r="U548" i="4" s="1"/>
  <c r="R549" i="4"/>
  <c r="S549" i="4"/>
  <c r="U549" i="4"/>
  <c r="AA549" i="4"/>
  <c r="AF549" i="4"/>
  <c r="AL549" i="4" s="1"/>
  <c r="R550" i="4"/>
  <c r="S550" i="4"/>
  <c r="U550" i="4" s="1"/>
  <c r="AA550" i="4" s="1"/>
  <c r="AF550" i="4"/>
  <c r="AL550" i="4"/>
  <c r="R551" i="4"/>
  <c r="AF551" i="4" s="1"/>
  <c r="AL551" i="4" s="1"/>
  <c r="S551" i="4"/>
  <c r="U551" i="4" s="1"/>
  <c r="AA551" i="4"/>
  <c r="R552" i="4"/>
  <c r="S552" i="4"/>
  <c r="U552" i="4"/>
  <c r="R553" i="4"/>
  <c r="S553" i="4"/>
  <c r="U553" i="4" s="1"/>
  <c r="R554" i="4"/>
  <c r="S554" i="4"/>
  <c r="AF554" i="4" s="1"/>
  <c r="AL554" i="4" s="1"/>
  <c r="U554" i="4"/>
  <c r="AA554" i="4" s="1"/>
  <c r="R555" i="4"/>
  <c r="S555" i="4"/>
  <c r="U555" i="4" s="1"/>
  <c r="AA555" i="4" s="1"/>
  <c r="AF555" i="4"/>
  <c r="AL555" i="4"/>
  <c r="R556" i="4"/>
  <c r="S556" i="4"/>
  <c r="U556" i="4" s="1"/>
  <c r="R557" i="4"/>
  <c r="S557" i="4"/>
  <c r="U557" i="4"/>
  <c r="AA557" i="4" s="1"/>
  <c r="AF557" i="4"/>
  <c r="AL557" i="4" s="1"/>
  <c r="R558" i="4"/>
  <c r="S558" i="4"/>
  <c r="U558" i="4" s="1"/>
  <c r="AA558" i="4" s="1"/>
  <c r="AF558" i="4"/>
  <c r="AL558" i="4"/>
  <c r="R559" i="4"/>
  <c r="AF559" i="4" s="1"/>
  <c r="AL559" i="4" s="1"/>
  <c r="S559" i="4"/>
  <c r="U559" i="4" s="1"/>
  <c r="AA559" i="4" s="1"/>
  <c r="R560" i="4"/>
  <c r="S560" i="4"/>
  <c r="U560" i="4"/>
  <c r="R561" i="4"/>
  <c r="S561" i="4"/>
  <c r="R562" i="4"/>
  <c r="S562" i="4"/>
  <c r="U562" i="4"/>
  <c r="AA562" i="4"/>
  <c r="AF562" i="4"/>
  <c r="AL562" i="4" s="1"/>
  <c r="R563" i="4"/>
  <c r="S563" i="4"/>
  <c r="U563" i="4" s="1"/>
  <c r="AA563" i="4" s="1"/>
  <c r="AF563" i="4"/>
  <c r="AL563" i="4"/>
  <c r="R564" i="4"/>
  <c r="S564" i="4"/>
  <c r="U564" i="4" s="1"/>
  <c r="R565" i="4"/>
  <c r="S565" i="4"/>
  <c r="U565" i="4"/>
  <c r="AA565" i="4" s="1"/>
  <c r="AF565" i="4"/>
  <c r="AL565" i="4" s="1"/>
  <c r="R566" i="4"/>
  <c r="S566" i="4"/>
  <c r="U566" i="4" s="1"/>
  <c r="AA566" i="4" s="1"/>
  <c r="AF566" i="4"/>
  <c r="AL566" i="4"/>
  <c r="R567" i="4"/>
  <c r="AF567" i="4" s="1"/>
  <c r="AL567" i="4" s="1"/>
  <c r="S567" i="4"/>
  <c r="U567" i="4" s="1"/>
  <c r="R568" i="4"/>
  <c r="S568" i="4"/>
  <c r="U568" i="4"/>
  <c r="R569" i="4"/>
  <c r="S569" i="4"/>
  <c r="U569" i="4" s="1"/>
  <c r="R570" i="4"/>
  <c r="S570" i="4"/>
  <c r="U570" i="4" s="1"/>
  <c r="AA570" i="4" s="1"/>
  <c r="AF570" i="4"/>
  <c r="AL570" i="4" s="1"/>
  <c r="R571" i="4"/>
  <c r="S571" i="4"/>
  <c r="U571" i="4" s="1"/>
  <c r="AA571" i="4" s="1"/>
  <c r="AF571" i="4"/>
  <c r="AL571" i="4"/>
  <c r="R572" i="4"/>
  <c r="S572" i="4"/>
  <c r="R573" i="4"/>
  <c r="S573" i="4"/>
  <c r="U573" i="4"/>
  <c r="AA573" i="4"/>
  <c r="AF573" i="4"/>
  <c r="AL573" i="4" s="1"/>
  <c r="R574" i="4"/>
  <c r="S574" i="4"/>
  <c r="U574" i="4" s="1"/>
  <c r="AA574" i="4" s="1"/>
  <c r="AF574" i="4"/>
  <c r="AL574" i="4"/>
  <c r="R575" i="4"/>
  <c r="AF575" i="4" s="1"/>
  <c r="AL575" i="4" s="1"/>
  <c r="S575" i="4"/>
  <c r="U575" i="4" s="1"/>
  <c r="AA575" i="4"/>
  <c r="R576" i="4"/>
  <c r="S576" i="4"/>
  <c r="U576" i="4"/>
  <c r="R577" i="4"/>
  <c r="S577" i="4"/>
  <c r="U577" i="4" s="1"/>
  <c r="R578" i="4"/>
  <c r="S578" i="4"/>
  <c r="AF578" i="4" s="1"/>
  <c r="AL578" i="4" s="1"/>
  <c r="U578" i="4"/>
  <c r="AA578" i="4"/>
  <c r="R579" i="4"/>
  <c r="S579" i="4"/>
  <c r="U579" i="4" s="1"/>
  <c r="AA579" i="4" s="1"/>
  <c r="AF579" i="4"/>
  <c r="AL579" i="4"/>
  <c r="R580" i="4"/>
  <c r="S580" i="4"/>
  <c r="U580" i="4" s="1"/>
  <c r="R581" i="4"/>
  <c r="S581" i="4"/>
  <c r="U581" i="4"/>
  <c r="AA581" i="4"/>
  <c r="AF581" i="4"/>
  <c r="AL581" i="4" s="1"/>
  <c r="R582" i="4"/>
  <c r="S582" i="4"/>
  <c r="U582" i="4" s="1"/>
  <c r="AA582" i="4" s="1"/>
  <c r="AF582" i="4"/>
  <c r="AL582" i="4"/>
  <c r="R583" i="4"/>
  <c r="AF583" i="4" s="1"/>
  <c r="AL583" i="4" s="1"/>
  <c r="S583" i="4"/>
  <c r="R584" i="4"/>
  <c r="S584" i="4"/>
  <c r="U584" i="4"/>
  <c r="R585" i="4"/>
  <c r="S585" i="4"/>
  <c r="R586" i="4"/>
  <c r="S586" i="4"/>
  <c r="U586" i="4"/>
  <c r="AA586" i="4"/>
  <c r="AF586" i="4"/>
  <c r="AL586" i="4" s="1"/>
  <c r="R587" i="4"/>
  <c r="S587" i="4"/>
  <c r="U587" i="4" s="1"/>
  <c r="AA587" i="4" s="1"/>
  <c r="AF587" i="4"/>
  <c r="AL587" i="4" s="1"/>
  <c r="R588" i="4"/>
  <c r="S588" i="4"/>
  <c r="U588" i="4" s="1"/>
  <c r="R589" i="4"/>
  <c r="S589" i="4"/>
  <c r="U589" i="4"/>
  <c r="AA589" i="4"/>
  <c r="AF589" i="4"/>
  <c r="AL589" i="4" s="1"/>
  <c r="R590" i="4"/>
  <c r="S590" i="4"/>
  <c r="U590" i="4" s="1"/>
  <c r="AA590" i="4" s="1"/>
  <c r="AF590" i="4"/>
  <c r="AL590" i="4"/>
  <c r="R591" i="4"/>
  <c r="AF591" i="4" s="1"/>
  <c r="AL591" i="4" s="1"/>
  <c r="S591" i="4"/>
  <c r="U591" i="4" s="1"/>
  <c r="AA591" i="4"/>
  <c r="R592" i="4"/>
  <c r="S592" i="4"/>
  <c r="U592" i="4"/>
  <c r="R593" i="4"/>
  <c r="S593" i="4"/>
  <c r="U593" i="4" s="1"/>
  <c r="R594" i="4"/>
  <c r="S594" i="4"/>
  <c r="AF594" i="4" s="1"/>
  <c r="AL594" i="4" s="1"/>
  <c r="R595" i="4"/>
  <c r="S595" i="4"/>
  <c r="U595" i="4" s="1"/>
  <c r="AA595" i="4" s="1"/>
  <c r="AF595" i="4"/>
  <c r="AL595" i="4"/>
  <c r="R596" i="4"/>
  <c r="S596" i="4"/>
  <c r="R597" i="4"/>
  <c r="S597" i="4"/>
  <c r="U597" i="4"/>
  <c r="AA597" i="4"/>
  <c r="AF597" i="4"/>
  <c r="AL597" i="4" s="1"/>
  <c r="R598" i="4"/>
  <c r="S598" i="4"/>
  <c r="U598" i="4" s="1"/>
  <c r="AA598" i="4" s="1"/>
  <c r="AF598" i="4"/>
  <c r="AL598" i="4"/>
  <c r="R599" i="4"/>
  <c r="AF599" i="4" s="1"/>
  <c r="AL599" i="4" s="1"/>
  <c r="S599" i="4"/>
  <c r="U599" i="4" s="1"/>
  <c r="AA599" i="4"/>
  <c r="R600" i="4"/>
  <c r="S600" i="4"/>
  <c r="U600" i="4"/>
  <c r="R601" i="4"/>
  <c r="S601" i="4"/>
  <c r="U601" i="4" s="1"/>
  <c r="R602" i="4"/>
  <c r="S602" i="4"/>
  <c r="U602" i="4"/>
  <c r="AA602" i="4"/>
  <c r="AF602" i="4"/>
  <c r="AL602" i="4" s="1"/>
  <c r="R603" i="4"/>
  <c r="S603" i="4"/>
  <c r="U603" i="4" s="1"/>
  <c r="AA603" i="4" s="1"/>
  <c r="AF603" i="4"/>
  <c r="AL603" i="4" s="1"/>
  <c r="R604" i="4"/>
  <c r="S604" i="4"/>
  <c r="U604" i="4" s="1"/>
  <c r="R605" i="4"/>
  <c r="S605" i="4"/>
  <c r="U605" i="4"/>
  <c r="AA605" i="4" s="1"/>
  <c r="AF605" i="4"/>
  <c r="AL605" i="4" s="1"/>
  <c r="R606" i="4"/>
  <c r="S606" i="4"/>
  <c r="U606" i="4" s="1"/>
  <c r="AA606" i="4" s="1"/>
  <c r="AF606" i="4"/>
  <c r="AL606" i="4"/>
  <c r="R607" i="4"/>
  <c r="AF607" i="4" s="1"/>
  <c r="AL607" i="4" s="1"/>
  <c r="S607" i="4"/>
  <c r="R608" i="4"/>
  <c r="S608" i="4"/>
  <c r="U608" i="4"/>
  <c r="R609" i="4"/>
  <c r="S609" i="4"/>
  <c r="U609" i="4" s="1"/>
  <c r="R610" i="4"/>
  <c r="S610" i="4"/>
  <c r="U610" i="4"/>
  <c r="AA610" i="4" s="1"/>
  <c r="AF610" i="4"/>
  <c r="AL610" i="4" s="1"/>
  <c r="R611" i="4"/>
  <c r="S611" i="4"/>
  <c r="U611" i="4" s="1"/>
  <c r="AA611" i="4" s="1"/>
  <c r="AF611" i="4"/>
  <c r="AL611" i="4" s="1"/>
  <c r="R612" i="4"/>
  <c r="S612" i="4"/>
  <c r="U612" i="4" s="1"/>
  <c r="R613" i="4"/>
  <c r="S613" i="4"/>
  <c r="U613" i="4"/>
  <c r="AA613" i="4"/>
  <c r="AF613" i="4"/>
  <c r="AL613" i="4" s="1"/>
  <c r="R614" i="4"/>
  <c r="S614" i="4"/>
  <c r="U614" i="4" s="1"/>
  <c r="AA614" i="4" s="1"/>
  <c r="AF614" i="4"/>
  <c r="AL614" i="4"/>
  <c r="R615" i="4"/>
  <c r="AF615" i="4" s="1"/>
  <c r="AL615" i="4" s="1"/>
  <c r="S615" i="4"/>
  <c r="U615" i="4" s="1"/>
  <c r="AA615" i="4"/>
  <c r="R616" i="4"/>
  <c r="S616" i="4"/>
  <c r="U616" i="4"/>
  <c r="R617" i="4"/>
  <c r="S617" i="4"/>
  <c r="U617" i="4" s="1"/>
  <c r="R618" i="4"/>
  <c r="S618" i="4"/>
  <c r="AF618" i="4" s="1"/>
  <c r="AL618" i="4" s="1"/>
  <c r="U618" i="4"/>
  <c r="AA618" i="4" s="1"/>
  <c r="R619" i="4"/>
  <c r="S619" i="4"/>
  <c r="U619" i="4" s="1"/>
  <c r="AA619" i="4" s="1"/>
  <c r="AF619" i="4"/>
  <c r="AL619" i="4"/>
  <c r="R620" i="4"/>
  <c r="S620" i="4"/>
  <c r="U620" i="4" s="1"/>
  <c r="R621" i="4"/>
  <c r="S621" i="4"/>
  <c r="U621" i="4"/>
  <c r="AA621" i="4" s="1"/>
  <c r="AF621" i="4"/>
  <c r="AL621" i="4" s="1"/>
  <c r="R622" i="4"/>
  <c r="S622" i="4"/>
  <c r="U622" i="4" s="1"/>
  <c r="AA622" i="4"/>
  <c r="AF622" i="4"/>
  <c r="AL622" i="4" s="1"/>
  <c r="R623" i="4"/>
  <c r="S623" i="4"/>
  <c r="R624" i="4"/>
  <c r="S624" i="4"/>
  <c r="U624" i="4"/>
  <c r="AA624" i="4"/>
  <c r="R625" i="4"/>
  <c r="S625" i="4"/>
  <c r="U625" i="4" s="1"/>
  <c r="AA625" i="4"/>
  <c r="AF625" i="4"/>
  <c r="AL625" i="4"/>
  <c r="R626" i="4"/>
  <c r="S626" i="4"/>
  <c r="U626" i="4" s="1"/>
  <c r="AA626" i="4" s="1"/>
  <c r="AF626" i="4"/>
  <c r="AL626" i="4"/>
  <c r="R627" i="4"/>
  <c r="S627" i="4"/>
  <c r="U627" i="4" s="1"/>
  <c r="AA627" i="4" s="1"/>
  <c r="R628" i="4"/>
  <c r="AF628" i="4" s="1"/>
  <c r="S628" i="4"/>
  <c r="U628" i="4"/>
  <c r="AA628" i="4"/>
  <c r="AL628" i="4"/>
  <c r="R629" i="4"/>
  <c r="S629" i="4"/>
  <c r="U629" i="4" s="1"/>
  <c r="R630" i="4"/>
  <c r="S630" i="4"/>
  <c r="AF630" i="4" s="1"/>
  <c r="AL630" i="4" s="1"/>
  <c r="U630" i="4"/>
  <c r="AA630" i="4" s="1"/>
  <c r="R631" i="4"/>
  <c r="S631" i="4"/>
  <c r="U631" i="4" s="1"/>
  <c r="AA631" i="4" s="1"/>
  <c r="AF631" i="4"/>
  <c r="AL631" i="4" s="1"/>
  <c r="R632" i="4"/>
  <c r="AF632" i="4" s="1"/>
  <c r="S632" i="4"/>
  <c r="U632" i="4"/>
  <c r="AA632" i="4" s="1"/>
  <c r="AL632" i="4"/>
  <c r="R633" i="4"/>
  <c r="S633" i="4"/>
  <c r="U633" i="4"/>
  <c r="R634" i="4"/>
  <c r="S634" i="4"/>
  <c r="U634" i="4"/>
  <c r="AA634" i="4"/>
  <c r="AF634" i="4"/>
  <c r="AL634" i="4" s="1"/>
  <c r="R635" i="4"/>
  <c r="S635" i="4"/>
  <c r="U635" i="4" s="1"/>
  <c r="AA635" i="4" s="1"/>
  <c r="AF635" i="4"/>
  <c r="AL635" i="4" s="1"/>
  <c r="R636" i="4"/>
  <c r="S636" i="4"/>
  <c r="U636" i="4" s="1"/>
  <c r="R637" i="4"/>
  <c r="S637" i="4"/>
  <c r="AF637" i="4" s="1"/>
  <c r="AL637" i="4" s="1"/>
  <c r="R638" i="4"/>
  <c r="S638" i="4"/>
  <c r="U638" i="4" s="1"/>
  <c r="AA638" i="4"/>
  <c r="AF638" i="4"/>
  <c r="AL638" i="4"/>
  <c r="R639" i="4"/>
  <c r="S639" i="4"/>
  <c r="R640" i="4"/>
  <c r="AF640" i="4" s="1"/>
  <c r="AL640" i="4" s="1"/>
  <c r="S640" i="4"/>
  <c r="U640" i="4"/>
  <c r="AA640" i="4"/>
  <c r="R641" i="4"/>
  <c r="S641" i="4"/>
  <c r="U641" i="4" s="1"/>
  <c r="AA641" i="4" s="1"/>
  <c r="AF641" i="4"/>
  <c r="AL641" i="4"/>
  <c r="R642" i="4"/>
  <c r="S642" i="4"/>
  <c r="U642" i="4" s="1"/>
  <c r="AA642" i="4" s="1"/>
  <c r="AF642" i="4"/>
  <c r="AL642" i="4"/>
  <c r="R643" i="4"/>
  <c r="AF643" i="4" s="1"/>
  <c r="AL643" i="4" s="1"/>
  <c r="S643" i="4"/>
  <c r="R644" i="4"/>
  <c r="AF644" i="4" s="1"/>
  <c r="S644" i="4"/>
  <c r="U644" i="4"/>
  <c r="AA644" i="4"/>
  <c r="AL644" i="4"/>
  <c r="R645" i="4"/>
  <c r="AF645" i="4" s="1"/>
  <c r="AL645" i="4" s="1"/>
  <c r="S645" i="4"/>
  <c r="R646" i="4"/>
  <c r="S646" i="4"/>
  <c r="AF646" i="4" s="1"/>
  <c r="U646" i="4"/>
  <c r="AA646" i="4" s="1"/>
  <c r="AL646" i="4"/>
  <c r="R647" i="4"/>
  <c r="S647" i="4"/>
  <c r="U647" i="4" s="1"/>
  <c r="AA647" i="4" s="1"/>
  <c r="AF647" i="4"/>
  <c r="AL647" i="4" s="1"/>
  <c r="R648" i="4"/>
  <c r="AF648" i="4" s="1"/>
  <c r="S648" i="4"/>
  <c r="U648" i="4"/>
  <c r="AA648" i="4" s="1"/>
  <c r="AL648" i="4"/>
  <c r="R649" i="4"/>
  <c r="S649" i="4"/>
  <c r="U649" i="4"/>
  <c r="R650" i="4"/>
  <c r="S650" i="4"/>
  <c r="AF650" i="4" s="1"/>
  <c r="AL650" i="4" s="1"/>
  <c r="U650" i="4"/>
  <c r="AA650" i="4"/>
  <c r="R651" i="4"/>
  <c r="S651" i="4"/>
  <c r="U651" i="4" s="1"/>
  <c r="AA651" i="4" s="1"/>
  <c r="R652" i="4"/>
  <c r="S652" i="4"/>
  <c r="U652" i="4" s="1"/>
  <c r="R653" i="4"/>
  <c r="S653" i="4"/>
  <c r="U653" i="4"/>
  <c r="AA653" i="4" s="1"/>
  <c r="AF653" i="4"/>
  <c r="AL653" i="4" s="1"/>
  <c r="R654" i="4"/>
  <c r="S654" i="4"/>
  <c r="U654" i="4" s="1"/>
  <c r="AA654" i="4"/>
  <c r="R655" i="4"/>
  <c r="S655" i="4"/>
  <c r="AF655" i="4"/>
  <c r="AL655" i="4" s="1"/>
  <c r="R656" i="4"/>
  <c r="AA656" i="4" s="1"/>
  <c r="S656" i="4"/>
  <c r="U656" i="4"/>
  <c r="R657" i="4"/>
  <c r="S657" i="4"/>
  <c r="U657" i="4" s="1"/>
  <c r="AA657" i="4" s="1"/>
  <c r="AF657" i="4"/>
  <c r="AL657" i="4"/>
  <c r="R658" i="4"/>
  <c r="S658" i="4"/>
  <c r="U658" i="4" s="1"/>
  <c r="AA658" i="4" s="1"/>
  <c r="AF658" i="4"/>
  <c r="AL658" i="4"/>
  <c r="R659" i="4"/>
  <c r="S659" i="4"/>
  <c r="U659" i="4" s="1"/>
  <c r="AA659" i="4"/>
  <c r="R660" i="4"/>
  <c r="S660" i="4"/>
  <c r="U660" i="4" s="1"/>
  <c r="R661" i="4"/>
  <c r="S661" i="4"/>
  <c r="U661" i="4" s="1"/>
  <c r="AA661" i="4"/>
  <c r="AF661" i="4"/>
  <c r="AL661" i="4"/>
  <c r="R662" i="4"/>
  <c r="S662" i="4"/>
  <c r="AF662" i="4" s="1"/>
  <c r="U662" i="4"/>
  <c r="AA662" i="4" s="1"/>
  <c r="AL662" i="4"/>
  <c r="R663" i="4"/>
  <c r="S663" i="4"/>
  <c r="U663" i="4" s="1"/>
  <c r="AA663" i="4"/>
  <c r="AF663" i="4"/>
  <c r="AL663" i="4" s="1"/>
  <c r="R664" i="4"/>
  <c r="AF664" i="4" s="1"/>
  <c r="S664" i="4"/>
  <c r="U664" i="4"/>
  <c r="AA664" i="4"/>
  <c r="AL664" i="4"/>
  <c r="R665" i="4"/>
  <c r="S665" i="4"/>
  <c r="U665" i="4" s="1"/>
  <c r="R666" i="4"/>
  <c r="S666" i="4"/>
  <c r="U666" i="4"/>
  <c r="AA666" i="4"/>
  <c r="AF666" i="4"/>
  <c r="AL666" i="4" s="1"/>
  <c r="R667" i="4"/>
  <c r="S667" i="4"/>
  <c r="U667" i="4" s="1"/>
  <c r="AA667" i="4" s="1"/>
  <c r="AF667" i="4"/>
  <c r="AL667" i="4" s="1"/>
  <c r="R668" i="4"/>
  <c r="S668" i="4"/>
  <c r="U668" i="4" s="1"/>
  <c r="R669" i="4"/>
  <c r="AA669" i="4" s="1"/>
  <c r="S669" i="4"/>
  <c r="U669" i="4" s="1"/>
  <c r="R670" i="4"/>
  <c r="S670" i="4"/>
  <c r="AF670" i="4" s="1"/>
  <c r="AL670" i="4" s="1"/>
  <c r="U670" i="4"/>
  <c r="AA670" i="4"/>
  <c r="R671" i="4"/>
  <c r="S671" i="4"/>
  <c r="AF671" i="4"/>
  <c r="AL671" i="4"/>
  <c r="R672" i="4"/>
  <c r="S672" i="4"/>
  <c r="U672" i="4" s="1"/>
  <c r="R673" i="4"/>
  <c r="S673" i="4"/>
  <c r="U673" i="4"/>
  <c r="AA673" i="4"/>
  <c r="AF673" i="4"/>
  <c r="AL673" i="4"/>
  <c r="R674" i="4"/>
  <c r="S674" i="4"/>
  <c r="U674" i="4" s="1"/>
  <c r="AA674" i="4"/>
  <c r="AF674" i="4"/>
  <c r="AL674" i="4"/>
  <c r="R675" i="4"/>
  <c r="S675" i="4"/>
  <c r="U675" i="4" s="1"/>
  <c r="AA675" i="4"/>
  <c r="R676" i="4"/>
  <c r="AF676" i="4" s="1"/>
  <c r="S676" i="4"/>
  <c r="U676" i="4"/>
  <c r="AA676" i="4" s="1"/>
  <c r="AL676" i="4"/>
  <c r="R677" i="4"/>
  <c r="AF677" i="4" s="1"/>
  <c r="AL677" i="4" s="1"/>
  <c r="S677" i="4"/>
  <c r="U677" i="4" s="1"/>
  <c r="AA677" i="4"/>
  <c r="R678" i="4"/>
  <c r="S678" i="4"/>
  <c r="AF678" i="4" s="1"/>
  <c r="U678" i="4"/>
  <c r="AA678" i="4" s="1"/>
  <c r="AL678" i="4"/>
  <c r="R679" i="4"/>
  <c r="AF679" i="4" s="1"/>
  <c r="AL679" i="4" s="1"/>
  <c r="S679" i="4"/>
  <c r="U679" i="4" s="1"/>
  <c r="R680" i="4"/>
  <c r="AF680" i="4" s="1"/>
  <c r="S680" i="4"/>
  <c r="U680" i="4"/>
  <c r="AA680" i="4"/>
  <c r="AL680" i="4"/>
  <c r="R681" i="4"/>
  <c r="S681" i="4"/>
  <c r="U681" i="4"/>
  <c r="R682" i="4"/>
  <c r="S682" i="4"/>
  <c r="AF682" i="4" s="1"/>
  <c r="AL682" i="4" s="1"/>
  <c r="U682" i="4"/>
  <c r="AA682" i="4"/>
  <c r="R683" i="4"/>
  <c r="S683" i="4"/>
  <c r="U683" i="4" s="1"/>
  <c r="AA683" i="4" s="1"/>
  <c r="AF683" i="4"/>
  <c r="AL683" i="4"/>
  <c r="R684" i="4"/>
  <c r="S684" i="4"/>
  <c r="U684" i="4" s="1"/>
  <c r="R685" i="4"/>
  <c r="S685" i="4"/>
  <c r="U685" i="4" s="1"/>
  <c r="AA685" i="4" s="1"/>
  <c r="AF685" i="4"/>
  <c r="AL685" i="4" s="1"/>
  <c r="R686" i="4"/>
  <c r="S686" i="4"/>
  <c r="AF686" i="4" s="1"/>
  <c r="AL686" i="4" s="1"/>
  <c r="R687" i="4"/>
  <c r="S687" i="4"/>
  <c r="AF687" i="4"/>
  <c r="AL687" i="4"/>
  <c r="R688" i="4"/>
  <c r="AF688" i="4" s="1"/>
  <c r="AL688" i="4" s="1"/>
  <c r="S688" i="4"/>
  <c r="U688" i="4"/>
  <c r="AA688" i="4" s="1"/>
  <c r="R689" i="4"/>
  <c r="S689" i="4"/>
  <c r="AF689" i="4" s="1"/>
  <c r="AL689" i="4" s="1"/>
  <c r="U689" i="4"/>
  <c r="AA689" i="4"/>
  <c r="R690" i="4"/>
  <c r="S690" i="4"/>
  <c r="U690" i="4" s="1"/>
  <c r="AA690" i="4"/>
  <c r="AF690" i="4"/>
  <c r="AL690" i="4"/>
  <c r="R691" i="4"/>
  <c r="AF691" i="4" s="1"/>
  <c r="AL691" i="4" s="1"/>
  <c r="S691" i="4"/>
  <c r="R692" i="4"/>
  <c r="AF692" i="4" s="1"/>
  <c r="S692" i="4"/>
  <c r="U692" i="4"/>
  <c r="AA692" i="4"/>
  <c r="AL692" i="4"/>
  <c r="R693" i="4"/>
  <c r="S693" i="4"/>
  <c r="R694" i="4"/>
  <c r="S694" i="4"/>
  <c r="AF694" i="4" s="1"/>
  <c r="U694" i="4"/>
  <c r="AA694" i="4" s="1"/>
  <c r="AL694" i="4"/>
  <c r="R695" i="4"/>
  <c r="S695" i="4"/>
  <c r="AF695" i="4"/>
  <c r="AL695" i="4"/>
  <c r="R696" i="4"/>
  <c r="AF696" i="4" s="1"/>
  <c r="S696" i="4"/>
  <c r="U696" i="4"/>
  <c r="AA696" i="4" s="1"/>
  <c r="AL696" i="4"/>
  <c r="R697" i="4"/>
  <c r="S697" i="4"/>
  <c r="U697" i="4"/>
  <c r="R698" i="4"/>
  <c r="S698" i="4"/>
  <c r="AF698" i="4" s="1"/>
  <c r="AL698" i="4" s="1"/>
  <c r="R699" i="4"/>
  <c r="S699" i="4"/>
  <c r="U699" i="4" s="1"/>
  <c r="AA699" i="4"/>
  <c r="AF699" i="4"/>
  <c r="AL699" i="4"/>
  <c r="R700" i="4"/>
  <c r="S700" i="4"/>
  <c r="R701" i="4"/>
  <c r="S701" i="4"/>
  <c r="U701" i="4"/>
  <c r="AA701" i="4"/>
  <c r="AF701" i="4"/>
  <c r="AL701" i="4" s="1"/>
  <c r="R702" i="4"/>
  <c r="S702" i="4"/>
  <c r="U702" i="4"/>
  <c r="AA702" i="4" s="1"/>
  <c r="AF702" i="4"/>
  <c r="AL702" i="4"/>
  <c r="R703" i="4"/>
  <c r="AF703" i="4" s="1"/>
  <c r="AL703" i="4" s="1"/>
  <c r="S703" i="4"/>
  <c r="R704" i="4"/>
  <c r="AF704" i="4" s="1"/>
  <c r="AL704" i="4" s="1"/>
  <c r="S704" i="4"/>
  <c r="U704" i="4"/>
  <c r="AA704" i="4"/>
  <c r="R705" i="4"/>
  <c r="S705" i="4"/>
  <c r="AF705" i="4" s="1"/>
  <c r="AL705" i="4" s="1"/>
  <c r="R706" i="4"/>
  <c r="S706" i="4"/>
  <c r="U706" i="4" s="1"/>
  <c r="AA706" i="4"/>
  <c r="AF706" i="4"/>
  <c r="AL706" i="4" s="1"/>
  <c r="R707" i="4"/>
  <c r="S707" i="4"/>
  <c r="U707" i="4" s="1"/>
  <c r="AA707" i="4" s="1"/>
  <c r="R708" i="4"/>
  <c r="S708" i="4"/>
  <c r="U708" i="4"/>
  <c r="AA708" i="4"/>
  <c r="R709" i="4"/>
  <c r="S709" i="4"/>
  <c r="U709" i="4" s="1"/>
  <c r="AA709" i="4" s="1"/>
  <c r="AF709" i="4"/>
  <c r="AL709" i="4"/>
  <c r="R710" i="4"/>
  <c r="S710" i="4"/>
  <c r="AF710" i="4" s="1"/>
  <c r="AL710" i="4" s="1"/>
  <c r="R711" i="4"/>
  <c r="S711" i="4"/>
  <c r="AF711" i="4"/>
  <c r="AL711" i="4"/>
  <c r="R712" i="4"/>
  <c r="AF712" i="4" s="1"/>
  <c r="S712" i="4"/>
  <c r="U712" i="4"/>
  <c r="AA712" i="4"/>
  <c r="AL712" i="4"/>
  <c r="R713" i="4"/>
  <c r="S713" i="4"/>
  <c r="U713" i="4"/>
  <c r="R714" i="4"/>
  <c r="S714" i="4"/>
  <c r="U714" i="4"/>
  <c r="AA714" i="4" s="1"/>
  <c r="AF714" i="4"/>
  <c r="AL714" i="4" s="1"/>
  <c r="R715" i="4"/>
  <c r="S715" i="4"/>
  <c r="U715" i="4" s="1"/>
  <c r="AA715" i="4"/>
  <c r="R716" i="4"/>
  <c r="S716" i="4"/>
  <c r="R717" i="4"/>
  <c r="AF717" i="4" s="1"/>
  <c r="AL717" i="4" s="1"/>
  <c r="S717" i="4"/>
  <c r="U717" i="4"/>
  <c r="R718" i="4"/>
  <c r="S718" i="4"/>
  <c r="U718" i="4"/>
  <c r="AA718" i="4"/>
  <c r="AF718" i="4"/>
  <c r="AL718" i="4"/>
  <c r="R719" i="4"/>
  <c r="S719" i="4"/>
  <c r="AF719" i="4"/>
  <c r="AL719" i="4" s="1"/>
  <c r="R720" i="4"/>
  <c r="S720" i="4"/>
  <c r="U720" i="4"/>
  <c r="AA720" i="4"/>
  <c r="R721" i="4"/>
  <c r="S721" i="4"/>
  <c r="U721" i="4"/>
  <c r="AA721" i="4" s="1"/>
  <c r="AF721" i="4"/>
  <c r="AL721" i="4"/>
  <c r="R722" i="4"/>
  <c r="S722" i="4"/>
  <c r="U722" i="4" s="1"/>
  <c r="AA722" i="4" s="1"/>
  <c r="AF722" i="4"/>
  <c r="AL722" i="4"/>
  <c r="R723" i="4"/>
  <c r="S723" i="4"/>
  <c r="U723" i="4" s="1"/>
  <c r="AA723" i="4"/>
  <c r="R724" i="4"/>
  <c r="S724" i="4"/>
  <c r="U724" i="4" s="1"/>
  <c r="R725" i="4"/>
  <c r="S725" i="4"/>
  <c r="U725" i="4" s="1"/>
  <c r="AA725" i="4"/>
  <c r="AF725" i="4"/>
  <c r="AL725" i="4"/>
  <c r="R726" i="4"/>
  <c r="S726" i="4"/>
  <c r="AF726" i="4" s="1"/>
  <c r="U726" i="4"/>
  <c r="AA726" i="4" s="1"/>
  <c r="AL726" i="4"/>
  <c r="R727" i="4"/>
  <c r="S727" i="4"/>
  <c r="U727" i="4" s="1"/>
  <c r="AA727" i="4"/>
  <c r="AF727" i="4"/>
  <c r="AL727" i="4" s="1"/>
  <c r="R728" i="4"/>
  <c r="AF728" i="4" s="1"/>
  <c r="S728" i="4"/>
  <c r="U728" i="4"/>
  <c r="AA728" i="4"/>
  <c r="AL728" i="4"/>
  <c r="R729" i="4"/>
  <c r="S729" i="4"/>
  <c r="U729" i="4" s="1"/>
  <c r="R730" i="4"/>
  <c r="S730" i="4"/>
  <c r="U730" i="4"/>
  <c r="AA730" i="4"/>
  <c r="AF730" i="4"/>
  <c r="AL730" i="4"/>
  <c r="R731" i="4"/>
  <c r="S731" i="4"/>
  <c r="U731" i="4" s="1"/>
  <c r="AA731" i="4"/>
  <c r="AF731" i="4"/>
  <c r="AL731" i="4"/>
  <c r="R732" i="4"/>
  <c r="S732" i="4"/>
  <c r="U732" i="4"/>
  <c r="R733" i="4"/>
  <c r="S733" i="4"/>
  <c r="U733" i="4" s="1"/>
  <c r="AA733" i="4" s="1"/>
  <c r="AF733" i="4"/>
  <c r="AL733" i="4"/>
  <c r="R734" i="4"/>
  <c r="S734" i="4"/>
  <c r="U734" i="4" s="1"/>
  <c r="AA734" i="4" s="1"/>
  <c r="AF734" i="4"/>
  <c r="AL734" i="4"/>
  <c r="R735" i="4"/>
  <c r="S735" i="4"/>
  <c r="U735" i="4" s="1"/>
  <c r="AF735" i="4"/>
  <c r="AL735" i="4" s="1"/>
  <c r="R736" i="4"/>
  <c r="S736" i="4"/>
  <c r="U736" i="4" s="1"/>
  <c r="AA736" i="4" s="1"/>
  <c r="R737" i="4"/>
  <c r="S737" i="4"/>
  <c r="AF737" i="4" s="1"/>
  <c r="AL737" i="4" s="1"/>
  <c r="R738" i="4"/>
  <c r="S738" i="4"/>
  <c r="U738" i="4" s="1"/>
  <c r="AA738" i="4"/>
  <c r="AF738" i="4"/>
  <c r="AL738" i="4" s="1"/>
  <c r="R739" i="4"/>
  <c r="S739" i="4"/>
  <c r="U739" i="4" s="1"/>
  <c r="AA739" i="4" s="1"/>
  <c r="AF739" i="4"/>
  <c r="AL739" i="4" s="1"/>
  <c r="R740" i="4"/>
  <c r="AA740" i="4" s="1"/>
  <c r="S740" i="4"/>
  <c r="U740" i="4"/>
  <c r="R741" i="4"/>
  <c r="S741" i="4"/>
  <c r="AF741" i="4"/>
  <c r="AL741" i="4"/>
  <c r="R742" i="4"/>
  <c r="S742" i="4"/>
  <c r="AF742" i="4" s="1"/>
  <c r="AL742" i="4"/>
  <c r="R743" i="4"/>
  <c r="S743" i="4"/>
  <c r="U743" i="4" s="1"/>
  <c r="AA743" i="4"/>
  <c r="AF743" i="4"/>
  <c r="AL743" i="4" s="1"/>
  <c r="R744" i="4"/>
  <c r="AF744" i="4" s="1"/>
  <c r="S744" i="4"/>
  <c r="U744" i="4"/>
  <c r="AA744" i="4"/>
  <c r="AL744" i="4"/>
  <c r="R745" i="4"/>
  <c r="S745" i="4"/>
  <c r="U745" i="4" s="1"/>
  <c r="R746" i="4"/>
  <c r="S746" i="4"/>
  <c r="U746" i="4"/>
  <c r="AA746" i="4"/>
  <c r="AF746" i="4"/>
  <c r="AL746" i="4" s="1"/>
  <c r="R747" i="4"/>
  <c r="S747" i="4"/>
  <c r="U747" i="4" s="1"/>
  <c r="AA747" i="4" s="1"/>
  <c r="AF747" i="4"/>
  <c r="AL747" i="4"/>
  <c r="R748" i="4"/>
  <c r="S748" i="4"/>
  <c r="U748" i="4" s="1"/>
  <c r="R749" i="4"/>
  <c r="S749" i="4"/>
  <c r="U749" i="4"/>
  <c r="AA749" i="4"/>
  <c r="AF749" i="4"/>
  <c r="AL749" i="4"/>
  <c r="R750" i="4"/>
  <c r="S750" i="4"/>
  <c r="U750" i="4"/>
  <c r="AA750" i="4" s="1"/>
  <c r="AF750" i="4"/>
  <c r="AL750" i="4"/>
  <c r="R751" i="4"/>
  <c r="AF751" i="4" s="1"/>
  <c r="AL751" i="4" s="1"/>
  <c r="S751" i="4"/>
  <c r="U751" i="4" s="1"/>
  <c r="R752" i="4"/>
  <c r="S752" i="4"/>
  <c r="U752" i="4"/>
  <c r="AA752" i="4"/>
  <c r="R753" i="4"/>
  <c r="S753" i="4"/>
  <c r="U753" i="4"/>
  <c r="AA753" i="4" s="1"/>
  <c r="AF753" i="4"/>
  <c r="AL753" i="4"/>
  <c r="R754" i="4"/>
  <c r="S754" i="4"/>
  <c r="AF754" i="4" s="1"/>
  <c r="AL754" i="4" s="1"/>
  <c r="R755" i="4"/>
  <c r="S755" i="4"/>
  <c r="U755" i="4" s="1"/>
  <c r="AA755" i="4"/>
  <c r="AF755" i="4"/>
  <c r="AL755" i="4" s="1"/>
  <c r="R756" i="4"/>
  <c r="S756" i="4"/>
  <c r="U756" i="4" s="1"/>
  <c r="AA756" i="4" s="1"/>
  <c r="R757" i="4"/>
  <c r="S757" i="4"/>
  <c r="U757" i="4" s="1"/>
  <c r="R758" i="4"/>
  <c r="S758" i="4"/>
  <c r="AF758" i="4" s="1"/>
  <c r="AL758" i="4" s="1"/>
  <c r="U758" i="4"/>
  <c r="AA758" i="4"/>
  <c r="R759" i="4"/>
  <c r="S759" i="4"/>
  <c r="AF759" i="4"/>
  <c r="AL759" i="4"/>
  <c r="R760" i="4"/>
  <c r="AF760" i="4" s="1"/>
  <c r="AL760" i="4" s="1"/>
  <c r="S760" i="4"/>
  <c r="U760" i="4" s="1"/>
  <c r="R761" i="4"/>
  <c r="AF761" i="4" s="1"/>
  <c r="AL761" i="4" s="1"/>
  <c r="S761" i="4"/>
  <c r="U761" i="4"/>
  <c r="AA761" i="4"/>
  <c r="R762" i="4"/>
  <c r="S762" i="4"/>
  <c r="U762" i="4"/>
  <c r="AA762" i="4"/>
  <c r="AF762" i="4"/>
  <c r="AL762" i="4"/>
  <c r="R763" i="4"/>
  <c r="S763" i="4"/>
  <c r="AF763" i="4"/>
  <c r="AL763" i="4"/>
  <c r="R764" i="4"/>
  <c r="AA764" i="4" s="1"/>
  <c r="S764" i="4"/>
  <c r="U764" i="4"/>
  <c r="R765" i="4"/>
  <c r="S765" i="4"/>
  <c r="U765" i="4"/>
  <c r="AA765" i="4"/>
  <c r="AF765" i="4"/>
  <c r="AL765" i="4"/>
  <c r="R766" i="4"/>
  <c r="S766" i="4"/>
  <c r="U766" i="4"/>
  <c r="AA766" i="4" s="1"/>
  <c r="AF766" i="4"/>
  <c r="AL766" i="4"/>
  <c r="R767" i="4"/>
  <c r="AF767" i="4" s="1"/>
  <c r="AL767" i="4" s="1"/>
  <c r="S767" i="4"/>
  <c r="U767" i="4" s="1"/>
  <c r="R768" i="4"/>
  <c r="S768" i="4"/>
  <c r="U768" i="4"/>
  <c r="AA768" i="4"/>
  <c r="R769" i="4"/>
  <c r="S769" i="4"/>
  <c r="U769" i="4"/>
  <c r="AA769" i="4" s="1"/>
  <c r="AF769" i="4"/>
  <c r="AL769" i="4"/>
  <c r="R770" i="4"/>
  <c r="S770" i="4"/>
  <c r="AF770" i="4" s="1"/>
  <c r="AL770" i="4" s="1"/>
  <c r="R771" i="4"/>
  <c r="S771" i="4"/>
  <c r="U771" i="4" s="1"/>
  <c r="AA771" i="4"/>
  <c r="AF771" i="4"/>
  <c r="AL771" i="4" s="1"/>
  <c r="R772" i="4"/>
  <c r="S772" i="4"/>
  <c r="U772" i="4" s="1"/>
  <c r="AA772" i="4" s="1"/>
  <c r="R773" i="4"/>
  <c r="S773" i="4"/>
  <c r="U773" i="4" s="1"/>
  <c r="R774" i="4"/>
  <c r="S774" i="4"/>
  <c r="AF774" i="4" s="1"/>
  <c r="AL774" i="4" s="1"/>
  <c r="U774" i="4"/>
  <c r="AA774" i="4"/>
  <c r="R775" i="4"/>
  <c r="S775" i="4"/>
  <c r="U775" i="4" s="1"/>
  <c r="AA775" i="4"/>
  <c r="AF775" i="4"/>
  <c r="AL775" i="4"/>
  <c r="R776" i="4"/>
  <c r="AF776" i="4" s="1"/>
  <c r="AL776" i="4" s="1"/>
  <c r="S776" i="4"/>
  <c r="U776" i="4" s="1"/>
  <c r="R777" i="4"/>
  <c r="AF777" i="4" s="1"/>
  <c r="AL777" i="4" s="1"/>
  <c r="S777" i="4"/>
  <c r="U777" i="4"/>
  <c r="AA777" i="4"/>
  <c r="R778" i="4"/>
  <c r="S778" i="4"/>
  <c r="U778" i="4"/>
  <c r="AA778" i="4"/>
  <c r="AF778" i="4"/>
  <c r="AL778" i="4"/>
  <c r="R779" i="4"/>
  <c r="S779" i="4"/>
  <c r="AF779" i="4"/>
  <c r="AL779" i="4"/>
  <c r="R780" i="4"/>
  <c r="AA780" i="4" s="1"/>
  <c r="S780" i="4"/>
  <c r="U780" i="4"/>
  <c r="R781" i="4"/>
  <c r="S781" i="4"/>
  <c r="U781" i="4"/>
  <c r="AA781" i="4"/>
  <c r="AF781" i="4"/>
  <c r="AL781" i="4"/>
  <c r="R782" i="4"/>
  <c r="S782" i="4"/>
  <c r="U782" i="4"/>
  <c r="AA782" i="4"/>
  <c r="AF782" i="4"/>
  <c r="AL782" i="4"/>
  <c r="R783" i="4"/>
  <c r="AF783" i="4" s="1"/>
  <c r="AL783" i="4" s="1"/>
  <c r="S783" i="4"/>
  <c r="U783" i="4" s="1"/>
  <c r="R784" i="4"/>
  <c r="S784" i="4"/>
  <c r="U784" i="4"/>
  <c r="AA784" i="4"/>
  <c r="R785" i="4"/>
  <c r="S785" i="4"/>
  <c r="U785" i="4"/>
  <c r="AA785" i="4"/>
  <c r="AF785" i="4"/>
  <c r="AL785" i="4"/>
  <c r="R786" i="4"/>
  <c r="S786" i="4"/>
  <c r="AF786" i="4" s="1"/>
  <c r="AL786" i="4" s="1"/>
  <c r="R787" i="4"/>
  <c r="S787" i="4"/>
  <c r="U787" i="4" s="1"/>
  <c r="AA787" i="4"/>
  <c r="AF787" i="4"/>
  <c r="AL787" i="4" s="1"/>
  <c r="R788" i="4"/>
  <c r="S788" i="4"/>
  <c r="U788" i="4"/>
  <c r="AA788" i="4"/>
  <c r="R789" i="4"/>
  <c r="S789" i="4"/>
  <c r="U789" i="4" s="1"/>
  <c r="R790" i="4"/>
  <c r="S790" i="4"/>
  <c r="AF790" i="4" s="1"/>
  <c r="AL790" i="4" s="1"/>
  <c r="U790" i="4"/>
  <c r="AA790" i="4"/>
  <c r="R791" i="4"/>
  <c r="S791" i="4"/>
  <c r="U791" i="4" s="1"/>
  <c r="AA791" i="4"/>
  <c r="AF791" i="4"/>
  <c r="AL791" i="4"/>
  <c r="R792" i="4"/>
  <c r="AF792" i="4" s="1"/>
  <c r="AL792" i="4" s="1"/>
  <c r="S792" i="4"/>
  <c r="U792" i="4" s="1"/>
  <c r="R793" i="4"/>
  <c r="AF793" i="4" s="1"/>
  <c r="AL793" i="4" s="1"/>
  <c r="S793" i="4"/>
  <c r="U793" i="4"/>
  <c r="AA793" i="4"/>
  <c r="R794" i="4"/>
  <c r="S794" i="4"/>
  <c r="U794" i="4"/>
  <c r="AA794" i="4"/>
  <c r="AF794" i="4"/>
  <c r="AL794" i="4"/>
  <c r="R795" i="4"/>
  <c r="S795" i="4"/>
  <c r="AF795" i="4"/>
  <c r="AL795" i="4"/>
  <c r="R796" i="4"/>
  <c r="S796" i="4"/>
  <c r="U796" i="4"/>
  <c r="R797" i="4"/>
  <c r="S797" i="4"/>
  <c r="U797" i="4"/>
  <c r="AA797" i="4"/>
  <c r="AF797" i="4"/>
  <c r="AL797" i="4"/>
  <c r="R798" i="4"/>
  <c r="S798" i="4"/>
  <c r="U798" i="4"/>
  <c r="AA798" i="4"/>
  <c r="AF798" i="4"/>
  <c r="AL798" i="4"/>
  <c r="R799" i="4"/>
  <c r="AF799" i="4" s="1"/>
  <c r="AL799" i="4" s="1"/>
  <c r="S799" i="4"/>
  <c r="U799" i="4" s="1"/>
  <c r="R800" i="4"/>
  <c r="S800" i="4"/>
  <c r="U800" i="4"/>
  <c r="AA800" i="4"/>
  <c r="R801" i="4"/>
  <c r="S801" i="4"/>
  <c r="U801" i="4"/>
  <c r="AA801" i="4"/>
  <c r="AF801" i="4"/>
  <c r="AL801" i="4"/>
  <c r="R802" i="4"/>
  <c r="S802" i="4"/>
  <c r="AF802" i="4" s="1"/>
  <c r="AL802" i="4" s="1"/>
  <c r="R803" i="4"/>
  <c r="S803" i="4"/>
  <c r="U803" i="4" s="1"/>
  <c r="AA803" i="4"/>
  <c r="AF803" i="4"/>
  <c r="AL803" i="4" s="1"/>
  <c r="R804" i="4"/>
  <c r="S804" i="4"/>
  <c r="U804" i="4"/>
  <c r="AA804" i="4"/>
  <c r="R805" i="4"/>
  <c r="S805" i="4"/>
  <c r="U805" i="4" s="1"/>
  <c r="R806" i="4"/>
  <c r="S806" i="4"/>
  <c r="AF806" i="4" s="1"/>
  <c r="AL806" i="4" s="1"/>
  <c r="U806" i="4"/>
  <c r="AA806" i="4"/>
  <c r="R807" i="4"/>
  <c r="S807" i="4"/>
  <c r="U807" i="4" s="1"/>
  <c r="AA807" i="4"/>
  <c r="AF807" i="4"/>
  <c r="AL807" i="4"/>
  <c r="R808" i="4"/>
  <c r="AF808" i="4" s="1"/>
  <c r="AL808" i="4" s="1"/>
  <c r="S808" i="4"/>
  <c r="U808" i="4" s="1"/>
  <c r="R809" i="4"/>
  <c r="AF809" i="4" s="1"/>
  <c r="AL809" i="4" s="1"/>
  <c r="S809" i="4"/>
  <c r="U809" i="4"/>
  <c r="AA809" i="4"/>
  <c r="R810" i="4"/>
  <c r="S810" i="4"/>
  <c r="U810" i="4"/>
  <c r="AA810" i="4"/>
  <c r="AF810" i="4"/>
  <c r="AL810" i="4"/>
  <c r="R811" i="4"/>
  <c r="S811" i="4"/>
  <c r="AF811" i="4"/>
  <c r="AL811" i="4"/>
  <c r="R812" i="4"/>
  <c r="AA812" i="4" s="1"/>
  <c r="S812" i="4"/>
  <c r="U812" i="4"/>
  <c r="R813" i="4"/>
  <c r="S813" i="4"/>
  <c r="U813" i="4"/>
  <c r="AA813" i="4"/>
  <c r="AF813" i="4"/>
  <c r="AL813" i="4"/>
  <c r="R814" i="4"/>
  <c r="S814" i="4"/>
  <c r="U814" i="4"/>
  <c r="AA814" i="4"/>
  <c r="AF814" i="4"/>
  <c r="AL814" i="4"/>
  <c r="R815" i="4"/>
  <c r="AF815" i="4" s="1"/>
  <c r="AL815" i="4" s="1"/>
  <c r="S815" i="4"/>
  <c r="U815" i="4" s="1"/>
  <c r="R816" i="4"/>
  <c r="S816" i="4"/>
  <c r="U816" i="4"/>
  <c r="AA816" i="4"/>
  <c r="R817" i="4"/>
  <c r="S817" i="4"/>
  <c r="U817" i="4"/>
  <c r="AA817" i="4"/>
  <c r="AF817" i="4"/>
  <c r="AL817" i="4"/>
  <c r="R818" i="4"/>
  <c r="S818" i="4"/>
  <c r="AF818" i="4" s="1"/>
  <c r="AL818" i="4" s="1"/>
  <c r="R819" i="4"/>
  <c r="S819" i="4"/>
  <c r="U819" i="4" s="1"/>
  <c r="AA819" i="4"/>
  <c r="AF819" i="4"/>
  <c r="AL819" i="4" s="1"/>
  <c r="R820" i="4"/>
  <c r="S820" i="4"/>
  <c r="U820" i="4"/>
  <c r="AA820" i="4"/>
  <c r="R821" i="4"/>
  <c r="S821" i="4"/>
  <c r="U821" i="4" s="1"/>
  <c r="R822" i="4"/>
  <c r="S822" i="4"/>
  <c r="AF822" i="4" s="1"/>
  <c r="AL822" i="4" s="1"/>
  <c r="U822" i="4"/>
  <c r="AA822" i="4"/>
  <c r="R823" i="4"/>
  <c r="S823" i="4"/>
  <c r="U823" i="4" s="1"/>
  <c r="AA823" i="4"/>
  <c r="AF823" i="4"/>
  <c r="AL823" i="4"/>
  <c r="R824" i="4"/>
  <c r="AF824" i="4" s="1"/>
  <c r="AL824" i="4" s="1"/>
  <c r="S824" i="4"/>
  <c r="U824" i="4" s="1"/>
  <c r="R825" i="4"/>
  <c r="AF825" i="4" s="1"/>
  <c r="AL825" i="4" s="1"/>
  <c r="S825" i="4"/>
  <c r="U825" i="4"/>
  <c r="AA825" i="4"/>
  <c r="R826" i="4"/>
  <c r="S826" i="4"/>
  <c r="U826" i="4"/>
  <c r="AA826" i="4"/>
  <c r="AF826" i="4"/>
  <c r="AL826" i="4"/>
  <c r="R827" i="4"/>
  <c r="S827" i="4"/>
  <c r="AF827" i="4"/>
  <c r="AL827" i="4"/>
  <c r="R828" i="4"/>
  <c r="AA828" i="4" s="1"/>
  <c r="S828" i="4"/>
  <c r="U828" i="4"/>
  <c r="R829" i="4"/>
  <c r="S829" i="4"/>
  <c r="U829" i="4"/>
  <c r="AA829" i="4"/>
  <c r="AF829" i="4"/>
  <c r="AL829" i="4"/>
  <c r="R830" i="4"/>
  <c r="S830" i="4"/>
  <c r="U830" i="4"/>
  <c r="AA830" i="4"/>
  <c r="AF830" i="4"/>
  <c r="AL830" i="4"/>
  <c r="R831" i="4"/>
  <c r="AF831" i="4" s="1"/>
  <c r="AL831" i="4" s="1"/>
  <c r="S831" i="4"/>
  <c r="U831" i="4" s="1"/>
  <c r="R832" i="4"/>
  <c r="S832" i="4"/>
  <c r="U832" i="4"/>
  <c r="AA832" i="4"/>
  <c r="R833" i="4"/>
  <c r="S833" i="4"/>
  <c r="U833" i="4"/>
  <c r="AA833" i="4"/>
  <c r="AF833" i="4"/>
  <c r="AL833" i="4"/>
  <c r="R834" i="4"/>
  <c r="S834" i="4"/>
  <c r="AF834" i="4" s="1"/>
  <c r="AL834" i="4" s="1"/>
  <c r="R835" i="4"/>
  <c r="S835" i="4"/>
  <c r="U835" i="4" s="1"/>
  <c r="AA835" i="4"/>
  <c r="AF835" i="4"/>
  <c r="AL835" i="4" s="1"/>
  <c r="R836" i="4"/>
  <c r="S836" i="4"/>
  <c r="U836" i="4"/>
  <c r="AA836" i="4"/>
  <c r="R837" i="4"/>
  <c r="S837" i="4"/>
  <c r="U837" i="4" s="1"/>
  <c r="R838" i="4"/>
  <c r="S838" i="4"/>
  <c r="AF838" i="4" s="1"/>
  <c r="AL838" i="4" s="1"/>
  <c r="U838" i="4"/>
  <c r="AA838" i="4"/>
  <c r="R839" i="4"/>
  <c r="S839" i="4"/>
  <c r="U839" i="4" s="1"/>
  <c r="AA839" i="4"/>
  <c r="AF839" i="4"/>
  <c r="AL839" i="4"/>
  <c r="R840" i="4"/>
  <c r="AF840" i="4" s="1"/>
  <c r="AL840" i="4" s="1"/>
  <c r="S840" i="4"/>
  <c r="U840" i="4" s="1"/>
  <c r="R841" i="4"/>
  <c r="AF841" i="4" s="1"/>
  <c r="AL841" i="4" s="1"/>
  <c r="S841" i="4"/>
  <c r="U841" i="4"/>
  <c r="AA841" i="4"/>
  <c r="R842" i="4"/>
  <c r="S842" i="4"/>
  <c r="U842" i="4"/>
  <c r="AA842" i="4"/>
  <c r="AF842" i="4"/>
  <c r="AL842" i="4"/>
  <c r="R843" i="4"/>
  <c r="S843" i="4"/>
  <c r="AF843" i="4"/>
  <c r="AL843" i="4"/>
  <c r="R844" i="4"/>
  <c r="AA844" i="4" s="1"/>
  <c r="S844" i="4"/>
  <c r="U844" i="4"/>
  <c r="R845" i="4"/>
  <c r="S845" i="4"/>
  <c r="U845" i="4"/>
  <c r="AA845" i="4"/>
  <c r="AF845" i="4"/>
  <c r="AL845" i="4"/>
  <c r="R846" i="4"/>
  <c r="S846" i="4"/>
  <c r="U846" i="4"/>
  <c r="AA846" i="4"/>
  <c r="AF846" i="4"/>
  <c r="AL846" i="4"/>
  <c r="R847" i="4"/>
  <c r="AF847" i="4" s="1"/>
  <c r="AL847" i="4" s="1"/>
  <c r="S847" i="4"/>
  <c r="U847" i="4" s="1"/>
  <c r="R848" i="4"/>
  <c r="S848" i="4"/>
  <c r="U848" i="4"/>
  <c r="AA848" i="4"/>
  <c r="R849" i="4"/>
  <c r="S849" i="4"/>
  <c r="U849" i="4"/>
  <c r="AA849" i="4"/>
  <c r="AF849" i="4"/>
  <c r="AL849" i="4"/>
  <c r="R850" i="4"/>
  <c r="S850" i="4"/>
  <c r="AF850" i="4" s="1"/>
  <c r="AL850" i="4" s="1"/>
  <c r="R851" i="4"/>
  <c r="S851" i="4"/>
  <c r="U851" i="4" s="1"/>
  <c r="AA851" i="4"/>
  <c r="AF851" i="4"/>
  <c r="AL851" i="4" s="1"/>
  <c r="R852" i="4"/>
  <c r="S852" i="4"/>
  <c r="U852" i="4"/>
  <c r="AA852" i="4"/>
  <c r="R853" i="4"/>
  <c r="S853" i="4"/>
  <c r="U853" i="4" s="1"/>
  <c r="R854" i="4"/>
  <c r="S854" i="4"/>
  <c r="AF854" i="4" s="1"/>
  <c r="AL854" i="4" s="1"/>
  <c r="U854" i="4"/>
  <c r="AA854" i="4"/>
  <c r="R855" i="4"/>
  <c r="S855" i="4"/>
  <c r="U855" i="4" s="1"/>
  <c r="AA855" i="4"/>
  <c r="AF855" i="4"/>
  <c r="AL855" i="4"/>
  <c r="R856" i="4"/>
  <c r="AF856" i="4" s="1"/>
  <c r="AL856" i="4" s="1"/>
  <c r="S856" i="4"/>
  <c r="U856" i="4" s="1"/>
  <c r="R857" i="4"/>
  <c r="AF857" i="4" s="1"/>
  <c r="AL857" i="4" s="1"/>
  <c r="S857" i="4"/>
  <c r="U857" i="4"/>
  <c r="AA857" i="4"/>
  <c r="R858" i="4"/>
  <c r="S858" i="4"/>
  <c r="U858" i="4"/>
  <c r="AA858" i="4"/>
  <c r="AF858" i="4"/>
  <c r="AL858" i="4"/>
  <c r="R859" i="4"/>
  <c r="S859" i="4"/>
  <c r="AF859" i="4"/>
  <c r="AL859" i="4"/>
  <c r="R860" i="4"/>
  <c r="AA860" i="4" s="1"/>
  <c r="S860" i="4"/>
  <c r="U860" i="4"/>
  <c r="R861" i="4"/>
  <c r="S861" i="4"/>
  <c r="U861" i="4"/>
  <c r="AA861" i="4"/>
  <c r="AF861" i="4"/>
  <c r="AL861" i="4"/>
  <c r="R862" i="4"/>
  <c r="S862" i="4"/>
  <c r="U862" i="4"/>
  <c r="AA862" i="4"/>
  <c r="AF862" i="4"/>
  <c r="AL862" i="4"/>
  <c r="R863" i="4"/>
  <c r="AF863" i="4" s="1"/>
  <c r="AL863" i="4" s="1"/>
  <c r="S863" i="4"/>
  <c r="U863" i="4" s="1"/>
  <c r="R864" i="4"/>
  <c r="S864" i="4"/>
  <c r="U864" i="4"/>
  <c r="AA864" i="4"/>
  <c r="R865" i="4"/>
  <c r="S865" i="4"/>
  <c r="U865" i="4"/>
  <c r="AA865" i="4"/>
  <c r="AF865" i="4"/>
  <c r="AL865" i="4"/>
  <c r="R866" i="4"/>
  <c r="S866" i="4"/>
  <c r="AF866" i="4" s="1"/>
  <c r="AL866" i="4" s="1"/>
  <c r="R867" i="4"/>
  <c r="S867" i="4"/>
  <c r="U867" i="4" s="1"/>
  <c r="AA867" i="4"/>
  <c r="AF867" i="4"/>
  <c r="AL867" i="4" s="1"/>
  <c r="R868" i="4"/>
  <c r="S868" i="4"/>
  <c r="U868" i="4"/>
  <c r="AA868" i="4"/>
  <c r="R869" i="4"/>
  <c r="S869" i="4"/>
  <c r="U869" i="4" s="1"/>
  <c r="R870" i="4"/>
  <c r="S870" i="4"/>
  <c r="AF870" i="4" s="1"/>
  <c r="AL870" i="4" s="1"/>
  <c r="U870" i="4"/>
  <c r="AA870" i="4"/>
  <c r="R871" i="4"/>
  <c r="S871" i="4"/>
  <c r="U871" i="4" s="1"/>
  <c r="AA871" i="4"/>
  <c r="AF871" i="4"/>
  <c r="AL871" i="4"/>
  <c r="R872" i="4"/>
  <c r="AF872" i="4" s="1"/>
  <c r="AL872" i="4" s="1"/>
  <c r="S872" i="4"/>
  <c r="U872" i="4" s="1"/>
  <c r="R873" i="4"/>
  <c r="AF873" i="4" s="1"/>
  <c r="AL873" i="4" s="1"/>
  <c r="S873" i="4"/>
  <c r="U873" i="4"/>
  <c r="AA873" i="4"/>
  <c r="R874" i="4"/>
  <c r="S874" i="4"/>
  <c r="U874" i="4"/>
  <c r="AA874" i="4"/>
  <c r="AF874" i="4"/>
  <c r="AL874" i="4"/>
  <c r="R875" i="4"/>
  <c r="S875" i="4"/>
  <c r="AF875" i="4"/>
  <c r="AL875" i="4"/>
  <c r="R876" i="4"/>
  <c r="AA876" i="4" s="1"/>
  <c r="S876" i="4"/>
  <c r="U876" i="4"/>
  <c r="R877" i="4"/>
  <c r="S877" i="4"/>
  <c r="U877" i="4"/>
  <c r="AA877" i="4"/>
  <c r="AF877" i="4"/>
  <c r="AL877" i="4"/>
  <c r="R878" i="4"/>
  <c r="S878" i="4"/>
  <c r="U878" i="4"/>
  <c r="AA878" i="4"/>
  <c r="AF878" i="4"/>
  <c r="AL878" i="4"/>
  <c r="R879" i="4"/>
  <c r="AF879" i="4" s="1"/>
  <c r="AL879" i="4" s="1"/>
  <c r="S879" i="4"/>
  <c r="U879" i="4" s="1"/>
  <c r="R880" i="4"/>
  <c r="S880" i="4"/>
  <c r="U880" i="4"/>
  <c r="AA880" i="4"/>
  <c r="R881" i="4"/>
  <c r="S881" i="4"/>
  <c r="U881" i="4"/>
  <c r="AA881" i="4"/>
  <c r="AF881" i="4"/>
  <c r="AL881" i="4"/>
  <c r="R882" i="4"/>
  <c r="S882" i="4"/>
  <c r="AF882" i="4" s="1"/>
  <c r="AL882" i="4" s="1"/>
  <c r="R883" i="4"/>
  <c r="S883" i="4"/>
  <c r="U883" i="4" s="1"/>
  <c r="AA883" i="4"/>
  <c r="AF883" i="4"/>
  <c r="AL883" i="4" s="1"/>
  <c r="R884" i="4"/>
  <c r="S884" i="4"/>
  <c r="U884" i="4"/>
  <c r="AA884" i="4"/>
  <c r="R885" i="4"/>
  <c r="S885" i="4"/>
  <c r="U885" i="4" s="1"/>
  <c r="R886" i="4"/>
  <c r="S886" i="4"/>
  <c r="AF886" i="4" s="1"/>
  <c r="AL886" i="4" s="1"/>
  <c r="U886" i="4"/>
  <c r="AA886" i="4"/>
  <c r="R887" i="4"/>
  <c r="S887" i="4"/>
  <c r="U887" i="4" s="1"/>
  <c r="AA887" i="4"/>
  <c r="AF887" i="4"/>
  <c r="AL887" i="4"/>
  <c r="R888" i="4"/>
  <c r="AF888" i="4" s="1"/>
  <c r="AL888" i="4" s="1"/>
  <c r="S888" i="4"/>
  <c r="U888" i="4" s="1"/>
  <c r="R889" i="4"/>
  <c r="AF889" i="4" s="1"/>
  <c r="AL889" i="4" s="1"/>
  <c r="S889" i="4"/>
  <c r="U889" i="4"/>
  <c r="AA889" i="4"/>
  <c r="R890" i="4"/>
  <c r="S890" i="4"/>
  <c r="U890" i="4"/>
  <c r="AA890" i="4"/>
  <c r="AF890" i="4"/>
  <c r="AL890" i="4"/>
  <c r="R891" i="4"/>
  <c r="S891" i="4"/>
  <c r="AF891" i="4"/>
  <c r="AL891" i="4"/>
  <c r="R892" i="4"/>
  <c r="S892" i="4"/>
  <c r="U892" i="4"/>
  <c r="R893" i="4"/>
  <c r="S893" i="4"/>
  <c r="U893" i="4"/>
  <c r="AA893" i="4"/>
  <c r="AF893" i="4"/>
  <c r="AL893" i="4"/>
  <c r="R894" i="4"/>
  <c r="S894" i="4"/>
  <c r="U894" i="4"/>
  <c r="AA894" i="4"/>
  <c r="AF894" i="4"/>
  <c r="AL894" i="4"/>
  <c r="R895" i="4"/>
  <c r="AF895" i="4" s="1"/>
  <c r="AL895" i="4" s="1"/>
  <c r="S895" i="4"/>
  <c r="U895" i="4" s="1"/>
  <c r="R896" i="4"/>
  <c r="S896" i="4"/>
  <c r="U896" i="4"/>
  <c r="AA896" i="4"/>
  <c r="R897" i="4"/>
  <c r="S897" i="4"/>
  <c r="U897" i="4"/>
  <c r="AA897" i="4"/>
  <c r="AF897" i="4"/>
  <c r="AL897" i="4"/>
  <c r="R898" i="4"/>
  <c r="S898" i="4"/>
  <c r="AF898" i="4" s="1"/>
  <c r="AL898" i="4" s="1"/>
  <c r="R899" i="4"/>
  <c r="S899" i="4"/>
  <c r="U899" i="4" s="1"/>
  <c r="AA899" i="4"/>
  <c r="AF899" i="4"/>
  <c r="AL899" i="4" s="1"/>
  <c r="R900" i="4"/>
  <c r="S900" i="4"/>
  <c r="U900" i="4"/>
  <c r="AA900" i="4"/>
  <c r="R901" i="4"/>
  <c r="S901" i="4"/>
  <c r="U901" i="4" s="1"/>
  <c r="R902" i="4"/>
  <c r="S902" i="4"/>
  <c r="AF902" i="4" s="1"/>
  <c r="AL902" i="4" s="1"/>
  <c r="U902" i="4"/>
  <c r="AA902" i="4"/>
  <c r="R903" i="4"/>
  <c r="S903" i="4"/>
  <c r="U903" i="4" s="1"/>
  <c r="AA903" i="4"/>
  <c r="AF903" i="4"/>
  <c r="AL903" i="4"/>
  <c r="R904" i="4"/>
  <c r="AF904" i="4" s="1"/>
  <c r="AL904" i="4" s="1"/>
  <c r="S904" i="4"/>
  <c r="U904" i="4" s="1"/>
  <c r="R905" i="4"/>
  <c r="AF905" i="4" s="1"/>
  <c r="AL905" i="4" s="1"/>
  <c r="S905" i="4"/>
  <c r="U905" i="4"/>
  <c r="AA905" i="4"/>
  <c r="R906" i="4"/>
  <c r="S906" i="4"/>
  <c r="U906" i="4"/>
  <c r="AA906" i="4"/>
  <c r="AF906" i="4"/>
  <c r="AL906" i="4"/>
  <c r="R907" i="4"/>
  <c r="S907" i="4"/>
  <c r="AF907" i="4"/>
  <c r="AL907" i="4"/>
  <c r="R908" i="4"/>
  <c r="AA908" i="4" s="1"/>
  <c r="S908" i="4"/>
  <c r="U908" i="4"/>
  <c r="R909" i="4"/>
  <c r="S909" i="4"/>
  <c r="U909" i="4"/>
  <c r="AA909" i="4"/>
  <c r="AF909" i="4"/>
  <c r="AL909" i="4"/>
  <c r="R910" i="4"/>
  <c r="S910" i="4"/>
  <c r="U910" i="4"/>
  <c r="AA910" i="4"/>
  <c r="AF910" i="4"/>
  <c r="AL910" i="4"/>
  <c r="R911" i="4"/>
  <c r="AF911" i="4" s="1"/>
  <c r="AL911" i="4" s="1"/>
  <c r="S911" i="4"/>
  <c r="U911" i="4" s="1"/>
  <c r="R912" i="4"/>
  <c r="S912" i="4"/>
  <c r="U912" i="4"/>
  <c r="AA912" i="4"/>
  <c r="R913" i="4"/>
  <c r="S913" i="4"/>
  <c r="U913" i="4"/>
  <c r="AA913" i="4"/>
  <c r="AF913" i="4"/>
  <c r="AL913" i="4"/>
  <c r="R914" i="4"/>
  <c r="S914" i="4"/>
  <c r="AF914" i="4" s="1"/>
  <c r="AL914" i="4" s="1"/>
  <c r="R915" i="4"/>
  <c r="S915" i="4"/>
  <c r="U915" i="4" s="1"/>
  <c r="AA915" i="4"/>
  <c r="AF915" i="4"/>
  <c r="AL915" i="4" s="1"/>
  <c r="R916" i="4"/>
  <c r="S916" i="4"/>
  <c r="U916" i="4"/>
  <c r="AA916" i="4"/>
  <c r="R917" i="4"/>
  <c r="S917" i="4"/>
  <c r="U917" i="4" s="1"/>
  <c r="R918" i="4"/>
  <c r="S918" i="4"/>
  <c r="AF918" i="4" s="1"/>
  <c r="AL918" i="4" s="1"/>
  <c r="U918" i="4"/>
  <c r="AA918" i="4"/>
  <c r="R919" i="4"/>
  <c r="S919" i="4"/>
  <c r="U919" i="4" s="1"/>
  <c r="AA919" i="4"/>
  <c r="AF919" i="4"/>
  <c r="AL919" i="4"/>
  <c r="R920" i="4"/>
  <c r="AF920" i="4" s="1"/>
  <c r="AL920" i="4" s="1"/>
  <c r="S920" i="4"/>
  <c r="U920" i="4" s="1"/>
  <c r="R921" i="4"/>
  <c r="AF921" i="4" s="1"/>
  <c r="AL921" i="4" s="1"/>
  <c r="S921" i="4"/>
  <c r="U921" i="4"/>
  <c r="AA921" i="4"/>
  <c r="R922" i="4"/>
  <c r="S922" i="4"/>
  <c r="U922" i="4"/>
  <c r="AA922" i="4"/>
  <c r="AF922" i="4"/>
  <c r="AL922" i="4"/>
  <c r="R923" i="4"/>
  <c r="S923" i="4"/>
  <c r="AF923" i="4"/>
  <c r="AL923" i="4"/>
  <c r="R924" i="4"/>
  <c r="S924" i="4"/>
  <c r="U924" i="4"/>
  <c r="R925" i="4"/>
  <c r="S925" i="4"/>
  <c r="U925" i="4"/>
  <c r="AA925" i="4"/>
  <c r="AF925" i="4"/>
  <c r="AL925" i="4"/>
  <c r="R926" i="4"/>
  <c r="S926" i="4"/>
  <c r="U926" i="4"/>
  <c r="AA926" i="4"/>
  <c r="AF926" i="4"/>
  <c r="AL926" i="4"/>
  <c r="R927" i="4"/>
  <c r="AF927" i="4" s="1"/>
  <c r="AL927" i="4" s="1"/>
  <c r="S927" i="4"/>
  <c r="U927" i="4" s="1"/>
  <c r="R928" i="4"/>
  <c r="S928" i="4"/>
  <c r="U928" i="4"/>
  <c r="AA928" i="4"/>
  <c r="R929" i="4"/>
  <c r="S929" i="4"/>
  <c r="U929" i="4"/>
  <c r="AA929" i="4"/>
  <c r="AF929" i="4"/>
  <c r="AL929" i="4"/>
  <c r="R930" i="4"/>
  <c r="S930" i="4"/>
  <c r="AF930" i="4" s="1"/>
  <c r="AL930" i="4" s="1"/>
  <c r="R931" i="4"/>
  <c r="S931" i="4"/>
  <c r="U931" i="4" s="1"/>
  <c r="AA931" i="4"/>
  <c r="AF931" i="4"/>
  <c r="AL931" i="4" s="1"/>
  <c r="R932" i="4"/>
  <c r="S932" i="4"/>
  <c r="U932" i="4"/>
  <c r="AA932" i="4"/>
  <c r="R933" i="4"/>
  <c r="S933" i="4"/>
  <c r="U933" i="4" s="1"/>
  <c r="R934" i="4"/>
  <c r="S934" i="4"/>
  <c r="AF934" i="4" s="1"/>
  <c r="AL934" i="4" s="1"/>
  <c r="U934" i="4"/>
  <c r="AA934" i="4"/>
  <c r="R935" i="4"/>
  <c r="S935" i="4"/>
  <c r="U935" i="4" s="1"/>
  <c r="AA935" i="4"/>
  <c r="AF935" i="4"/>
  <c r="AL935" i="4"/>
  <c r="R936" i="4"/>
  <c r="AF936" i="4" s="1"/>
  <c r="AL936" i="4" s="1"/>
  <c r="S936" i="4"/>
  <c r="U936" i="4" s="1"/>
  <c r="R937" i="4"/>
  <c r="AF937" i="4" s="1"/>
  <c r="AL937" i="4" s="1"/>
  <c r="S937" i="4"/>
  <c r="U937" i="4"/>
  <c r="AA937" i="4"/>
  <c r="R938" i="4"/>
  <c r="S938" i="4"/>
  <c r="U938" i="4"/>
  <c r="AA938" i="4"/>
  <c r="AF938" i="4"/>
  <c r="AL938" i="4"/>
  <c r="R939" i="4"/>
  <c r="S939" i="4"/>
  <c r="AF939" i="4"/>
  <c r="AL939" i="4"/>
  <c r="R940" i="4"/>
  <c r="S940" i="4"/>
  <c r="U940" i="4"/>
  <c r="R941" i="4"/>
  <c r="S941" i="4"/>
  <c r="U941" i="4"/>
  <c r="AA941" i="4"/>
  <c r="AF941" i="4"/>
  <c r="AL941" i="4"/>
  <c r="R942" i="4"/>
  <c r="S942" i="4"/>
  <c r="U942" i="4"/>
  <c r="AA942" i="4"/>
  <c r="AF942" i="4"/>
  <c r="AL942" i="4"/>
  <c r="R943" i="4"/>
  <c r="AF943" i="4" s="1"/>
  <c r="AL943" i="4" s="1"/>
  <c r="S943" i="4"/>
  <c r="U943" i="4" s="1"/>
  <c r="R944" i="4"/>
  <c r="S944" i="4"/>
  <c r="U944" i="4"/>
  <c r="AA944" i="4"/>
  <c r="R945" i="4"/>
  <c r="S945" i="4"/>
  <c r="U945" i="4"/>
  <c r="AA945" i="4"/>
  <c r="AF945" i="4"/>
  <c r="AL945" i="4"/>
  <c r="R946" i="4"/>
  <c r="S946" i="4"/>
  <c r="AF946" i="4" s="1"/>
  <c r="AL946" i="4" s="1"/>
  <c r="R947" i="4"/>
  <c r="S947" i="4"/>
  <c r="U947" i="4" s="1"/>
  <c r="AA947" i="4"/>
  <c r="AF947" i="4"/>
  <c r="AL947" i="4" s="1"/>
  <c r="R948" i="4"/>
  <c r="S948" i="4"/>
  <c r="U948" i="4"/>
  <c r="AA948" i="4"/>
  <c r="R949" i="4"/>
  <c r="S949" i="4"/>
  <c r="U949" i="4" s="1"/>
  <c r="R950" i="4"/>
  <c r="S950" i="4"/>
  <c r="AF950" i="4" s="1"/>
  <c r="AL950" i="4" s="1"/>
  <c r="U950" i="4"/>
  <c r="AA950" i="4"/>
  <c r="R951" i="4"/>
  <c r="S951" i="4"/>
  <c r="U951" i="4" s="1"/>
  <c r="AA951" i="4"/>
  <c r="AF951" i="4"/>
  <c r="AL951" i="4"/>
  <c r="R952" i="4"/>
  <c r="AF952" i="4" s="1"/>
  <c r="AL952" i="4" s="1"/>
  <c r="S952" i="4"/>
  <c r="U952" i="4" s="1"/>
  <c r="R953" i="4"/>
  <c r="AF953" i="4" s="1"/>
  <c r="AL953" i="4" s="1"/>
  <c r="S953" i="4"/>
  <c r="U953" i="4"/>
  <c r="AA953" i="4"/>
  <c r="R954" i="4"/>
  <c r="S954" i="4"/>
  <c r="U954" i="4"/>
  <c r="AA954" i="4"/>
  <c r="AF954" i="4"/>
  <c r="AL954" i="4"/>
  <c r="R955" i="4"/>
  <c r="S955" i="4"/>
  <c r="AF955" i="4"/>
  <c r="AL955" i="4"/>
  <c r="R956" i="4"/>
  <c r="AA956" i="4" s="1"/>
  <c r="S956" i="4"/>
  <c r="U956" i="4"/>
  <c r="R957" i="4"/>
  <c r="S957" i="4"/>
  <c r="U957" i="4"/>
  <c r="AA957" i="4"/>
  <c r="AF957" i="4"/>
  <c r="AL957" i="4"/>
  <c r="R958" i="4"/>
  <c r="S958" i="4"/>
  <c r="U958" i="4"/>
  <c r="AA958" i="4"/>
  <c r="AF958" i="4"/>
  <c r="AL958" i="4"/>
  <c r="R959" i="4"/>
  <c r="AF959" i="4" s="1"/>
  <c r="AL959" i="4" s="1"/>
  <c r="S959" i="4"/>
  <c r="U959" i="4" s="1"/>
  <c r="R960" i="4"/>
  <c r="S960" i="4"/>
  <c r="U960" i="4"/>
  <c r="AA960" i="4"/>
  <c r="R961" i="4"/>
  <c r="S961" i="4"/>
  <c r="U961" i="4"/>
  <c r="AA961" i="4"/>
  <c r="AF961" i="4"/>
  <c r="AL961" i="4"/>
  <c r="R962" i="4"/>
  <c r="S962" i="4"/>
  <c r="AF962" i="4" s="1"/>
  <c r="AL962" i="4" s="1"/>
  <c r="R963" i="4"/>
  <c r="S963" i="4"/>
  <c r="U963" i="4" s="1"/>
  <c r="AA963" i="4"/>
  <c r="AF963" i="4"/>
  <c r="AL963" i="4" s="1"/>
  <c r="R964" i="4"/>
  <c r="S964" i="4"/>
  <c r="U964" i="4"/>
  <c r="AA964" i="4"/>
  <c r="R965" i="4"/>
  <c r="S965" i="4"/>
  <c r="U965" i="4" s="1"/>
  <c r="R966" i="4"/>
  <c r="S966" i="4"/>
  <c r="AF966" i="4" s="1"/>
  <c r="AL966" i="4" s="1"/>
  <c r="U966" i="4"/>
  <c r="AA966" i="4"/>
  <c r="R967" i="4"/>
  <c r="S967" i="4"/>
  <c r="U967" i="4" s="1"/>
  <c r="AA967" i="4"/>
  <c r="AF967" i="4"/>
  <c r="AL967" i="4"/>
  <c r="R968" i="4"/>
  <c r="AF968" i="4" s="1"/>
  <c r="AL968" i="4" s="1"/>
  <c r="S968" i="4"/>
  <c r="U968" i="4" s="1"/>
  <c r="R969" i="4"/>
  <c r="AF969" i="4" s="1"/>
  <c r="AL969" i="4" s="1"/>
  <c r="S969" i="4"/>
  <c r="U969" i="4"/>
  <c r="AA969" i="4"/>
  <c r="R970" i="4"/>
  <c r="S970" i="4"/>
  <c r="U970" i="4"/>
  <c r="AA970" i="4"/>
  <c r="AF970" i="4"/>
  <c r="AL970" i="4"/>
  <c r="R971" i="4"/>
  <c r="S971" i="4"/>
  <c r="AF971" i="4"/>
  <c r="AL971" i="4"/>
  <c r="R972" i="4"/>
  <c r="AA972" i="4" s="1"/>
  <c r="S972" i="4"/>
  <c r="U972" i="4"/>
  <c r="R973" i="4"/>
  <c r="S973" i="4"/>
  <c r="U973" i="4"/>
  <c r="AA973" i="4"/>
  <c r="AF973" i="4"/>
  <c r="AL973" i="4"/>
  <c r="R974" i="4"/>
  <c r="S974" i="4"/>
  <c r="U974" i="4"/>
  <c r="AA974" i="4"/>
  <c r="AF974" i="4"/>
  <c r="AL974" i="4"/>
  <c r="R975" i="4"/>
  <c r="AF975" i="4" s="1"/>
  <c r="AL975" i="4" s="1"/>
  <c r="S975" i="4"/>
  <c r="U975" i="4" s="1"/>
  <c r="R976" i="4"/>
  <c r="S976" i="4"/>
  <c r="U976" i="4"/>
  <c r="AA976" i="4"/>
  <c r="R977" i="4"/>
  <c r="S977" i="4"/>
  <c r="U977" i="4"/>
  <c r="AA977" i="4"/>
  <c r="AF977" i="4"/>
  <c r="AL977" i="4"/>
  <c r="R978" i="4"/>
  <c r="S978" i="4"/>
  <c r="AF978" i="4" s="1"/>
  <c r="AL978" i="4" s="1"/>
  <c r="R979" i="4"/>
  <c r="S979" i="4"/>
  <c r="U979" i="4" s="1"/>
  <c r="AA979" i="4"/>
  <c r="AF979" i="4"/>
  <c r="AL979" i="4" s="1"/>
  <c r="R980" i="4"/>
  <c r="S980" i="4"/>
  <c r="U980" i="4"/>
  <c r="AA980" i="4"/>
  <c r="R981" i="4"/>
  <c r="S981" i="4"/>
  <c r="U981" i="4" s="1"/>
  <c r="R982" i="4"/>
  <c r="S982" i="4"/>
  <c r="AF982" i="4" s="1"/>
  <c r="AL982" i="4" s="1"/>
  <c r="U982" i="4"/>
  <c r="AA982" i="4"/>
  <c r="R983" i="4"/>
  <c r="S983" i="4"/>
  <c r="U983" i="4" s="1"/>
  <c r="AA983" i="4"/>
  <c r="AF983" i="4"/>
  <c r="AL983" i="4"/>
  <c r="R984" i="4"/>
  <c r="AF984" i="4" s="1"/>
  <c r="AL984" i="4" s="1"/>
  <c r="S984" i="4"/>
  <c r="U984" i="4" s="1"/>
  <c r="R985" i="4"/>
  <c r="AF985" i="4" s="1"/>
  <c r="AL985" i="4" s="1"/>
  <c r="S985" i="4"/>
  <c r="U985" i="4"/>
  <c r="AA985" i="4"/>
  <c r="R986" i="4"/>
  <c r="S986" i="4"/>
  <c r="U986" i="4"/>
  <c r="AA986" i="4"/>
  <c r="AF986" i="4"/>
  <c r="AL986" i="4"/>
  <c r="R987" i="4"/>
  <c r="S987" i="4"/>
  <c r="AF987" i="4"/>
  <c r="AL987" i="4"/>
  <c r="R988" i="4"/>
  <c r="AF988" i="4" s="1"/>
  <c r="AL988" i="4" s="1"/>
  <c r="S988" i="4"/>
  <c r="U988" i="4"/>
  <c r="R989" i="4"/>
  <c r="S989" i="4"/>
  <c r="U989" i="4"/>
  <c r="AA989" i="4"/>
  <c r="AF989" i="4"/>
  <c r="AL989" i="4" s="1"/>
  <c r="R990" i="4"/>
  <c r="S990" i="4"/>
  <c r="U990" i="4"/>
  <c r="AA990" i="4"/>
  <c r="AF990" i="4"/>
  <c r="AL990" i="4"/>
  <c r="R991" i="4"/>
  <c r="S991" i="4"/>
  <c r="U991" i="4" s="1"/>
  <c r="R992" i="4"/>
  <c r="AF992" i="4" s="1"/>
  <c r="AL992" i="4" s="1"/>
  <c r="S992" i="4"/>
  <c r="U992" i="4"/>
  <c r="R993" i="4"/>
  <c r="S993" i="4"/>
  <c r="U993" i="4"/>
  <c r="AA993" i="4"/>
  <c r="AF993" i="4"/>
  <c r="AL993" i="4" s="1"/>
  <c r="R994" i="4"/>
  <c r="S994" i="4"/>
  <c r="U994" i="4"/>
  <c r="AA994" i="4"/>
  <c r="AF994" i="4"/>
  <c r="AL994" i="4"/>
  <c r="R995" i="4"/>
  <c r="AF995" i="4" s="1"/>
  <c r="AL995" i="4" s="1"/>
  <c r="S995" i="4"/>
  <c r="U995" i="4" s="1"/>
  <c r="R996" i="4"/>
  <c r="AF996" i="4" s="1"/>
  <c r="AL996" i="4" s="1"/>
  <c r="S996" i="4"/>
  <c r="U996" i="4"/>
  <c r="R997" i="4"/>
  <c r="S997" i="4"/>
  <c r="U997" i="4"/>
  <c r="AA997" i="4"/>
  <c r="AF997" i="4"/>
  <c r="AL997" i="4" s="1"/>
  <c r="R998" i="4"/>
  <c r="S998" i="4"/>
  <c r="U998" i="4"/>
  <c r="AA998" i="4"/>
  <c r="AF998" i="4"/>
  <c r="AL998" i="4"/>
  <c r="R999" i="4"/>
  <c r="AF999" i="4" s="1"/>
  <c r="AL999" i="4" s="1"/>
  <c r="S999" i="4"/>
  <c r="U999" i="4" s="1"/>
  <c r="R1000" i="4"/>
  <c r="AF1000" i="4" s="1"/>
  <c r="AL1000" i="4" s="1"/>
  <c r="S1000" i="4"/>
  <c r="U1000" i="4"/>
  <c r="R1001" i="4"/>
  <c r="S1001" i="4"/>
  <c r="U1001" i="4"/>
  <c r="AA1001" i="4"/>
  <c r="AF1001" i="4"/>
  <c r="AL1001" i="4" s="1"/>
  <c r="R1002" i="4"/>
  <c r="S1002" i="4"/>
  <c r="U1002" i="4"/>
  <c r="AA1002" i="4"/>
  <c r="AF1002" i="4"/>
  <c r="AL1002" i="4"/>
  <c r="R1003" i="4"/>
  <c r="S1003" i="4"/>
  <c r="U1003" i="4" s="1"/>
  <c r="R1004" i="4"/>
  <c r="AF1004" i="4" s="1"/>
  <c r="AL1004" i="4" s="1"/>
  <c r="S1004" i="4"/>
  <c r="U1004" i="4"/>
  <c r="R1005" i="4"/>
  <c r="S1005" i="4"/>
  <c r="U1005" i="4"/>
  <c r="AA1005" i="4"/>
  <c r="AF1005" i="4"/>
  <c r="AL1005" i="4" s="1"/>
  <c r="R1006" i="4"/>
  <c r="S1006" i="4"/>
  <c r="U1006" i="4"/>
  <c r="AA1006" i="4"/>
  <c r="AF1006" i="4"/>
  <c r="AL1006" i="4"/>
  <c r="R1007" i="4"/>
  <c r="AF1007" i="4" s="1"/>
  <c r="AL1007" i="4" s="1"/>
  <c r="S1007" i="4"/>
  <c r="U1007" i="4" s="1"/>
  <c r="B11" i="5"/>
  <c r="B13" i="5" s="1"/>
  <c r="C11" i="5"/>
  <c r="C14" i="5" s="1"/>
  <c r="B12" i="5"/>
  <c r="B23" i="5" s="1"/>
  <c r="C12" i="5"/>
  <c r="AA933" i="4" l="1"/>
  <c r="AA869" i="4"/>
  <c r="AA1003" i="4"/>
  <c r="AA991" i="4"/>
  <c r="AA981" i="4"/>
  <c r="AA965" i="4"/>
  <c r="AA901" i="4"/>
  <c r="AA805" i="4"/>
  <c r="AA949" i="4"/>
  <c r="AA885" i="4"/>
  <c r="AA837" i="4"/>
  <c r="AA789" i="4"/>
  <c r="AA773" i="4"/>
  <c r="AA757" i="4"/>
  <c r="AA917" i="4"/>
  <c r="AA853" i="4"/>
  <c r="AA821" i="4"/>
  <c r="AF585" i="4"/>
  <c r="AL585" i="4" s="1"/>
  <c r="AF532" i="4"/>
  <c r="AL532" i="4" s="1"/>
  <c r="AF473" i="4"/>
  <c r="AL473" i="4" s="1"/>
  <c r="AF414" i="4"/>
  <c r="AL414" i="4" s="1"/>
  <c r="AF365" i="4"/>
  <c r="AL365" i="4" s="1"/>
  <c r="AA365" i="4"/>
  <c r="AF9" i="4"/>
  <c r="AL9" i="4" s="1"/>
  <c r="AF672" i="4"/>
  <c r="AL672" i="4" s="1"/>
  <c r="U443" i="4"/>
  <c r="AA443" i="4" s="1"/>
  <c r="AF443" i="4"/>
  <c r="AL443" i="4" s="1"/>
  <c r="AF940" i="4"/>
  <c r="AL940" i="4" s="1"/>
  <c r="AF924" i="4"/>
  <c r="AL924" i="4" s="1"/>
  <c r="AF892" i="4"/>
  <c r="AL892" i="4" s="1"/>
  <c r="AF796" i="4"/>
  <c r="AL796" i="4" s="1"/>
  <c r="AF732" i="4"/>
  <c r="AL732" i="4" s="1"/>
  <c r="AA732" i="4"/>
  <c r="AF505" i="4"/>
  <c r="AL505" i="4" s="1"/>
  <c r="AA505" i="4"/>
  <c r="AF260" i="4"/>
  <c r="AL260" i="4" s="1"/>
  <c r="AF234" i="4"/>
  <c r="AL234" i="4" s="1"/>
  <c r="AA529" i="4"/>
  <c r="AF529" i="4"/>
  <c r="AL529" i="4" s="1"/>
  <c r="AF438" i="4"/>
  <c r="AL438" i="4" s="1"/>
  <c r="U438" i="4"/>
  <c r="AA438" i="4" s="1"/>
  <c r="AF79" i="4"/>
  <c r="AL79" i="4" s="1"/>
  <c r="U79" i="4"/>
  <c r="AA79" i="4" s="1"/>
  <c r="AF47" i="4"/>
  <c r="AL47" i="4" s="1"/>
  <c r="U47" i="4"/>
  <c r="AA47" i="4" s="1"/>
  <c r="B14" i="5"/>
  <c r="AF1003" i="4"/>
  <c r="AL1003" i="4" s="1"/>
  <c r="AF976" i="4"/>
  <c r="AL976" i="4" s="1"/>
  <c r="AF896" i="4"/>
  <c r="AL896" i="4" s="1"/>
  <c r="AA1007" i="4"/>
  <c r="AA984" i="4"/>
  <c r="AA968" i="4"/>
  <c r="AA1004" i="4"/>
  <c r="AA1000" i="4"/>
  <c r="AA996" i="4"/>
  <c r="AA992" i="4"/>
  <c r="AA988" i="4"/>
  <c r="U978" i="4"/>
  <c r="AA978" i="4" s="1"/>
  <c r="AA975" i="4"/>
  <c r="U962" i="4"/>
  <c r="AA962" i="4" s="1"/>
  <c r="AA959" i="4"/>
  <c r="U946" i="4"/>
  <c r="AA946" i="4" s="1"/>
  <c r="AA943" i="4"/>
  <c r="AA940" i="4"/>
  <c r="U930" i="4"/>
  <c r="AA930" i="4" s="1"/>
  <c r="AA927" i="4"/>
  <c r="AA924" i="4"/>
  <c r="U914" i="4"/>
  <c r="AA914" i="4" s="1"/>
  <c r="AA911" i="4"/>
  <c r="U898" i="4"/>
  <c r="AA898" i="4" s="1"/>
  <c r="AA895" i="4"/>
  <c r="AA892" i="4"/>
  <c r="U882" i="4"/>
  <c r="AA882" i="4" s="1"/>
  <c r="AA879" i="4"/>
  <c r="U866" i="4"/>
  <c r="AA866" i="4" s="1"/>
  <c r="AA863" i="4"/>
  <c r="U850" i="4"/>
  <c r="AA850" i="4" s="1"/>
  <c r="AA847" i="4"/>
  <c r="U834" i="4"/>
  <c r="AA834" i="4" s="1"/>
  <c r="AA831" i="4"/>
  <c r="U818" i="4"/>
  <c r="AA818" i="4" s="1"/>
  <c r="AA815" i="4"/>
  <c r="U802" i="4"/>
  <c r="AA802" i="4" s="1"/>
  <c r="AA799" i="4"/>
  <c r="AA796" i="4"/>
  <c r="U786" i="4"/>
  <c r="AA786" i="4" s="1"/>
  <c r="AA783" i="4"/>
  <c r="U770" i="4"/>
  <c r="AA770" i="4" s="1"/>
  <c r="AA767" i="4"/>
  <c r="U754" i="4"/>
  <c r="AA754" i="4" s="1"/>
  <c r="AA751" i="4"/>
  <c r="U737" i="4"/>
  <c r="AA737" i="4" s="1"/>
  <c r="AA719" i="4"/>
  <c r="AA717" i="4"/>
  <c r="AF715" i="4"/>
  <c r="AL715" i="4" s="1"/>
  <c r="U710" i="4"/>
  <c r="AA710" i="4" s="1"/>
  <c r="U705" i="4"/>
  <c r="AA705" i="4" s="1"/>
  <c r="AF700" i="4"/>
  <c r="AL700" i="4" s="1"/>
  <c r="U698" i="4"/>
  <c r="AA698" i="4" s="1"/>
  <c r="U693" i="4"/>
  <c r="AA693" i="4" s="1"/>
  <c r="U691" i="4"/>
  <c r="U686" i="4"/>
  <c r="AA686" i="4" s="1"/>
  <c r="AF681" i="4"/>
  <c r="AL681" i="4" s="1"/>
  <c r="AA681" i="4"/>
  <c r="AA679" i="4"/>
  <c r="AF654" i="4"/>
  <c r="AL654" i="4" s="1"/>
  <c r="AF649" i="4"/>
  <c r="AL649" i="4" s="1"/>
  <c r="AA649" i="4"/>
  <c r="U645" i="4"/>
  <c r="U643" i="4"/>
  <c r="AA643" i="4" s="1"/>
  <c r="AF639" i="4"/>
  <c r="AL639" i="4" s="1"/>
  <c r="U637" i="4"/>
  <c r="AA637" i="4" s="1"/>
  <c r="AF633" i="4"/>
  <c r="AL633" i="4" s="1"/>
  <c r="AA633" i="4"/>
  <c r="U607" i="4"/>
  <c r="AA607" i="4" s="1"/>
  <c r="U596" i="4"/>
  <c r="U594" i="4"/>
  <c r="AA594" i="4" s="1"/>
  <c r="U585" i="4"/>
  <c r="AA585" i="4" s="1"/>
  <c r="AF572" i="4"/>
  <c r="AL572" i="4" s="1"/>
  <c r="AA567" i="4"/>
  <c r="AF561" i="4"/>
  <c r="AL561" i="4" s="1"/>
  <c r="U543" i="4"/>
  <c r="U532" i="4"/>
  <c r="AA532" i="4" s="1"/>
  <c r="U530" i="4"/>
  <c r="AA530" i="4" s="1"/>
  <c r="U521" i="4"/>
  <c r="AF508" i="4"/>
  <c r="AL508" i="4" s="1"/>
  <c r="AA499" i="4"/>
  <c r="AA488" i="4"/>
  <c r="AF488" i="4"/>
  <c r="AL488" i="4" s="1"/>
  <c r="AA478" i="4"/>
  <c r="U473" i="4"/>
  <c r="AA473" i="4" s="1"/>
  <c r="U459" i="4"/>
  <c r="AA459" i="4"/>
  <c r="AF459" i="4"/>
  <c r="AL459" i="4" s="1"/>
  <c r="U432" i="4"/>
  <c r="U414" i="4"/>
  <c r="AA414" i="4" s="1"/>
  <c r="AF412" i="4"/>
  <c r="AL412" i="4" s="1"/>
  <c r="U392" i="4"/>
  <c r="AA392" i="4" s="1"/>
  <c r="U384" i="4"/>
  <c r="AA384" i="4" s="1"/>
  <c r="AF373" i="4"/>
  <c r="AL373" i="4" s="1"/>
  <c r="AA373" i="4"/>
  <c r="AF353" i="4"/>
  <c r="AL353" i="4" s="1"/>
  <c r="AA353" i="4"/>
  <c r="AF289" i="4"/>
  <c r="AL289" i="4" s="1"/>
  <c r="AA289" i="4"/>
  <c r="U289" i="4"/>
  <c r="AA260" i="4"/>
  <c r="AF207" i="4"/>
  <c r="AL207" i="4" s="1"/>
  <c r="AF596" i="4"/>
  <c r="AL596" i="4" s="1"/>
  <c r="AA596" i="4"/>
  <c r="U427" i="4"/>
  <c r="AA427" i="4"/>
  <c r="AF427" i="4"/>
  <c r="AL427" i="4" s="1"/>
  <c r="AF392" i="4"/>
  <c r="AL392" i="4" s="1"/>
  <c r="AF314" i="4"/>
  <c r="AL314" i="4" s="1"/>
  <c r="U314" i="4"/>
  <c r="AA314" i="4" s="1"/>
  <c r="AF748" i="4"/>
  <c r="AL748" i="4" s="1"/>
  <c r="AA748" i="4"/>
  <c r="AF620" i="4"/>
  <c r="AL620" i="4" s="1"/>
  <c r="AA620" i="4"/>
  <c r="AF556" i="4"/>
  <c r="AL556" i="4" s="1"/>
  <c r="AA556" i="4"/>
  <c r="AA545" i="4"/>
  <c r="AF545" i="4"/>
  <c r="AL545" i="4" s="1"/>
  <c r="AF333" i="4"/>
  <c r="AL333" i="4" s="1"/>
  <c r="AA333" i="4"/>
  <c r="AA269" i="4"/>
  <c r="AF269" i="4"/>
  <c r="AL269" i="4" s="1"/>
  <c r="U269" i="4"/>
  <c r="AF122" i="4"/>
  <c r="AL122" i="4" s="1"/>
  <c r="AF844" i="4"/>
  <c r="AL844" i="4" s="1"/>
  <c r="AF828" i="4"/>
  <c r="AL828" i="4" s="1"/>
  <c r="AF812" i="4"/>
  <c r="AL812" i="4" s="1"/>
  <c r="AF764" i="4"/>
  <c r="AL764" i="4" s="1"/>
  <c r="AF516" i="4"/>
  <c r="AL516" i="4" s="1"/>
  <c r="AA516" i="4"/>
  <c r="AF82" i="4"/>
  <c r="AL82" i="4" s="1"/>
  <c r="AF624" i="4"/>
  <c r="AL624" i="4" s="1"/>
  <c r="AA396" i="4"/>
  <c r="AF396" i="4"/>
  <c r="AL396" i="4" s="1"/>
  <c r="AF361" i="4"/>
  <c r="AL361" i="4" s="1"/>
  <c r="AA125" i="4"/>
  <c r="AF125" i="4"/>
  <c r="AL125" i="4" s="1"/>
  <c r="AF912" i="4"/>
  <c r="AL912" i="4" s="1"/>
  <c r="AF880" i="4"/>
  <c r="AL880" i="4" s="1"/>
  <c r="AF864" i="4"/>
  <c r="AL864" i="4" s="1"/>
  <c r="AF848" i="4"/>
  <c r="AL848" i="4" s="1"/>
  <c r="AF832" i="4"/>
  <c r="AL832" i="4" s="1"/>
  <c r="AF816" i="4"/>
  <c r="AL816" i="4" s="1"/>
  <c r="AF800" i="4"/>
  <c r="AL800" i="4" s="1"/>
  <c r="AF784" i="4"/>
  <c r="AL784" i="4" s="1"/>
  <c r="AF768" i="4"/>
  <c r="AL768" i="4" s="1"/>
  <c r="U759" i="4"/>
  <c r="AA759" i="4" s="1"/>
  <c r="AF752" i="4"/>
  <c r="AL752" i="4" s="1"/>
  <c r="U741" i="4"/>
  <c r="AA741" i="4" s="1"/>
  <c r="AF723" i="4"/>
  <c r="AL723" i="4" s="1"/>
  <c r="U716" i="4"/>
  <c r="U711" i="4"/>
  <c r="AA711" i="4" s="1"/>
  <c r="AF669" i="4"/>
  <c r="AL669" i="4" s="1"/>
  <c r="AF659" i="4"/>
  <c r="AL659" i="4" s="1"/>
  <c r="AF651" i="4"/>
  <c r="AL651" i="4" s="1"/>
  <c r="AA617" i="4"/>
  <c r="AF617" i="4"/>
  <c r="AL617" i="4" s="1"/>
  <c r="AF564" i="4"/>
  <c r="AL564" i="4" s="1"/>
  <c r="AA564" i="4"/>
  <c r="AA553" i="4"/>
  <c r="AF553" i="4"/>
  <c r="AL553" i="4" s="1"/>
  <c r="AF463" i="4"/>
  <c r="AL463" i="4" s="1"/>
  <c r="AA463" i="4"/>
  <c r="U453" i="4"/>
  <c r="AA453" i="4" s="1"/>
  <c r="U428" i="4"/>
  <c r="AF402" i="4"/>
  <c r="AL402" i="4" s="1"/>
  <c r="AA402" i="4"/>
  <c r="AA398" i="4"/>
  <c r="AF398" i="4"/>
  <c r="AL398" i="4" s="1"/>
  <c r="AA308" i="4"/>
  <c r="AF308" i="4"/>
  <c r="AL308" i="4" s="1"/>
  <c r="AA242" i="4"/>
  <c r="AF242" i="4"/>
  <c r="AL242" i="4" s="1"/>
  <c r="AA236" i="4"/>
  <c r="AF236" i="4"/>
  <c r="AL236" i="4" s="1"/>
  <c r="AA521" i="4"/>
  <c r="AF521" i="4"/>
  <c r="AL521" i="4" s="1"/>
  <c r="AF448" i="4"/>
  <c r="AL448" i="4" s="1"/>
  <c r="U448" i="4"/>
  <c r="AA448" i="4" s="1"/>
  <c r="AF724" i="4"/>
  <c r="AL724" i="4" s="1"/>
  <c r="AF665" i="4"/>
  <c r="AL665" i="4" s="1"/>
  <c r="AA665" i="4"/>
  <c r="AA609" i="4"/>
  <c r="AF609" i="4"/>
  <c r="AL609" i="4" s="1"/>
  <c r="AA501" i="4"/>
  <c r="AF501" i="4"/>
  <c r="AL501" i="4" s="1"/>
  <c r="AF486" i="4"/>
  <c r="AL486" i="4" s="1"/>
  <c r="B18" i="5"/>
  <c r="AF972" i="4"/>
  <c r="AL972" i="4" s="1"/>
  <c r="AF956" i="4"/>
  <c r="AL956" i="4" s="1"/>
  <c r="AF860" i="4"/>
  <c r="AL860" i="4" s="1"/>
  <c r="AF740" i="4"/>
  <c r="AL740" i="4" s="1"/>
  <c r="AF675" i="4"/>
  <c r="AL675" i="4" s="1"/>
  <c r="AF656" i="4"/>
  <c r="AL656" i="4" s="1"/>
  <c r="AF580" i="4"/>
  <c r="AL580" i="4" s="1"/>
  <c r="AA580" i="4"/>
  <c r="AF30" i="4"/>
  <c r="AL30" i="4" s="1"/>
  <c r="AA30" i="4"/>
  <c r="AF26" i="4"/>
  <c r="AL26" i="4" s="1"/>
  <c r="AF720" i="4"/>
  <c r="AL720" i="4" s="1"/>
  <c r="AF713" i="4"/>
  <c r="AL713" i="4" s="1"/>
  <c r="AA713" i="4"/>
  <c r="AA687" i="4"/>
  <c r="AF668" i="4"/>
  <c r="AL668" i="4" s="1"/>
  <c r="AA668" i="4"/>
  <c r="AA593" i="4"/>
  <c r="AF593" i="4"/>
  <c r="AL593" i="4" s="1"/>
  <c r="AA356" i="4"/>
  <c r="AF356" i="4"/>
  <c r="AL356" i="4" s="1"/>
  <c r="AF276" i="4"/>
  <c r="AL276" i="4" s="1"/>
  <c r="AA276" i="4"/>
  <c r="AF944" i="4"/>
  <c r="AL944" i="4" s="1"/>
  <c r="C13" i="5"/>
  <c r="AA999" i="4"/>
  <c r="AA995" i="4"/>
  <c r="AF981" i="4"/>
  <c r="AL981" i="4" s="1"/>
  <c r="AA952" i="4"/>
  <c r="AF949" i="4"/>
  <c r="AL949" i="4" s="1"/>
  <c r="AA936" i="4"/>
  <c r="AF933" i="4"/>
  <c r="AL933" i="4" s="1"/>
  <c r="AA920" i="4"/>
  <c r="AF917" i="4"/>
  <c r="AL917" i="4" s="1"/>
  <c r="AA888" i="4"/>
  <c r="AF885" i="4"/>
  <c r="AL885" i="4" s="1"/>
  <c r="AA872" i="4"/>
  <c r="AF869" i="4"/>
  <c r="AL869" i="4" s="1"/>
  <c r="AA856" i="4"/>
  <c r="AF853" i="4"/>
  <c r="AL853" i="4" s="1"/>
  <c r="AA840" i="4"/>
  <c r="AA808" i="4"/>
  <c r="AF805" i="4"/>
  <c r="AL805" i="4" s="1"/>
  <c r="AA776" i="4"/>
  <c r="AF773" i="4"/>
  <c r="AL773" i="4" s="1"/>
  <c r="AA760" i="4"/>
  <c r="AF757" i="4"/>
  <c r="AL757" i="4" s="1"/>
  <c r="AF716" i="4"/>
  <c r="AL716" i="4" s="1"/>
  <c r="AA716" i="4"/>
  <c r="AF697" i="4"/>
  <c r="AL697" i="4" s="1"/>
  <c r="AA697" i="4"/>
  <c r="AF693" i="4"/>
  <c r="AL693" i="4" s="1"/>
  <c r="AA623" i="4"/>
  <c r="AF623" i="4"/>
  <c r="AL623" i="4" s="1"/>
  <c r="AF588" i="4"/>
  <c r="AL588" i="4" s="1"/>
  <c r="AA588" i="4"/>
  <c r="AA577" i="4"/>
  <c r="AF577" i="4"/>
  <c r="AL577" i="4" s="1"/>
  <c r="AF524" i="4"/>
  <c r="AL524" i="4" s="1"/>
  <c r="AA524" i="4"/>
  <c r="AA513" i="4"/>
  <c r="AF513" i="4"/>
  <c r="AL513" i="4" s="1"/>
  <c r="U491" i="4"/>
  <c r="AA491" i="4" s="1"/>
  <c r="AA476" i="4"/>
  <c r="AF476" i="4"/>
  <c r="AL476" i="4" s="1"/>
  <c r="AF453" i="4"/>
  <c r="AL453" i="4" s="1"/>
  <c r="AA428" i="4"/>
  <c r="AF428" i="4"/>
  <c r="AL428" i="4" s="1"/>
  <c r="AF408" i="4"/>
  <c r="AL408" i="4" s="1"/>
  <c r="AF368" i="4"/>
  <c r="AL368" i="4" s="1"/>
  <c r="AA251" i="4"/>
  <c r="AF251" i="4"/>
  <c r="AL251" i="4" s="1"/>
  <c r="AF745" i="4"/>
  <c r="AL745" i="4" s="1"/>
  <c r="AF729" i="4"/>
  <c r="AL729" i="4" s="1"/>
  <c r="AA729" i="4"/>
  <c r="AA703" i="4"/>
  <c r="AF684" i="4"/>
  <c r="AL684" i="4" s="1"/>
  <c r="AA684" i="4"/>
  <c r="AF660" i="4"/>
  <c r="AL660" i="4" s="1"/>
  <c r="AF457" i="4"/>
  <c r="AL457" i="4" s="1"/>
  <c r="AF434" i="4"/>
  <c r="AL434" i="4" s="1"/>
  <c r="AA434" i="4"/>
  <c r="AF386" i="4"/>
  <c r="AL386" i="4" s="1"/>
  <c r="AA386" i="4"/>
  <c r="AF321" i="4"/>
  <c r="AL321" i="4" s="1"/>
  <c r="AA321" i="4"/>
  <c r="AF118" i="4"/>
  <c r="AL118" i="4" s="1"/>
  <c r="AF908" i="4"/>
  <c r="AL908" i="4" s="1"/>
  <c r="AF876" i="4"/>
  <c r="AL876" i="4" s="1"/>
  <c r="AF780" i="4"/>
  <c r="AL780" i="4" s="1"/>
  <c r="AA735" i="4"/>
  <c r="AF652" i="4"/>
  <c r="AL652" i="4" s="1"/>
  <c r="AA652" i="4"/>
  <c r="AA569" i="4"/>
  <c r="AF569" i="4"/>
  <c r="AL569" i="4" s="1"/>
  <c r="AF418" i="4"/>
  <c r="AL418" i="4" s="1"/>
  <c r="AA418" i="4"/>
  <c r="AF317" i="4"/>
  <c r="AL317" i="4" s="1"/>
  <c r="AF216" i="4"/>
  <c r="AL216" i="4" s="1"/>
  <c r="U216" i="4"/>
  <c r="AA216" i="4" s="1"/>
  <c r="AF708" i="4"/>
  <c r="AL708" i="4" s="1"/>
  <c r="AF636" i="4"/>
  <c r="AL636" i="4" s="1"/>
  <c r="AA636" i="4"/>
  <c r="AF604" i="4"/>
  <c r="AL604" i="4" s="1"/>
  <c r="AA604" i="4"/>
  <c r="AF540" i="4"/>
  <c r="AL540" i="4" s="1"/>
  <c r="AA540" i="4"/>
  <c r="AA496" i="4"/>
  <c r="AF496" i="4"/>
  <c r="AL496" i="4" s="1"/>
  <c r="AA364" i="4"/>
  <c r="AF364" i="4"/>
  <c r="AL364" i="4" s="1"/>
  <c r="AF991" i="4"/>
  <c r="AL991" i="4" s="1"/>
  <c r="AF960" i="4"/>
  <c r="AL960" i="4" s="1"/>
  <c r="AF928" i="4"/>
  <c r="AL928" i="4" s="1"/>
  <c r="AF965" i="4"/>
  <c r="AL965" i="4" s="1"/>
  <c r="AA904" i="4"/>
  <c r="AF901" i="4"/>
  <c r="AL901" i="4" s="1"/>
  <c r="AF837" i="4"/>
  <c r="AL837" i="4" s="1"/>
  <c r="AA824" i="4"/>
  <c r="AF821" i="4"/>
  <c r="AL821" i="4" s="1"/>
  <c r="AA792" i="4"/>
  <c r="AF789" i="4"/>
  <c r="AL789" i="4" s="1"/>
  <c r="U987" i="4"/>
  <c r="AA987" i="4" s="1"/>
  <c r="AF980" i="4"/>
  <c r="AL980" i="4" s="1"/>
  <c r="U971" i="4"/>
  <c r="AA971" i="4" s="1"/>
  <c r="AF964" i="4"/>
  <c r="AL964" i="4" s="1"/>
  <c r="U955" i="4"/>
  <c r="AA955" i="4" s="1"/>
  <c r="AF948" i="4"/>
  <c r="AL948" i="4" s="1"/>
  <c r="U939" i="4"/>
  <c r="AA939" i="4" s="1"/>
  <c r="AF932" i="4"/>
  <c r="AL932" i="4" s="1"/>
  <c r="U923" i="4"/>
  <c r="AA923" i="4" s="1"/>
  <c r="AF916" i="4"/>
  <c r="AL916" i="4" s="1"/>
  <c r="U907" i="4"/>
  <c r="AA907" i="4" s="1"/>
  <c r="AF900" i="4"/>
  <c r="AL900" i="4" s="1"/>
  <c r="U891" i="4"/>
  <c r="AA891" i="4" s="1"/>
  <c r="AF884" i="4"/>
  <c r="AL884" i="4" s="1"/>
  <c r="U875" i="4"/>
  <c r="AA875" i="4" s="1"/>
  <c r="AF868" i="4"/>
  <c r="AL868" i="4" s="1"/>
  <c r="U859" i="4"/>
  <c r="AA859" i="4" s="1"/>
  <c r="AF852" i="4"/>
  <c r="AL852" i="4" s="1"/>
  <c r="U843" i="4"/>
  <c r="AA843" i="4" s="1"/>
  <c r="AF836" i="4"/>
  <c r="AL836" i="4" s="1"/>
  <c r="U827" i="4"/>
  <c r="AA827" i="4" s="1"/>
  <c r="AF820" i="4"/>
  <c r="AL820" i="4" s="1"/>
  <c r="U811" i="4"/>
  <c r="AA811" i="4" s="1"/>
  <c r="AF804" i="4"/>
  <c r="AL804" i="4" s="1"/>
  <c r="U795" i="4"/>
  <c r="AA795" i="4" s="1"/>
  <c r="AF788" i="4"/>
  <c r="AL788" i="4" s="1"/>
  <c r="U779" i="4"/>
  <c r="AA779" i="4" s="1"/>
  <c r="AF772" i="4"/>
  <c r="AL772" i="4" s="1"/>
  <c r="U763" i="4"/>
  <c r="AA763" i="4" s="1"/>
  <c r="AF756" i="4"/>
  <c r="AL756" i="4" s="1"/>
  <c r="AA745" i="4"/>
  <c r="U742" i="4"/>
  <c r="AA742" i="4" s="1"/>
  <c r="AF736" i="4"/>
  <c r="AL736" i="4" s="1"/>
  <c r="AA724" i="4"/>
  <c r="AF707" i="4"/>
  <c r="AL707" i="4" s="1"/>
  <c r="U700" i="4"/>
  <c r="AA700" i="4" s="1"/>
  <c r="U695" i="4"/>
  <c r="AA695" i="4" s="1"/>
  <c r="AA691" i="4"/>
  <c r="AA672" i="4"/>
  <c r="AA660" i="4"/>
  <c r="AA645" i="4"/>
  <c r="AA629" i="4"/>
  <c r="AF629" i="4"/>
  <c r="AL629" i="4" s="1"/>
  <c r="AF627" i="4"/>
  <c r="AL627" i="4" s="1"/>
  <c r="AF612" i="4"/>
  <c r="AL612" i="4" s="1"/>
  <c r="AA612" i="4"/>
  <c r="AA601" i="4"/>
  <c r="AF601" i="4"/>
  <c r="AL601" i="4" s="1"/>
  <c r="U583" i="4"/>
  <c r="AA583" i="4" s="1"/>
  <c r="U572" i="4"/>
  <c r="AA572" i="4" s="1"/>
  <c r="U561" i="4"/>
  <c r="AA561" i="4" s="1"/>
  <c r="AF548" i="4"/>
  <c r="AL548" i="4" s="1"/>
  <c r="AA548" i="4"/>
  <c r="AA543" i="4"/>
  <c r="AA537" i="4"/>
  <c r="AF537" i="4"/>
  <c r="AL537" i="4" s="1"/>
  <c r="U519" i="4"/>
  <c r="AA519" i="4" s="1"/>
  <c r="U508" i="4"/>
  <c r="AA508" i="4" s="1"/>
  <c r="AF495" i="4"/>
  <c r="AL495" i="4" s="1"/>
  <c r="AA495" i="4"/>
  <c r="AA486" i="4"/>
  <c r="AF482" i="4"/>
  <c r="AL482" i="4" s="1"/>
  <c r="AA482" i="4"/>
  <c r="U478" i="4"/>
  <c r="AA469" i="4"/>
  <c r="AF469" i="4"/>
  <c r="AL469" i="4" s="1"/>
  <c r="AA457" i="4"/>
  <c r="AA437" i="4"/>
  <c r="AF437" i="4"/>
  <c r="AL437" i="4" s="1"/>
  <c r="AF430" i="4"/>
  <c r="AL430" i="4" s="1"/>
  <c r="U412" i="4"/>
  <c r="AA412" i="4" s="1"/>
  <c r="AF384" i="4"/>
  <c r="AL384" i="4" s="1"/>
  <c r="AF381" i="4"/>
  <c r="AL381" i="4" s="1"/>
  <c r="AA381" i="4"/>
  <c r="AF376" i="4"/>
  <c r="AL376" i="4" s="1"/>
  <c r="U353" i="4"/>
  <c r="AF312" i="4"/>
  <c r="AL312" i="4" s="1"/>
  <c r="U258" i="4"/>
  <c r="AA256" i="4"/>
  <c r="AF256" i="4"/>
  <c r="AL256" i="4" s="1"/>
  <c r="AA254" i="4"/>
  <c r="AF254" i="4"/>
  <c r="AL254" i="4" s="1"/>
  <c r="AF187" i="4"/>
  <c r="AL187" i="4" s="1"/>
  <c r="AA187" i="4"/>
  <c r="U719" i="4"/>
  <c r="U703" i="4"/>
  <c r="U687" i="4"/>
  <c r="U671" i="4"/>
  <c r="AA671" i="4" s="1"/>
  <c r="U655" i="4"/>
  <c r="AA655" i="4" s="1"/>
  <c r="U639" i="4"/>
  <c r="AA639" i="4" s="1"/>
  <c r="U623" i="4"/>
  <c r="AA494" i="4"/>
  <c r="AA492" i="4"/>
  <c r="AF492" i="4"/>
  <c r="AL492" i="4" s="1"/>
  <c r="U488" i="4"/>
  <c r="AF479" i="4"/>
  <c r="AL479" i="4" s="1"/>
  <c r="AA479" i="4"/>
  <c r="U475" i="4"/>
  <c r="AA475" i="4" s="1"/>
  <c r="AF450" i="4"/>
  <c r="AL450" i="4" s="1"/>
  <c r="AA450" i="4"/>
  <c r="AF446" i="4"/>
  <c r="AL446" i="4" s="1"/>
  <c r="AA444" i="4"/>
  <c r="AF444" i="4"/>
  <c r="AL444" i="4" s="1"/>
  <c r="U430" i="4"/>
  <c r="AA430" i="4" s="1"/>
  <c r="AF424" i="4"/>
  <c r="AL424" i="4" s="1"/>
  <c r="U408" i="4"/>
  <c r="AA408" i="4" s="1"/>
  <c r="AF399" i="4"/>
  <c r="AL399" i="4" s="1"/>
  <c r="AA399" i="4"/>
  <c r="U365" i="4"/>
  <c r="AA285" i="4"/>
  <c r="AF285" i="4"/>
  <c r="AL285" i="4" s="1"/>
  <c r="U285" i="4"/>
  <c r="AF283" i="4"/>
  <c r="AL283" i="4" s="1"/>
  <c r="AA283" i="4"/>
  <c r="AF220" i="4"/>
  <c r="AL220" i="4" s="1"/>
  <c r="U207" i="4"/>
  <c r="AA207" i="4" s="1"/>
  <c r="AF170" i="4"/>
  <c r="AL170" i="4" s="1"/>
  <c r="AA170" i="4"/>
  <c r="AF149" i="4"/>
  <c r="AL149" i="4" s="1"/>
  <c r="U118" i="4"/>
  <c r="AA118" i="4" s="1"/>
  <c r="AA504" i="4"/>
  <c r="U485" i="4"/>
  <c r="AA480" i="4"/>
  <c r="AA472" i="4"/>
  <c r="AF472" i="4"/>
  <c r="AL472" i="4" s="1"/>
  <c r="U456" i="4"/>
  <c r="AF447" i="4"/>
  <c r="AL447" i="4" s="1"/>
  <c r="AA447" i="4"/>
  <c r="AF441" i="4"/>
  <c r="AL441" i="4" s="1"/>
  <c r="AA421" i="4"/>
  <c r="AF421" i="4"/>
  <c r="AL421" i="4" s="1"/>
  <c r="U411" i="4"/>
  <c r="AA411" i="4"/>
  <c r="AF411" i="4"/>
  <c r="AL411" i="4" s="1"/>
  <c r="U405" i="4"/>
  <c r="AA405" i="4" s="1"/>
  <c r="AA376" i="4"/>
  <c r="AF370" i="4"/>
  <c r="AL370" i="4" s="1"/>
  <c r="U370" i="4"/>
  <c r="AA370" i="4" s="1"/>
  <c r="U346" i="4"/>
  <c r="AA346" i="4" s="1"/>
  <c r="U344" i="4"/>
  <c r="AF341" i="4"/>
  <c r="AL341" i="4" s="1"/>
  <c r="AA341" i="4"/>
  <c r="AA336" i="4"/>
  <c r="AF336" i="4"/>
  <c r="AL336" i="4" s="1"/>
  <c r="AA332" i="4"/>
  <c r="AF332" i="4"/>
  <c r="AL332" i="4" s="1"/>
  <c r="AF329" i="4"/>
  <c r="AL329" i="4" s="1"/>
  <c r="U326" i="4"/>
  <c r="AA326" i="4" s="1"/>
  <c r="AA324" i="4"/>
  <c r="AF324" i="4"/>
  <c r="AL324" i="4" s="1"/>
  <c r="U294" i="4"/>
  <c r="AA294" i="4" s="1"/>
  <c r="U292" i="4"/>
  <c r="AA292" i="4" s="1"/>
  <c r="AA275" i="4"/>
  <c r="U270" i="4"/>
  <c r="AF250" i="4"/>
  <c r="AL250" i="4" s="1"/>
  <c r="U244" i="4"/>
  <c r="AA244" i="4" s="1"/>
  <c r="U228" i="4"/>
  <c r="U146" i="4"/>
  <c r="AA146" i="4" s="1"/>
  <c r="AF141" i="4"/>
  <c r="AL141" i="4" s="1"/>
  <c r="AF130" i="4"/>
  <c r="AL130" i="4" s="1"/>
  <c r="AA130" i="4"/>
  <c r="AF616" i="4"/>
  <c r="AL616" i="4" s="1"/>
  <c r="AA616" i="4"/>
  <c r="AF608" i="4"/>
  <c r="AL608" i="4" s="1"/>
  <c r="AA608" i="4"/>
  <c r="AF600" i="4"/>
  <c r="AL600" i="4" s="1"/>
  <c r="AA600" i="4"/>
  <c r="AF592" i="4"/>
  <c r="AL592" i="4" s="1"/>
  <c r="AA592" i="4"/>
  <c r="AF584" i="4"/>
  <c r="AL584" i="4" s="1"/>
  <c r="AA584" i="4"/>
  <c r="AF576" i="4"/>
  <c r="AL576" i="4" s="1"/>
  <c r="AA576" i="4"/>
  <c r="AF568" i="4"/>
  <c r="AL568" i="4" s="1"/>
  <c r="AA568" i="4"/>
  <c r="AF560" i="4"/>
  <c r="AL560" i="4" s="1"/>
  <c r="AA560" i="4"/>
  <c r="AF552" i="4"/>
  <c r="AL552" i="4" s="1"/>
  <c r="AA552" i="4"/>
  <c r="AF544" i="4"/>
  <c r="AL544" i="4" s="1"/>
  <c r="AA544" i="4"/>
  <c r="AF536" i="4"/>
  <c r="AL536" i="4" s="1"/>
  <c r="AA536" i="4"/>
  <c r="AF528" i="4"/>
  <c r="AL528" i="4" s="1"/>
  <c r="AA528" i="4"/>
  <c r="AF520" i="4"/>
  <c r="AL520" i="4" s="1"/>
  <c r="AA520" i="4"/>
  <c r="AF512" i="4"/>
  <c r="AL512" i="4" s="1"/>
  <c r="AA512" i="4"/>
  <c r="AA485" i="4"/>
  <c r="AF485" i="4"/>
  <c r="AL485" i="4" s="1"/>
  <c r="AA456" i="4"/>
  <c r="AF456" i="4"/>
  <c r="AL456" i="4" s="1"/>
  <c r="AF431" i="4"/>
  <c r="AL431" i="4" s="1"/>
  <c r="AA431" i="4"/>
  <c r="AF405" i="4"/>
  <c r="AL405" i="4" s="1"/>
  <c r="U395" i="4"/>
  <c r="AA395" i="4" s="1"/>
  <c r="AF395" i="4"/>
  <c r="AL395" i="4" s="1"/>
  <c r="AF378" i="4"/>
  <c r="AL378" i="4" s="1"/>
  <c r="AA378" i="4"/>
  <c r="AA344" i="4"/>
  <c r="AF344" i="4"/>
  <c r="AL344" i="4" s="1"/>
  <c r="AF338" i="4"/>
  <c r="AL338" i="4" s="1"/>
  <c r="U338" i="4"/>
  <c r="AA338" i="4" s="1"/>
  <c r="AA296" i="4"/>
  <c r="AF296" i="4"/>
  <c r="AL296" i="4" s="1"/>
  <c r="AF292" i="4"/>
  <c r="AL292" i="4" s="1"/>
  <c r="AA270" i="4"/>
  <c r="AF270" i="4"/>
  <c r="AL270" i="4" s="1"/>
  <c r="AF244" i="4"/>
  <c r="AL244" i="4" s="1"/>
  <c r="U230" i="4"/>
  <c r="AF230" i="4"/>
  <c r="AL230" i="4" s="1"/>
  <c r="AA228" i="4"/>
  <c r="AF228" i="4"/>
  <c r="AL228" i="4" s="1"/>
  <c r="AF146" i="4"/>
  <c r="AL146" i="4" s="1"/>
  <c r="AF90" i="4"/>
  <c r="AL90" i="4" s="1"/>
  <c r="AA90" i="4"/>
  <c r="AF498" i="4"/>
  <c r="AL498" i="4" s="1"/>
  <c r="AA498" i="4"/>
  <c r="U494" i="4"/>
  <c r="AF466" i="4"/>
  <c r="AL466" i="4" s="1"/>
  <c r="AA466" i="4"/>
  <c r="AA462" i="4"/>
  <c r="AF462" i="4"/>
  <c r="AL462" i="4" s="1"/>
  <c r="AA460" i="4"/>
  <c r="AF460" i="4"/>
  <c r="AL460" i="4" s="1"/>
  <c r="U446" i="4"/>
  <c r="AA446" i="4" s="1"/>
  <c r="AA440" i="4"/>
  <c r="AF440" i="4"/>
  <c r="AL440" i="4" s="1"/>
  <c r="U424" i="4"/>
  <c r="AA424" i="4" s="1"/>
  <c r="AF415" i="4"/>
  <c r="AL415" i="4" s="1"/>
  <c r="AA415" i="4"/>
  <c r="AF409" i="4"/>
  <c r="AL409" i="4" s="1"/>
  <c r="AA389" i="4"/>
  <c r="AF389" i="4"/>
  <c r="AL389" i="4" s="1"/>
  <c r="AF305" i="4"/>
  <c r="AL305" i="4" s="1"/>
  <c r="AA305" i="4"/>
  <c r="AF298" i="4"/>
  <c r="AL298" i="4" s="1"/>
  <c r="U298" i="4"/>
  <c r="AA298" i="4" s="1"/>
  <c r="AF279" i="4"/>
  <c r="AL279" i="4" s="1"/>
  <c r="AA279" i="4"/>
  <c r="AF215" i="4"/>
  <c r="AL215" i="4" s="1"/>
  <c r="AA215" i="4"/>
  <c r="U170" i="4"/>
  <c r="AA165" i="4"/>
  <c r="AF165" i="4"/>
  <c r="AL165" i="4" s="1"/>
  <c r="U149" i="4"/>
  <c r="AA149" i="4" s="1"/>
  <c r="AF94" i="4"/>
  <c r="AL94" i="4" s="1"/>
  <c r="AA94" i="4"/>
  <c r="U368" i="4"/>
  <c r="AA368" i="4" s="1"/>
  <c r="AF348" i="4"/>
  <c r="AL348" i="4" s="1"/>
  <c r="U336" i="4"/>
  <c r="U312" i="4"/>
  <c r="AA312" i="4" s="1"/>
  <c r="U296" i="4"/>
  <c r="AF272" i="4"/>
  <c r="AL272" i="4" s="1"/>
  <c r="AF266" i="4"/>
  <c r="AL266" i="4" s="1"/>
  <c r="AF247" i="4"/>
  <c r="AL247" i="4" s="1"/>
  <c r="AA247" i="4"/>
  <c r="AA226" i="4"/>
  <c r="AF226" i="4"/>
  <c r="AL226" i="4" s="1"/>
  <c r="U220" i="4"/>
  <c r="AA220" i="4" s="1"/>
  <c r="AA212" i="4"/>
  <c r="AF212" i="4"/>
  <c r="AL212" i="4" s="1"/>
  <c r="AF162" i="4"/>
  <c r="AL162" i="4" s="1"/>
  <c r="AA162" i="4"/>
  <c r="U141" i="4"/>
  <c r="AA141" i="4" s="1"/>
  <c r="U122" i="4"/>
  <c r="AA122" i="4" s="1"/>
  <c r="AF111" i="4"/>
  <c r="AL111" i="4" s="1"/>
  <c r="U111" i="4"/>
  <c r="AA111" i="4" s="1"/>
  <c r="U82" i="4"/>
  <c r="AA82" i="4" s="1"/>
  <c r="AF62" i="4"/>
  <c r="AL62" i="4" s="1"/>
  <c r="AF58" i="4"/>
  <c r="AL58" i="4" s="1"/>
  <c r="AA464" i="4"/>
  <c r="AA432" i="4"/>
  <c r="AA416" i="4"/>
  <c r="AA400" i="4"/>
  <c r="AA352" i="4"/>
  <c r="AF352" i="4"/>
  <c r="AL352" i="4" s="1"/>
  <c r="AF349" i="4"/>
  <c r="AL349" i="4" s="1"/>
  <c r="AA320" i="4"/>
  <c r="AF320" i="4"/>
  <c r="AL320" i="4" s="1"/>
  <c r="AA304" i="4"/>
  <c r="AF304" i="4"/>
  <c r="AL304" i="4" s="1"/>
  <c r="AA288" i="4"/>
  <c r="AF288" i="4"/>
  <c r="AL288" i="4" s="1"/>
  <c r="AA282" i="4"/>
  <c r="AF282" i="4"/>
  <c r="AL282" i="4" s="1"/>
  <c r="AF223" i="4"/>
  <c r="AL223" i="4" s="1"/>
  <c r="AA223" i="4"/>
  <c r="AA173" i="4"/>
  <c r="AF173" i="4"/>
  <c r="AL173" i="4" s="1"/>
  <c r="AF154" i="4"/>
  <c r="AL154" i="4" s="1"/>
  <c r="AA154" i="4"/>
  <c r="AF86" i="4"/>
  <c r="AL86" i="4" s="1"/>
  <c r="AA86" i="4"/>
  <c r="AA372" i="4"/>
  <c r="AF372" i="4"/>
  <c r="AL372" i="4" s="1"/>
  <c r="AF369" i="4"/>
  <c r="AL369" i="4" s="1"/>
  <c r="AA340" i="4"/>
  <c r="AF340" i="4"/>
  <c r="AL340" i="4" s="1"/>
  <c r="AF337" i="4"/>
  <c r="AL337" i="4" s="1"/>
  <c r="AF313" i="4"/>
  <c r="AL313" i="4" s="1"/>
  <c r="AF297" i="4"/>
  <c r="AL297" i="4" s="1"/>
  <c r="AA286" i="4"/>
  <c r="AF263" i="4"/>
  <c r="AL263" i="4" s="1"/>
  <c r="AA263" i="4"/>
  <c r="AF231" i="4"/>
  <c r="AL231" i="4" s="1"/>
  <c r="AA231" i="4"/>
  <c r="AF210" i="4"/>
  <c r="AL210" i="4" s="1"/>
  <c r="AF195" i="4"/>
  <c r="AL195" i="4" s="1"/>
  <c r="AA195" i="4"/>
  <c r="AF190" i="4"/>
  <c r="AL190" i="4" s="1"/>
  <c r="AA186" i="4"/>
  <c r="AF186" i="4"/>
  <c r="AL186" i="4" s="1"/>
  <c r="AF183" i="4"/>
  <c r="AL183" i="4" s="1"/>
  <c r="AA178" i="4"/>
  <c r="AF178" i="4"/>
  <c r="AL178" i="4" s="1"/>
  <c r="AA133" i="4"/>
  <c r="AF133" i="4"/>
  <c r="AL133" i="4" s="1"/>
  <c r="AF54" i="4"/>
  <c r="AL54" i="4" s="1"/>
  <c r="AA54" i="4"/>
  <c r="AA37" i="4"/>
  <c r="AF37" i="4"/>
  <c r="AL37" i="4" s="1"/>
  <c r="AA33" i="4"/>
  <c r="AF33" i="4"/>
  <c r="AL33" i="4" s="1"/>
  <c r="AA29" i="4"/>
  <c r="AF29" i="4"/>
  <c r="AL29" i="4" s="1"/>
  <c r="AA500" i="4"/>
  <c r="AA484" i="4"/>
  <c r="AA468" i="4"/>
  <c r="AA452" i="4"/>
  <c r="AA436" i="4"/>
  <c r="AA420" i="4"/>
  <c r="AA404" i="4"/>
  <c r="AA388" i="4"/>
  <c r="AF385" i="4"/>
  <c r="AL385" i="4" s="1"/>
  <c r="AA380" i="4"/>
  <c r="AF377" i="4"/>
  <c r="AL377" i="4" s="1"/>
  <c r="AA360" i="4"/>
  <c r="AF360" i="4"/>
  <c r="AL360" i="4" s="1"/>
  <c r="AF357" i="4"/>
  <c r="AL357" i="4" s="1"/>
  <c r="U348" i="4"/>
  <c r="AA348" i="4" s="1"/>
  <c r="AA328" i="4"/>
  <c r="AF328" i="4"/>
  <c r="AL328" i="4" s="1"/>
  <c r="AF325" i="4"/>
  <c r="AL325" i="4" s="1"/>
  <c r="AA316" i="4"/>
  <c r="AF316" i="4"/>
  <c r="AL316" i="4" s="1"/>
  <c r="AA300" i="4"/>
  <c r="AF300" i="4"/>
  <c r="AL300" i="4" s="1"/>
  <c r="U272" i="4"/>
  <c r="AA272" i="4" s="1"/>
  <c r="U266" i="4"/>
  <c r="AA266" i="4" s="1"/>
  <c r="AA259" i="4"/>
  <c r="AA253" i="4"/>
  <c r="AF253" i="4"/>
  <c r="AL253" i="4" s="1"/>
  <c r="U253" i="4"/>
  <c r="U247" i="4"/>
  <c r="AF239" i="4"/>
  <c r="AL239" i="4" s="1"/>
  <c r="AA239" i="4"/>
  <c r="AF222" i="4"/>
  <c r="AL222" i="4" s="1"/>
  <c r="AF218" i="4"/>
  <c r="AL218" i="4" s="1"/>
  <c r="U212" i="4"/>
  <c r="AA198" i="4"/>
  <c r="AF198" i="4"/>
  <c r="AL198" i="4" s="1"/>
  <c r="AF192" i="4"/>
  <c r="AL192" i="4" s="1"/>
  <c r="U192" i="4"/>
  <c r="AA192" i="4" s="1"/>
  <c r="U162" i="4"/>
  <c r="AA157" i="4"/>
  <c r="AF157" i="4"/>
  <c r="AL157" i="4" s="1"/>
  <c r="AF138" i="4"/>
  <c r="AL138" i="4" s="1"/>
  <c r="AA138" i="4"/>
  <c r="AF114" i="4"/>
  <c r="AL114" i="4" s="1"/>
  <c r="AA114" i="4"/>
  <c r="AF75" i="4"/>
  <c r="AL75" i="4" s="1"/>
  <c r="U75" i="4"/>
  <c r="AA75" i="4" s="1"/>
  <c r="U62" i="4"/>
  <c r="AA62" i="4" s="1"/>
  <c r="U58" i="4"/>
  <c r="AA58" i="4" s="1"/>
  <c r="U250" i="4"/>
  <c r="AA250" i="4" s="1"/>
  <c r="U242" i="4"/>
  <c r="U234" i="4"/>
  <c r="AA234" i="4" s="1"/>
  <c r="U226" i="4"/>
  <c r="U218" i="4"/>
  <c r="AA218" i="4" s="1"/>
  <c r="U210" i="4"/>
  <c r="AA210" i="4" s="1"/>
  <c r="AF202" i="4"/>
  <c r="AL202" i="4" s="1"/>
  <c r="U190" i="4"/>
  <c r="AA190" i="4" s="1"/>
  <c r="AF50" i="4"/>
  <c r="AL50" i="4" s="1"/>
  <c r="AA50" i="4"/>
  <c r="U30" i="4"/>
  <c r="U26" i="4"/>
  <c r="AA26" i="4" s="1"/>
  <c r="AA246" i="4"/>
  <c r="AF243" i="4"/>
  <c r="AL243" i="4" s="1"/>
  <c r="AA238" i="4"/>
  <c r="AF235" i="4"/>
  <c r="AL235" i="4" s="1"/>
  <c r="AA230" i="4"/>
  <c r="AF227" i="4"/>
  <c r="AL227" i="4" s="1"/>
  <c r="AA222" i="4"/>
  <c r="AF219" i="4"/>
  <c r="AL219" i="4" s="1"/>
  <c r="AA214" i="4"/>
  <c r="AF211" i="4"/>
  <c r="AL211" i="4" s="1"/>
  <c r="AA206" i="4"/>
  <c r="AF203" i="4"/>
  <c r="AL203" i="4" s="1"/>
  <c r="AA121" i="4"/>
  <c r="AF121" i="4"/>
  <c r="AL121" i="4" s="1"/>
  <c r="AA101" i="4"/>
  <c r="AF101" i="4"/>
  <c r="AL101" i="4" s="1"/>
  <c r="AF46" i="4"/>
  <c r="AL46" i="4" s="1"/>
  <c r="AA46" i="4"/>
  <c r="AF41" i="4"/>
  <c r="AL41" i="4" s="1"/>
  <c r="AF18" i="4"/>
  <c r="AL18" i="4" s="1"/>
  <c r="AA18" i="4"/>
  <c r="AF15" i="4"/>
  <c r="AL15" i="4" s="1"/>
  <c r="U15" i="4"/>
  <c r="AA15" i="4" s="1"/>
  <c r="U278" i="4"/>
  <c r="AA278" i="4" s="1"/>
  <c r="AA274" i="4"/>
  <c r="U262" i="4"/>
  <c r="AA262" i="4" s="1"/>
  <c r="AA258" i="4"/>
  <c r="AA194" i="4"/>
  <c r="AF194" i="4"/>
  <c r="AL194" i="4" s="1"/>
  <c r="AF191" i="4"/>
  <c r="AL191" i="4" s="1"/>
  <c r="AA175" i="4"/>
  <c r="AF175" i="4"/>
  <c r="AL175" i="4" s="1"/>
  <c r="AA167" i="4"/>
  <c r="AF167" i="4"/>
  <c r="AL167" i="4" s="1"/>
  <c r="AA159" i="4"/>
  <c r="AF159" i="4"/>
  <c r="AL159" i="4" s="1"/>
  <c r="AA151" i="4"/>
  <c r="AF151" i="4"/>
  <c r="AL151" i="4" s="1"/>
  <c r="AA143" i="4"/>
  <c r="AF143" i="4"/>
  <c r="AL143" i="4" s="1"/>
  <c r="AA135" i="4"/>
  <c r="AF135" i="4"/>
  <c r="AL135" i="4" s="1"/>
  <c r="AA127" i="4"/>
  <c r="AF127" i="4"/>
  <c r="AL127" i="4" s="1"/>
  <c r="AF110" i="4"/>
  <c r="AL110" i="4" s="1"/>
  <c r="AA110" i="4"/>
  <c r="AA105" i="4"/>
  <c r="AF105" i="4"/>
  <c r="AL105" i="4" s="1"/>
  <c r="AA97" i="4"/>
  <c r="AF97" i="4"/>
  <c r="AL97" i="4" s="1"/>
  <c r="AA93" i="4"/>
  <c r="AF93" i="4"/>
  <c r="AL93" i="4" s="1"/>
  <c r="AA89" i="4"/>
  <c r="AF89" i="4"/>
  <c r="AL89" i="4" s="1"/>
  <c r="AA69" i="4"/>
  <c r="AF69" i="4"/>
  <c r="AL69" i="4" s="1"/>
  <c r="AA65" i="4"/>
  <c r="AF65" i="4"/>
  <c r="AL65" i="4" s="1"/>
  <c r="AA61" i="4"/>
  <c r="AF61" i="4"/>
  <c r="AL61" i="4" s="1"/>
  <c r="AA57" i="4"/>
  <c r="AF57" i="4"/>
  <c r="AL57" i="4" s="1"/>
  <c r="U50" i="4"/>
  <c r="U202" i="4"/>
  <c r="AA202" i="4" s="1"/>
  <c r="AA182" i="4"/>
  <c r="AF182" i="4"/>
  <c r="AL182" i="4" s="1"/>
  <c r="AF179" i="4"/>
  <c r="AL179" i="4" s="1"/>
  <c r="U107" i="4"/>
  <c r="AA107" i="4" s="1"/>
  <c r="AF78" i="4"/>
  <c r="AL78" i="4" s="1"/>
  <c r="AL3" i="4" s="1"/>
  <c r="AA78" i="4"/>
  <c r="AA73" i="4"/>
  <c r="AF73" i="4"/>
  <c r="AL73" i="4" s="1"/>
  <c r="U71" i="4"/>
  <c r="AA71" i="4" s="1"/>
  <c r="AF22" i="4"/>
  <c r="AL22" i="4" s="1"/>
  <c r="AA22" i="4"/>
  <c r="AF109" i="4"/>
  <c r="AL109" i="4" s="1"/>
  <c r="U105" i="4"/>
  <c r="AF98" i="4"/>
  <c r="AL98" i="4" s="1"/>
  <c r="AA98" i="4"/>
  <c r="AF77" i="4"/>
  <c r="AL77" i="4" s="1"/>
  <c r="U73" i="4"/>
  <c r="AF66" i="4"/>
  <c r="AL66" i="4" s="1"/>
  <c r="AA66" i="4"/>
  <c r="AF45" i="4"/>
  <c r="AL45" i="4" s="1"/>
  <c r="U41" i="4"/>
  <c r="AA41" i="4" s="1"/>
  <c r="AF34" i="4"/>
  <c r="AL34" i="4" s="1"/>
  <c r="AA34" i="4"/>
  <c r="AF13" i="4"/>
  <c r="AL13" i="4" s="1"/>
  <c r="U9" i="4"/>
  <c r="X10" i="4" s="1"/>
  <c r="AA25" i="4"/>
  <c r="AF25" i="4"/>
  <c r="AL25" i="4" s="1"/>
  <c r="AF14" i="4"/>
  <c r="AL14" i="4" s="1"/>
  <c r="AA14" i="4"/>
  <c r="AA177" i="4"/>
  <c r="AF174" i="4"/>
  <c r="AL174" i="4" s="1"/>
  <c r="AA169" i="4"/>
  <c r="AF166" i="4"/>
  <c r="AL166" i="4" s="1"/>
  <c r="AA161" i="4"/>
  <c r="AF158" i="4"/>
  <c r="AL158" i="4" s="1"/>
  <c r="AA153" i="4"/>
  <c r="AF150" i="4"/>
  <c r="AL150" i="4" s="1"/>
  <c r="AA145" i="4"/>
  <c r="AF142" i="4"/>
  <c r="AL142" i="4" s="1"/>
  <c r="AA137" i="4"/>
  <c r="AF134" i="4"/>
  <c r="AL134" i="4" s="1"/>
  <c r="AA129" i="4"/>
  <c r="AF126" i="4"/>
  <c r="AL126" i="4" s="1"/>
  <c r="AA117" i="4"/>
  <c r="AF117" i="4"/>
  <c r="AL117" i="4" s="1"/>
  <c r="AF106" i="4"/>
  <c r="AL106" i="4" s="1"/>
  <c r="AA106" i="4"/>
  <c r="AA85" i="4"/>
  <c r="AF85" i="4"/>
  <c r="AL85" i="4" s="1"/>
  <c r="AF74" i="4"/>
  <c r="AL74" i="4" s="1"/>
  <c r="AA74" i="4"/>
  <c r="U66" i="4"/>
  <c r="AA53" i="4"/>
  <c r="AF53" i="4"/>
  <c r="AL53" i="4" s="1"/>
  <c r="U49" i="4"/>
  <c r="AF42" i="4"/>
  <c r="AL42" i="4" s="1"/>
  <c r="AA42" i="4"/>
  <c r="AA21" i="4"/>
  <c r="AF21" i="4"/>
  <c r="AL21" i="4" s="1"/>
  <c r="U17" i="4"/>
  <c r="AA17" i="4" s="1"/>
  <c r="AF10" i="4"/>
  <c r="AL10" i="4" s="1"/>
  <c r="AA10" i="4"/>
  <c r="AA113" i="4"/>
  <c r="AF113" i="4"/>
  <c r="AL113" i="4" s="1"/>
  <c r="U109" i="4"/>
  <c r="AA109" i="4" s="1"/>
  <c r="AF102" i="4"/>
  <c r="AL102" i="4" s="1"/>
  <c r="AA102" i="4"/>
  <c r="AA81" i="4"/>
  <c r="AF81" i="4"/>
  <c r="AL81" i="4" s="1"/>
  <c r="U77" i="4"/>
  <c r="AA77" i="4" s="1"/>
  <c r="AF70" i="4"/>
  <c r="AL70" i="4" s="1"/>
  <c r="AA70" i="4"/>
  <c r="AA49" i="4"/>
  <c r="AF49" i="4"/>
  <c r="AL49" i="4" s="1"/>
  <c r="U45" i="4"/>
  <c r="AA45" i="4" s="1"/>
  <c r="AF38" i="4"/>
  <c r="AL38" i="4" s="1"/>
  <c r="AA38" i="4"/>
  <c r="AF17" i="4"/>
  <c r="AL17" i="4" s="1"/>
  <c r="U13" i="4"/>
  <c r="AA13" i="4" s="1"/>
  <c r="X14" i="4"/>
  <c r="X12" i="4"/>
  <c r="X11" i="4"/>
  <c r="G109" i="4"/>
  <c r="F109" i="4"/>
  <c r="C109" i="4"/>
  <c r="B109" i="4"/>
  <c r="C8" i="10"/>
  <c r="B8" i="10"/>
  <c r="D8" i="10" s="1"/>
  <c r="AI12" i="4"/>
  <c r="AI11" i="4"/>
  <c r="AI10" i="4"/>
  <c r="AI9" i="4"/>
  <c r="AI8" i="4"/>
  <c r="C58" i="10"/>
  <c r="B58" i="10"/>
  <c r="D58" i="10" s="1"/>
  <c r="C57" i="10"/>
  <c r="B57" i="10"/>
  <c r="D57" i="10" s="1"/>
  <c r="C56" i="10"/>
  <c r="B56" i="10"/>
  <c r="C55" i="10"/>
  <c r="B55" i="10"/>
  <c r="C54" i="10"/>
  <c r="B54" i="10"/>
  <c r="D54" i="10" s="1"/>
  <c r="C53" i="10"/>
  <c r="B53" i="10"/>
  <c r="D53" i="10" s="1"/>
  <c r="C52" i="10"/>
  <c r="B52" i="10"/>
  <c r="C51" i="10"/>
  <c r="B51" i="10"/>
  <c r="C50" i="10"/>
  <c r="B50" i="10"/>
  <c r="D50" i="10" s="1"/>
  <c r="C49" i="10"/>
  <c r="B49" i="10"/>
  <c r="D49" i="10" s="1"/>
  <c r="C48" i="10"/>
  <c r="B48" i="10"/>
  <c r="C47" i="10"/>
  <c r="B47" i="10"/>
  <c r="C46" i="10"/>
  <c r="B46" i="10"/>
  <c r="D46" i="10" s="1"/>
  <c r="C45" i="10"/>
  <c r="B45" i="10"/>
  <c r="D45" i="10" s="1"/>
  <c r="C44" i="10"/>
  <c r="B44" i="10"/>
  <c r="C43" i="10"/>
  <c r="B43" i="10"/>
  <c r="C42" i="10"/>
  <c r="B42" i="10"/>
  <c r="D42" i="10" s="1"/>
  <c r="C41" i="10"/>
  <c r="B41" i="10"/>
  <c r="D41" i="10" s="1"/>
  <c r="C40" i="10"/>
  <c r="B40" i="10"/>
  <c r="C39" i="10"/>
  <c r="B39" i="10"/>
  <c r="C38" i="10"/>
  <c r="B38" i="10"/>
  <c r="D38" i="10" s="1"/>
  <c r="C37" i="10"/>
  <c r="B37" i="10"/>
  <c r="D37" i="10" s="1"/>
  <c r="C36" i="10"/>
  <c r="B36" i="10"/>
  <c r="C35" i="10"/>
  <c r="B35" i="10"/>
  <c r="C34" i="10"/>
  <c r="B34" i="10"/>
  <c r="D34" i="10" s="1"/>
  <c r="C33" i="10"/>
  <c r="B33" i="10"/>
  <c r="D33" i="10" s="1"/>
  <c r="C32" i="10"/>
  <c r="B32" i="10"/>
  <c r="C31" i="10"/>
  <c r="B31" i="10"/>
  <c r="C30" i="10"/>
  <c r="B30" i="10"/>
  <c r="D30" i="10" s="1"/>
  <c r="C29" i="10"/>
  <c r="B29" i="10"/>
  <c r="D29" i="10" s="1"/>
  <c r="C28" i="10"/>
  <c r="B28" i="10"/>
  <c r="C27" i="10"/>
  <c r="B27" i="10"/>
  <c r="C26" i="10"/>
  <c r="B26" i="10"/>
  <c r="D26" i="10" s="1"/>
  <c r="C25" i="10"/>
  <c r="B25" i="10"/>
  <c r="D25" i="10" s="1"/>
  <c r="C24" i="10"/>
  <c r="B24" i="10"/>
  <c r="C23" i="10"/>
  <c r="B23" i="10"/>
  <c r="C22" i="10"/>
  <c r="B22" i="10"/>
  <c r="D22" i="10" s="1"/>
  <c r="C21" i="10"/>
  <c r="B21" i="10"/>
  <c r="D21" i="10" s="1"/>
  <c r="C20" i="10"/>
  <c r="B20" i="10"/>
  <c r="C19" i="10"/>
  <c r="B19" i="10"/>
  <c r="C18" i="10"/>
  <c r="B18" i="10"/>
  <c r="D18" i="10" s="1"/>
  <c r="C17" i="10"/>
  <c r="B17" i="10"/>
  <c r="D17" i="10" s="1"/>
  <c r="C16" i="10"/>
  <c r="B16" i="10"/>
  <c r="C15" i="10"/>
  <c r="B15" i="10"/>
  <c r="C14" i="10"/>
  <c r="B14" i="10"/>
  <c r="D14" i="10" s="1"/>
  <c r="C13" i="10"/>
  <c r="B13" i="10"/>
  <c r="D13" i="10" s="1"/>
  <c r="C12" i="10"/>
  <c r="B12" i="10"/>
  <c r="C11" i="10"/>
  <c r="B11" i="10"/>
  <c r="C10" i="10"/>
  <c r="B10" i="10"/>
  <c r="D10" i="10" s="1"/>
  <c r="C9" i="10"/>
  <c r="B9" i="10"/>
  <c r="D9" i="10" s="1"/>
  <c r="X13" i="4" l="1"/>
  <c r="D11" i="10"/>
  <c r="D15" i="10"/>
  <c r="D19" i="10"/>
  <c r="D23" i="10"/>
  <c r="D27" i="10"/>
  <c r="D31" i="10"/>
  <c r="D35" i="10"/>
  <c r="D39" i="10"/>
  <c r="D43" i="10"/>
  <c r="D47" i="10"/>
  <c r="D51" i="10"/>
  <c r="D55" i="10"/>
  <c r="AI13" i="4"/>
  <c r="X8" i="4"/>
  <c r="AA9" i="4"/>
  <c r="AA3" i="4" s="1"/>
  <c r="AI14" i="4"/>
  <c r="X9" i="4"/>
  <c r="D12" i="10"/>
  <c r="D16" i="10"/>
  <c r="D20" i="10"/>
  <c r="D24" i="10"/>
  <c r="D28" i="10"/>
  <c r="D32" i="10"/>
  <c r="D36" i="10"/>
  <c r="D40" i="10"/>
  <c r="D44" i="10"/>
  <c r="D48" i="10"/>
  <c r="D52" i="10"/>
  <c r="D56" i="10"/>
</calcChain>
</file>

<file path=xl/sharedStrings.xml><?xml version="1.0" encoding="utf-8"?>
<sst xmlns="http://schemas.openxmlformats.org/spreadsheetml/2006/main" count="95" uniqueCount="48">
  <si>
    <t>Raw Data</t>
  </si>
  <si>
    <t>Control Group</t>
  </si>
  <si>
    <t>Patient</t>
  </si>
  <si>
    <t>Effect</t>
  </si>
  <si>
    <t>Cost</t>
  </si>
  <si>
    <t>Treatment Group</t>
  </si>
  <si>
    <t>Bootstrap Results</t>
  </si>
  <si>
    <t>Bootstrapped means for the:</t>
  </si>
  <si>
    <t>Control group</t>
  </si>
  <si>
    <t xml:space="preserve">Bootstrap </t>
  </si>
  <si>
    <t>replication</t>
  </si>
  <si>
    <t>The bootstrap resamples:</t>
  </si>
  <si>
    <t>means:</t>
  </si>
  <si>
    <t>Summary Statistics</t>
  </si>
  <si>
    <t>Difference</t>
  </si>
  <si>
    <t>mean</t>
  </si>
  <si>
    <t>standard deviation</t>
  </si>
  <si>
    <t>standard error</t>
  </si>
  <si>
    <t>lower 95% limit</t>
  </si>
  <si>
    <t>upper 95% limit</t>
  </si>
  <si>
    <t>ICER</t>
  </si>
  <si>
    <t>point estimate</t>
  </si>
  <si>
    <t>Differences</t>
  </si>
  <si>
    <t>Summary information for the ICER</t>
  </si>
  <si>
    <t>Standard deviation</t>
  </si>
  <si>
    <t>Median</t>
  </si>
  <si>
    <t xml:space="preserve">2.5th percentile </t>
  </si>
  <si>
    <t>97.5th percentile</t>
  </si>
  <si>
    <t>Bin Range</t>
  </si>
  <si>
    <t>Bin</t>
  </si>
  <si>
    <t>More</t>
  </si>
  <si>
    <t>Frequency</t>
  </si>
  <si>
    <t>min</t>
  </si>
  <si>
    <t>max</t>
  </si>
  <si>
    <t>CE?</t>
  </si>
  <si>
    <t>Rc</t>
  </si>
  <si>
    <t>pCE</t>
  </si>
  <si>
    <t>NB</t>
  </si>
  <si>
    <t>seNB</t>
  </si>
  <si>
    <t>Bootstrapping net-benefits</t>
  </si>
  <si>
    <t>Summary information</t>
  </si>
  <si>
    <t>Parametric CEA curve</t>
  </si>
  <si>
    <t xml:space="preserve">Bin Range </t>
  </si>
  <si>
    <t>z</t>
  </si>
  <si>
    <t>Parametric uncertainty analysis</t>
  </si>
  <si>
    <t>correlation (control)</t>
  </si>
  <si>
    <t>correlation (treatment)</t>
  </si>
  <si>
    <t>correlation (difference)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</si>
</sst>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&quot;£&quot;#,##0"/>
    <numFmt numFmtId="165" formatCode="0.000"/>
    <numFmt numFmtId="166" formatCode="_-* #,##0.0_-;\-* #,##0.0_-;_-* &quot;-&quot;??_-;_-@_-"/>
    <numFmt numFmtId="167" formatCode="[$£-809]#,##0"/>
  </numFmts>
  <fonts count="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64" fontId="0" fillId="0" borderId="0" xfId="0" applyNumberFormat="1"/>
    <xf numFmtId="2" fontId="0" fillId="0" borderId="0" xfId="0" applyNumberFormat="1"/>
    <xf numFmtId="164" fontId="3" fillId="0" borderId="0" xfId="0" applyNumberFormat="1" applyFont="1"/>
    <xf numFmtId="164" fontId="4" fillId="0" borderId="0" xfId="0" applyNumberFormat="1" applyFont="1"/>
    <xf numFmtId="164" fontId="2" fillId="0" borderId="0" xfId="0" applyNumberFormat="1" applyFont="1"/>
    <xf numFmtId="164" fontId="5" fillId="0" borderId="0" xfId="0" applyNumberFormat="1" applyFont="1"/>
    <xf numFmtId="43" fontId="4" fillId="0" borderId="0" xfId="1" applyFont="1"/>
    <xf numFmtId="43" fontId="3" fillId="0" borderId="0" xfId="1" applyFont="1"/>
    <xf numFmtId="43" fontId="2" fillId="0" borderId="0" xfId="1" applyFont="1"/>
    <xf numFmtId="43" fontId="5" fillId="0" borderId="0" xfId="1" applyFont="1"/>
    <xf numFmtId="0" fontId="2" fillId="0" borderId="0" xfId="0" applyFont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5" fillId="2" borderId="1" xfId="0" applyFont="1" applyFill="1" applyBorder="1"/>
    <xf numFmtId="43" fontId="5" fillId="2" borderId="1" xfId="1" applyFont="1" applyFill="1" applyBorder="1"/>
    <xf numFmtId="0" fontId="4" fillId="0" borderId="0" xfId="0" applyNumberFormat="1" applyFont="1" applyFill="1" applyBorder="1" applyAlignment="1"/>
    <xf numFmtId="2" fontId="0" fillId="2" borderId="1" xfId="0" applyNumberFormat="1" applyFill="1" applyBorder="1"/>
    <xf numFmtId="167" fontId="0" fillId="2" borderId="1" xfId="0" applyNumberFormat="1" applyFill="1" applyBorder="1"/>
    <xf numFmtId="167" fontId="5" fillId="2" borderId="1" xfId="1" applyNumberFormat="1" applyFont="1" applyFill="1" applyBorder="1"/>
    <xf numFmtId="166" fontId="5" fillId="2" borderId="1" xfId="1" applyNumberFormat="1" applyFont="1" applyFill="1" applyBorder="1"/>
    <xf numFmtId="0" fontId="5" fillId="0" borderId="0" xfId="0" applyFont="1" applyAlignment="1">
      <alignment horizontal="right"/>
    </xf>
    <xf numFmtId="0" fontId="0" fillId="0" borderId="2" xfId="0" applyFill="1" applyBorder="1" applyAlignment="1"/>
    <xf numFmtId="0" fontId="6" fillId="0" borderId="3" xfId="0" applyFont="1" applyFill="1" applyBorder="1" applyAlignment="1">
      <alignment horizontal="center"/>
    </xf>
    <xf numFmtId="43" fontId="0" fillId="0" borderId="0" xfId="1" applyFont="1"/>
    <xf numFmtId="165" fontId="5" fillId="2" borderId="1" xfId="0" applyNumberFormat="1" applyFont="1" applyFill="1" applyBorder="1"/>
    <xf numFmtId="0" fontId="2" fillId="3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2" fillId="4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2" fontId="0" fillId="0" borderId="0" xfId="0" applyNumberForma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colors>
    <mruColors>
      <color rgb="FFED21F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82241953385129"/>
          <c:y val="4.2414355628058724E-2"/>
          <c:w val="0.79467258601553825"/>
          <c:h val="0.7977161500815659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Bootstrapping!$R$8:$R$1007</c:f>
              <c:numCache>
                <c:formatCode>_(* #,##0.00_);_(* \(#,##0.00\);_(* "-"??_);_(@_)</c:formatCode>
                <c:ptCount val="1000"/>
                <c:pt idx="0">
                  <c:v>0.73418507608406269</c:v>
                </c:pt>
                <c:pt idx="1">
                  <c:v>1.5724066813699471</c:v>
                </c:pt>
                <c:pt idx="2">
                  <c:v>0.94524516446700968</c:v>
                </c:pt>
                <c:pt idx="3">
                  <c:v>0.72932138939391677</c:v>
                </c:pt>
                <c:pt idx="4">
                  <c:v>2.6739226601860011E-2</c:v>
                </c:pt>
                <c:pt idx="5">
                  <c:v>1.127220957660354</c:v>
                </c:pt>
                <c:pt idx="6">
                  <c:v>0.89751893142777117</c:v>
                </c:pt>
                <c:pt idx="7">
                  <c:v>1.4789513069049516</c:v>
                </c:pt>
                <c:pt idx="8">
                  <c:v>-0.10780600545176089</c:v>
                </c:pt>
                <c:pt idx="9">
                  <c:v>-0.52458179958251172</c:v>
                </c:pt>
                <c:pt idx="10">
                  <c:v>1.028133443190967</c:v>
                </c:pt>
                <c:pt idx="11">
                  <c:v>0.83291776534680917</c:v>
                </c:pt>
                <c:pt idx="12">
                  <c:v>0.7343474215128527</c:v>
                </c:pt>
                <c:pt idx="13">
                  <c:v>1.1536094908047776</c:v>
                </c:pt>
                <c:pt idx="14">
                  <c:v>0.64198607437495347</c:v>
                </c:pt>
                <c:pt idx="15">
                  <c:v>0.92776932031149606</c:v>
                </c:pt>
                <c:pt idx="16">
                  <c:v>0.99531164066659361</c:v>
                </c:pt>
                <c:pt idx="17">
                  <c:v>0.43787813721936519</c:v>
                </c:pt>
                <c:pt idx="18">
                  <c:v>0.33686745321529266</c:v>
                </c:pt>
                <c:pt idx="19">
                  <c:v>1.5867832375579178</c:v>
                </c:pt>
                <c:pt idx="20">
                  <c:v>1.6608201692686695</c:v>
                </c:pt>
                <c:pt idx="21">
                  <c:v>9.64315401547573E-2</c:v>
                </c:pt>
                <c:pt idx="22">
                  <c:v>0.67108327479504659</c:v>
                </c:pt>
                <c:pt idx="23">
                  <c:v>0.77863958183800985</c:v>
                </c:pt>
                <c:pt idx="24">
                  <c:v>0.34522402992908408</c:v>
                </c:pt>
                <c:pt idx="25">
                  <c:v>0.51324994086753684</c:v>
                </c:pt>
                <c:pt idx="26">
                  <c:v>0.62588126599323246</c:v>
                </c:pt>
                <c:pt idx="27">
                  <c:v>1.7204121925003069</c:v>
                </c:pt>
                <c:pt idx="28">
                  <c:v>0.71724758658793153</c:v>
                </c:pt>
                <c:pt idx="29">
                  <c:v>0.50522527523617811</c:v>
                </c:pt>
                <c:pt idx="30">
                  <c:v>0.90993844780580613</c:v>
                </c:pt>
                <c:pt idx="31">
                  <c:v>2.0896670474337862</c:v>
                </c:pt>
                <c:pt idx="32">
                  <c:v>0.27361273510400164</c:v>
                </c:pt>
                <c:pt idx="33">
                  <c:v>0.84010187138881864</c:v>
                </c:pt>
                <c:pt idx="34">
                  <c:v>0.37056334276545222</c:v>
                </c:pt>
                <c:pt idx="35">
                  <c:v>0.42180217610858328</c:v>
                </c:pt>
                <c:pt idx="36">
                  <c:v>1.1969337605945798</c:v>
                </c:pt>
                <c:pt idx="37">
                  <c:v>9.9982541311099737E-2</c:v>
                </c:pt>
                <c:pt idx="38">
                  <c:v>1.2182645816725097</c:v>
                </c:pt>
                <c:pt idx="39">
                  <c:v>0.86712451390355305</c:v>
                </c:pt>
                <c:pt idx="40">
                  <c:v>1.36254375591085</c:v>
                </c:pt>
                <c:pt idx="41">
                  <c:v>0.59129362189592705</c:v>
                </c:pt>
                <c:pt idx="42">
                  <c:v>1.763954392384095</c:v>
                </c:pt>
                <c:pt idx="43">
                  <c:v>0.88095898654912741</c:v>
                </c:pt>
                <c:pt idx="44">
                  <c:v>1.31430383697717</c:v>
                </c:pt>
                <c:pt idx="45">
                  <c:v>1.3953476781112419</c:v>
                </c:pt>
                <c:pt idx="46">
                  <c:v>1.1638676104787669</c:v>
                </c:pt>
                <c:pt idx="47">
                  <c:v>0.86959122247577625</c:v>
                </c:pt>
                <c:pt idx="48">
                  <c:v>0.98514348842153598</c:v>
                </c:pt>
                <c:pt idx="49">
                  <c:v>1.2452970879302017</c:v>
                </c:pt>
                <c:pt idx="50">
                  <c:v>0.77879476371871892</c:v>
                </c:pt>
                <c:pt idx="51">
                  <c:v>1.2035938150757302</c:v>
                </c:pt>
                <c:pt idx="52">
                  <c:v>1.51354189967455</c:v>
                </c:pt>
                <c:pt idx="53">
                  <c:v>0.69424216353103585</c:v>
                </c:pt>
                <c:pt idx="54">
                  <c:v>1.1842666256971794</c:v>
                </c:pt>
                <c:pt idx="55">
                  <c:v>4.1385520964272615E-2</c:v>
                </c:pt>
                <c:pt idx="56">
                  <c:v>0.48902340859012927</c:v>
                </c:pt>
                <c:pt idx="57">
                  <c:v>1.4135089249482213</c:v>
                </c:pt>
                <c:pt idx="58">
                  <c:v>0.80853690750535101</c:v>
                </c:pt>
                <c:pt idx="59">
                  <c:v>1.5677269120711914</c:v>
                </c:pt>
                <c:pt idx="60">
                  <c:v>0.93486198320522629</c:v>
                </c:pt>
                <c:pt idx="61">
                  <c:v>0.59618855139807803</c:v>
                </c:pt>
                <c:pt idx="62">
                  <c:v>-6.9885056172100057E-2</c:v>
                </c:pt>
                <c:pt idx="63">
                  <c:v>0.38990055460932815</c:v>
                </c:pt>
                <c:pt idx="64">
                  <c:v>0.28648168760527692</c:v>
                </c:pt>
                <c:pt idx="65">
                  <c:v>0.76428935715933033</c:v>
                </c:pt>
                <c:pt idx="66">
                  <c:v>0.38912381778435989</c:v>
                </c:pt>
                <c:pt idx="67">
                  <c:v>0.42506407801773882</c:v>
                </c:pt>
                <c:pt idx="68">
                  <c:v>0.68145353329860914</c:v>
                </c:pt>
                <c:pt idx="69">
                  <c:v>0.70224373505469462</c:v>
                </c:pt>
                <c:pt idx="70">
                  <c:v>1.1720966811109514</c:v>
                </c:pt>
                <c:pt idx="71">
                  <c:v>0.82795741013535729</c:v>
                </c:pt>
                <c:pt idx="72">
                  <c:v>0.69349719521788789</c:v>
                </c:pt>
                <c:pt idx="73">
                  <c:v>1.5770630085774684</c:v>
                </c:pt>
                <c:pt idx="74">
                  <c:v>0.4658735169200483</c:v>
                </c:pt>
                <c:pt idx="75">
                  <c:v>0.79636354793566611</c:v>
                </c:pt>
                <c:pt idx="76">
                  <c:v>1.14126597067487</c:v>
                </c:pt>
                <c:pt idx="77">
                  <c:v>0.28411523765553781</c:v>
                </c:pt>
                <c:pt idx="78">
                  <c:v>0.8416142879367392</c:v>
                </c:pt>
                <c:pt idx="79">
                  <c:v>0.46961545669814431</c:v>
                </c:pt>
                <c:pt idx="80">
                  <c:v>1.2834310592198266</c:v>
                </c:pt>
                <c:pt idx="81">
                  <c:v>0.88545952212789292</c:v>
                </c:pt>
                <c:pt idx="82">
                  <c:v>1.1310442927111506</c:v>
                </c:pt>
                <c:pt idx="83">
                  <c:v>1.0299373886076513</c:v>
                </c:pt>
                <c:pt idx="84">
                  <c:v>1.1882499018681596</c:v>
                </c:pt>
                <c:pt idx="85">
                  <c:v>0.45271079730341146</c:v>
                </c:pt>
                <c:pt idx="86">
                  <c:v>1.0069952609077966</c:v>
                </c:pt>
                <c:pt idx="87">
                  <c:v>1.178152917431456</c:v>
                </c:pt>
                <c:pt idx="88">
                  <c:v>0.12398929733530029</c:v>
                </c:pt>
                <c:pt idx="89">
                  <c:v>0.42435195432614492</c:v>
                </c:pt>
                <c:pt idx="90">
                  <c:v>0.10215084868980195</c:v>
                </c:pt>
                <c:pt idx="91">
                  <c:v>0.63314345594016785</c:v>
                </c:pt>
                <c:pt idx="92">
                  <c:v>0.93968657847417791</c:v>
                </c:pt>
                <c:pt idx="93">
                  <c:v>1.0918020686355758</c:v>
                </c:pt>
                <c:pt idx="94">
                  <c:v>0.92107150394731274</c:v>
                </c:pt>
                <c:pt idx="95">
                  <c:v>0.43635193252888538</c:v>
                </c:pt>
                <c:pt idx="96">
                  <c:v>0.79224099341634169</c:v>
                </c:pt>
                <c:pt idx="97">
                  <c:v>-7.7695854920696306E-3</c:v>
                </c:pt>
                <c:pt idx="98">
                  <c:v>-0.10033602040069489</c:v>
                </c:pt>
                <c:pt idx="99">
                  <c:v>0.73917322795764662</c:v>
                </c:pt>
                <c:pt idx="100">
                  <c:v>0.53546806870330421</c:v>
                </c:pt>
                <c:pt idx="101">
                  <c:v>0.81774208241739554</c:v>
                </c:pt>
                <c:pt idx="102">
                  <c:v>1.4303291862527123</c:v>
                </c:pt>
                <c:pt idx="103">
                  <c:v>0.51002274059669528</c:v>
                </c:pt>
                <c:pt idx="104">
                  <c:v>0.27467267478015422</c:v>
                </c:pt>
                <c:pt idx="105">
                  <c:v>0.36566384464237522</c:v>
                </c:pt>
                <c:pt idx="106">
                  <c:v>1.0478309778887516</c:v>
                </c:pt>
                <c:pt idx="107">
                  <c:v>0.79602193128318177</c:v>
                </c:pt>
                <c:pt idx="108">
                  <c:v>0.81550924449340112</c:v>
                </c:pt>
                <c:pt idx="109">
                  <c:v>1.0529702932605041</c:v>
                </c:pt>
                <c:pt idx="110">
                  <c:v>1.2060083848000334</c:v>
                </c:pt>
                <c:pt idx="111">
                  <c:v>0.22234561079004322</c:v>
                </c:pt>
                <c:pt idx="112">
                  <c:v>-0.10923337188334514</c:v>
                </c:pt>
                <c:pt idx="113">
                  <c:v>-0.1417480263995996</c:v>
                </c:pt>
                <c:pt idx="114">
                  <c:v>0.69073298483082102</c:v>
                </c:pt>
                <c:pt idx="115">
                  <c:v>0.45415793841027963</c:v>
                </c:pt>
                <c:pt idx="116">
                  <c:v>0.35861671329941647</c:v>
                </c:pt>
                <c:pt idx="117">
                  <c:v>8.980548618148454E-2</c:v>
                </c:pt>
                <c:pt idx="118">
                  <c:v>0.86185203413444711</c:v>
                </c:pt>
                <c:pt idx="119">
                  <c:v>1.2420593844902772</c:v>
                </c:pt>
                <c:pt idx="120">
                  <c:v>0.70240464817895099</c:v>
                </c:pt>
                <c:pt idx="121">
                  <c:v>0.61527979171493463</c:v>
                </c:pt>
                <c:pt idx="122">
                  <c:v>0.48456190772695784</c:v>
                </c:pt>
                <c:pt idx="123">
                  <c:v>1.0819475873755495</c:v>
                </c:pt>
                <c:pt idx="124">
                  <c:v>0.62062014074555982</c:v>
                </c:pt>
                <c:pt idx="125">
                  <c:v>0.37481240476568267</c:v>
                </c:pt>
                <c:pt idx="126">
                  <c:v>0.4115910887308134</c:v>
                </c:pt>
                <c:pt idx="127">
                  <c:v>-0.26477720973414343</c:v>
                </c:pt>
                <c:pt idx="128">
                  <c:v>0.87012749119984001</c:v>
                </c:pt>
                <c:pt idx="129">
                  <c:v>0.81234607699096006</c:v>
                </c:pt>
                <c:pt idx="130">
                  <c:v>0.5730992046311254</c:v>
                </c:pt>
                <c:pt idx="131">
                  <c:v>0.60766900014556047</c:v>
                </c:pt>
                <c:pt idx="132">
                  <c:v>1.154207227160537</c:v>
                </c:pt>
                <c:pt idx="133">
                  <c:v>1.1892649294355495</c:v>
                </c:pt>
                <c:pt idx="134">
                  <c:v>1.3787647974271833</c:v>
                </c:pt>
                <c:pt idx="135">
                  <c:v>0.23702665724478145</c:v>
                </c:pt>
                <c:pt idx="136">
                  <c:v>0.7811700775886683</c:v>
                </c:pt>
                <c:pt idx="137">
                  <c:v>1.829404642838206E-3</c:v>
                </c:pt>
                <c:pt idx="138">
                  <c:v>0.64939578966764699</c:v>
                </c:pt>
                <c:pt idx="139">
                  <c:v>1.1347675666467394</c:v>
                </c:pt>
                <c:pt idx="140">
                  <c:v>-0.31894460198115482</c:v>
                </c:pt>
                <c:pt idx="141">
                  <c:v>0.67261004032208227</c:v>
                </c:pt>
                <c:pt idx="142">
                  <c:v>0.45864441719232563</c:v>
                </c:pt>
                <c:pt idx="143">
                  <c:v>0.39525760673096766</c:v>
                </c:pt>
                <c:pt idx="144">
                  <c:v>0.65529114160408852</c:v>
                </c:pt>
                <c:pt idx="145">
                  <c:v>0.85000923161704467</c:v>
                </c:pt>
                <c:pt idx="146">
                  <c:v>0.16591965784462115</c:v>
                </c:pt>
                <c:pt idx="147">
                  <c:v>0.65038047233626983</c:v>
                </c:pt>
                <c:pt idx="148">
                  <c:v>0.62299783623796934</c:v>
                </c:pt>
                <c:pt idx="149">
                  <c:v>0.50776946980653825</c:v>
                </c:pt>
                <c:pt idx="150">
                  <c:v>0.79587115157451738</c:v>
                </c:pt>
                <c:pt idx="151">
                  <c:v>0.6008923616124644</c:v>
                </c:pt>
                <c:pt idx="152">
                  <c:v>0.98548912177461023</c:v>
                </c:pt>
                <c:pt idx="153">
                  <c:v>0.83872046188552574</c:v>
                </c:pt>
                <c:pt idx="154">
                  <c:v>0.93060076525206537</c:v>
                </c:pt>
                <c:pt idx="155">
                  <c:v>1.1795406169199225</c:v>
                </c:pt>
                <c:pt idx="156">
                  <c:v>1.2254960798540715</c:v>
                </c:pt>
                <c:pt idx="157">
                  <c:v>1.0307172841210432</c:v>
                </c:pt>
                <c:pt idx="158">
                  <c:v>0.30176728860507129</c:v>
                </c:pt>
                <c:pt idx="159">
                  <c:v>1.1614614657962035</c:v>
                </c:pt>
                <c:pt idx="160">
                  <c:v>1.3207731099479938</c:v>
                </c:pt>
                <c:pt idx="161">
                  <c:v>0.23776329101607452</c:v>
                </c:pt>
                <c:pt idx="162">
                  <c:v>0.25547949805742398</c:v>
                </c:pt>
                <c:pt idx="163">
                  <c:v>0.80964628643412517</c:v>
                </c:pt>
                <c:pt idx="164">
                  <c:v>1.2411769876447982</c:v>
                </c:pt>
                <c:pt idx="165">
                  <c:v>1.0927717181836982</c:v>
                </c:pt>
                <c:pt idx="166">
                  <c:v>0.69242904224581014</c:v>
                </c:pt>
                <c:pt idx="167">
                  <c:v>0.37957755488088196</c:v>
                </c:pt>
                <c:pt idx="168">
                  <c:v>8.3409426275382614E-3</c:v>
                </c:pt>
                <c:pt idx="169">
                  <c:v>0.47512996521480222</c:v>
                </c:pt>
                <c:pt idx="170">
                  <c:v>1.1338914868940222</c:v>
                </c:pt>
                <c:pt idx="171">
                  <c:v>1.3418366546567757</c:v>
                </c:pt>
                <c:pt idx="172">
                  <c:v>0.53994280936016725</c:v>
                </c:pt>
                <c:pt idx="173">
                  <c:v>0.29828833679923505</c:v>
                </c:pt>
                <c:pt idx="174">
                  <c:v>0.54589196474599699</c:v>
                </c:pt>
                <c:pt idx="175">
                  <c:v>1.3724014439347751</c:v>
                </c:pt>
                <c:pt idx="176">
                  <c:v>0.67292137497071636</c:v>
                </c:pt>
                <c:pt idx="177">
                  <c:v>1.0626745821600654</c:v>
                </c:pt>
                <c:pt idx="178">
                  <c:v>-1.7262625540273469E-2</c:v>
                </c:pt>
                <c:pt idx="179">
                  <c:v>0.99374514689173488</c:v>
                </c:pt>
                <c:pt idx="180">
                  <c:v>1.0052306522773256</c:v>
                </c:pt>
                <c:pt idx="181">
                  <c:v>0.69268293074553622</c:v>
                </c:pt>
                <c:pt idx="182">
                  <c:v>0.69519603428627796</c:v>
                </c:pt>
                <c:pt idx="183">
                  <c:v>0.52350427603163396</c:v>
                </c:pt>
                <c:pt idx="184">
                  <c:v>2.0107510451760504</c:v>
                </c:pt>
                <c:pt idx="185">
                  <c:v>1.2465459938808481</c:v>
                </c:pt>
                <c:pt idx="186">
                  <c:v>0.90159968063844254</c:v>
                </c:pt>
                <c:pt idx="187">
                  <c:v>0.17361987726356443</c:v>
                </c:pt>
                <c:pt idx="188">
                  <c:v>1.8320841505703429</c:v>
                </c:pt>
                <c:pt idx="189">
                  <c:v>0.58456323451797765</c:v>
                </c:pt>
                <c:pt idx="190">
                  <c:v>0.91327597675809624</c:v>
                </c:pt>
                <c:pt idx="191">
                  <c:v>1.578363935665525</c:v>
                </c:pt>
                <c:pt idx="192">
                  <c:v>0.74848755187244631</c:v>
                </c:pt>
                <c:pt idx="193">
                  <c:v>0.38479384430689567</c:v>
                </c:pt>
                <c:pt idx="194">
                  <c:v>1.0601554088017888</c:v>
                </c:pt>
                <c:pt idx="195">
                  <c:v>0.3015985002335686</c:v>
                </c:pt>
                <c:pt idx="196">
                  <c:v>1.592115271560683</c:v>
                </c:pt>
                <c:pt idx="197">
                  <c:v>0.64379751495334592</c:v>
                </c:pt>
                <c:pt idx="198">
                  <c:v>0.48668258533432684</c:v>
                </c:pt>
                <c:pt idx="199">
                  <c:v>0.26975822293394014</c:v>
                </c:pt>
                <c:pt idx="200">
                  <c:v>0.67982385601462259</c:v>
                </c:pt>
                <c:pt idx="201">
                  <c:v>0.42996893451378959</c:v>
                </c:pt>
                <c:pt idx="202">
                  <c:v>1.7753922818566306</c:v>
                </c:pt>
                <c:pt idx="203">
                  <c:v>0.97878364472821477</c:v>
                </c:pt>
                <c:pt idx="204">
                  <c:v>-0.25173275243932736</c:v>
                </c:pt>
                <c:pt idx="205">
                  <c:v>1.2863784924409964</c:v>
                </c:pt>
                <c:pt idx="206">
                  <c:v>1.6738736997325017</c:v>
                </c:pt>
                <c:pt idx="207">
                  <c:v>1.0431919139858863</c:v>
                </c:pt>
                <c:pt idx="208">
                  <c:v>0.10073760153909372</c:v>
                </c:pt>
                <c:pt idx="209">
                  <c:v>1.4869266863610342E-2</c:v>
                </c:pt>
                <c:pt idx="210">
                  <c:v>1.2653680457304253</c:v>
                </c:pt>
                <c:pt idx="211">
                  <c:v>0.40036383945034704</c:v>
                </c:pt>
                <c:pt idx="212">
                  <c:v>1.0740566542093362</c:v>
                </c:pt>
                <c:pt idx="213">
                  <c:v>1.1075588260563558</c:v>
                </c:pt>
                <c:pt idx="214">
                  <c:v>0.66535310495969924</c:v>
                </c:pt>
                <c:pt idx="215">
                  <c:v>0.44508930417709625</c:v>
                </c:pt>
                <c:pt idx="216">
                  <c:v>1.12653839890746</c:v>
                </c:pt>
                <c:pt idx="217">
                  <c:v>0.59229855152818711</c:v>
                </c:pt>
                <c:pt idx="218">
                  <c:v>0.90044091614786659</c:v>
                </c:pt>
                <c:pt idx="219">
                  <c:v>0.96716716196177188</c:v>
                </c:pt>
                <c:pt idx="220">
                  <c:v>0.31260603418689392</c:v>
                </c:pt>
                <c:pt idx="221">
                  <c:v>1.1281676043766433</c:v>
                </c:pt>
                <c:pt idx="222">
                  <c:v>1.2012782088716536</c:v>
                </c:pt>
                <c:pt idx="223">
                  <c:v>0.68468598693749527</c:v>
                </c:pt>
                <c:pt idx="224">
                  <c:v>0.83431452517526772</c:v>
                </c:pt>
                <c:pt idx="225">
                  <c:v>-0.13765763904169415</c:v>
                </c:pt>
                <c:pt idx="226">
                  <c:v>1.1162473063280993</c:v>
                </c:pt>
                <c:pt idx="227">
                  <c:v>1.388412651478883</c:v>
                </c:pt>
                <c:pt idx="228">
                  <c:v>1.3395537131575601</c:v>
                </c:pt>
                <c:pt idx="229">
                  <c:v>0.55694917199479832</c:v>
                </c:pt>
                <c:pt idx="230">
                  <c:v>1.0712499909932163</c:v>
                </c:pt>
                <c:pt idx="231">
                  <c:v>0.17663458841453572</c:v>
                </c:pt>
                <c:pt idx="232">
                  <c:v>1.2970102144332225</c:v>
                </c:pt>
                <c:pt idx="233">
                  <c:v>0.79088016230960001</c:v>
                </c:pt>
                <c:pt idx="234">
                  <c:v>0.60700149955411309</c:v>
                </c:pt>
                <c:pt idx="235">
                  <c:v>1.8515997871219767</c:v>
                </c:pt>
                <c:pt idx="236">
                  <c:v>1.0246430466856005</c:v>
                </c:pt>
                <c:pt idx="237">
                  <c:v>1.5113156532586975</c:v>
                </c:pt>
                <c:pt idx="238">
                  <c:v>0.53790171590926583</c:v>
                </c:pt>
                <c:pt idx="239">
                  <c:v>0.85054667731083899</c:v>
                </c:pt>
                <c:pt idx="240">
                  <c:v>0.39190853557998562</c:v>
                </c:pt>
                <c:pt idx="241">
                  <c:v>1.1173872125410309</c:v>
                </c:pt>
                <c:pt idx="242">
                  <c:v>-1.7635825162461316E-2</c:v>
                </c:pt>
                <c:pt idx="243">
                  <c:v>1.3745622347728368</c:v>
                </c:pt>
                <c:pt idx="244">
                  <c:v>0.54538315630957523</c:v>
                </c:pt>
                <c:pt idx="245">
                  <c:v>-0.27285318499362621</c:v>
                </c:pt>
                <c:pt idx="246">
                  <c:v>0.20136644617172372</c:v>
                </c:pt>
                <c:pt idx="247">
                  <c:v>1.4997767266438364</c:v>
                </c:pt>
                <c:pt idx="248">
                  <c:v>0.78732967119169395</c:v>
                </c:pt>
                <c:pt idx="249">
                  <c:v>0.44058693292525053</c:v>
                </c:pt>
                <c:pt idx="250">
                  <c:v>0.56614693144832984</c:v>
                </c:pt>
                <c:pt idx="251">
                  <c:v>-0.27151453394962655</c:v>
                </c:pt>
                <c:pt idx="252">
                  <c:v>0.70915908002220718</c:v>
                </c:pt>
                <c:pt idx="253">
                  <c:v>0.68149849573063648</c:v>
                </c:pt>
                <c:pt idx="254">
                  <c:v>0.51564074397447968</c:v>
                </c:pt>
                <c:pt idx="255">
                  <c:v>-0.46488776169791901</c:v>
                </c:pt>
                <c:pt idx="256">
                  <c:v>0.87617665252568955</c:v>
                </c:pt>
                <c:pt idx="257">
                  <c:v>1.0097544804299341</c:v>
                </c:pt>
                <c:pt idx="258">
                  <c:v>1.4121526790611032</c:v>
                </c:pt>
                <c:pt idx="259">
                  <c:v>0.78201409238691788</c:v>
                </c:pt>
                <c:pt idx="260">
                  <c:v>0.59465254306194826</c:v>
                </c:pt>
                <c:pt idx="261">
                  <c:v>0.15145948995997749</c:v>
                </c:pt>
                <c:pt idx="262">
                  <c:v>1.1113427366364297</c:v>
                </c:pt>
                <c:pt idx="263">
                  <c:v>1.933094715193346</c:v>
                </c:pt>
                <c:pt idx="264">
                  <c:v>0.88887381977503743</c:v>
                </c:pt>
                <c:pt idx="265">
                  <c:v>0.81416515005490453</c:v>
                </c:pt>
                <c:pt idx="266">
                  <c:v>0.72289201619002341</c:v>
                </c:pt>
                <c:pt idx="267">
                  <c:v>1.6881782314579903</c:v>
                </c:pt>
                <c:pt idx="268">
                  <c:v>0.57929575247594034</c:v>
                </c:pt>
                <c:pt idx="269">
                  <c:v>0.31564364184459581</c:v>
                </c:pt>
                <c:pt idx="270">
                  <c:v>0.94456037922046843</c:v>
                </c:pt>
                <c:pt idx="271">
                  <c:v>0.83972305476654174</c:v>
                </c:pt>
                <c:pt idx="272">
                  <c:v>0.77918391906154127</c:v>
                </c:pt>
                <c:pt idx="273">
                  <c:v>1.8193251684778815</c:v>
                </c:pt>
                <c:pt idx="274">
                  <c:v>0.64348073470965961</c:v>
                </c:pt>
                <c:pt idx="275">
                  <c:v>1.0251284753778629</c:v>
                </c:pt>
                <c:pt idx="276">
                  <c:v>0.69190654939247764</c:v>
                </c:pt>
                <c:pt idx="277">
                  <c:v>0.53808476761220447</c:v>
                </c:pt>
                <c:pt idx="278">
                  <c:v>0.96577239368750245</c:v>
                </c:pt>
                <c:pt idx="279">
                  <c:v>1.6173834600428849</c:v>
                </c:pt>
                <c:pt idx="280">
                  <c:v>0.80711396751048525</c:v>
                </c:pt>
                <c:pt idx="281">
                  <c:v>0.33418629709200065</c:v>
                </c:pt>
                <c:pt idx="282">
                  <c:v>0.44233313717515799</c:v>
                </c:pt>
                <c:pt idx="283">
                  <c:v>1.4883351673505389</c:v>
                </c:pt>
                <c:pt idx="284">
                  <c:v>0.3238766277208347</c:v>
                </c:pt>
                <c:pt idx="285">
                  <c:v>0.69953515297464008</c:v>
                </c:pt>
                <c:pt idx="286">
                  <c:v>1.1386343214433392</c:v>
                </c:pt>
                <c:pt idx="287">
                  <c:v>0.6031968639426184</c:v>
                </c:pt>
                <c:pt idx="288">
                  <c:v>1.7883758055288945</c:v>
                </c:pt>
                <c:pt idx="289">
                  <c:v>0.4590169407891489</c:v>
                </c:pt>
                <c:pt idx="290">
                  <c:v>0.68499296660395004</c:v>
                </c:pt>
                <c:pt idx="291">
                  <c:v>1.6157892854411013</c:v>
                </c:pt>
                <c:pt idx="292">
                  <c:v>1.0739216128406168</c:v>
                </c:pt>
                <c:pt idx="293">
                  <c:v>1.2493390813655125</c:v>
                </c:pt>
                <c:pt idx="294">
                  <c:v>1.334990381158053</c:v>
                </c:pt>
                <c:pt idx="295">
                  <c:v>0.8037819399588324</c:v>
                </c:pt>
                <c:pt idx="296">
                  <c:v>0.84111731585270011</c:v>
                </c:pt>
                <c:pt idx="297">
                  <c:v>0.12402925727386016</c:v>
                </c:pt>
                <c:pt idx="298">
                  <c:v>0.88392898776814643</c:v>
                </c:pt>
                <c:pt idx="299">
                  <c:v>0.11066918636840484</c:v>
                </c:pt>
                <c:pt idx="300">
                  <c:v>1.2890887493011896</c:v>
                </c:pt>
                <c:pt idx="301">
                  <c:v>-2.3811144584040989E-2</c:v>
                </c:pt>
                <c:pt idx="302">
                  <c:v>0.80901006804585052</c:v>
                </c:pt>
                <c:pt idx="303">
                  <c:v>0.87281796430502467</c:v>
                </c:pt>
                <c:pt idx="304">
                  <c:v>0.87804587187873651</c:v>
                </c:pt>
                <c:pt idx="305">
                  <c:v>1.4197912263000099</c:v>
                </c:pt>
                <c:pt idx="306">
                  <c:v>0.39022453266172796</c:v>
                </c:pt>
                <c:pt idx="307">
                  <c:v>1.0548345112249455</c:v>
                </c:pt>
                <c:pt idx="308">
                  <c:v>-0.70226895025886371</c:v>
                </c:pt>
                <c:pt idx="309">
                  <c:v>0.69990271517484626</c:v>
                </c:pt>
                <c:pt idx="310">
                  <c:v>0.92503617976799735</c:v>
                </c:pt>
                <c:pt idx="311">
                  <c:v>1.4399708602422967</c:v>
                </c:pt>
                <c:pt idx="312">
                  <c:v>1.6951610547679801</c:v>
                </c:pt>
                <c:pt idx="313">
                  <c:v>1.0918908815275845</c:v>
                </c:pt>
                <c:pt idx="314">
                  <c:v>5.5405268588515355E-3</c:v>
                </c:pt>
                <c:pt idx="315">
                  <c:v>0.55947265802321589</c:v>
                </c:pt>
                <c:pt idx="316">
                  <c:v>0.72926636169333925</c:v>
                </c:pt>
                <c:pt idx="317">
                  <c:v>0.63397263348713651</c:v>
                </c:pt>
                <c:pt idx="318">
                  <c:v>-8.4652284445643211E-2</c:v>
                </c:pt>
                <c:pt idx="319">
                  <c:v>-0.26364568187661241</c:v>
                </c:pt>
                <c:pt idx="320">
                  <c:v>0.52840064335194992</c:v>
                </c:pt>
                <c:pt idx="321">
                  <c:v>1.2416431418913358</c:v>
                </c:pt>
                <c:pt idx="322">
                  <c:v>1.3998820875149791</c:v>
                </c:pt>
                <c:pt idx="323">
                  <c:v>0.36639130383888396</c:v>
                </c:pt>
                <c:pt idx="324">
                  <c:v>0.36897879903268826</c:v>
                </c:pt>
                <c:pt idx="325">
                  <c:v>-0.30597112594128717</c:v>
                </c:pt>
                <c:pt idx="326">
                  <c:v>1.0208478644729553</c:v>
                </c:pt>
                <c:pt idx="327">
                  <c:v>1.4542704501137198</c:v>
                </c:pt>
                <c:pt idx="328">
                  <c:v>0.29567995813522963</c:v>
                </c:pt>
                <c:pt idx="329">
                  <c:v>0.33248558741975121</c:v>
                </c:pt>
                <c:pt idx="330">
                  <c:v>1.914983062595871</c:v>
                </c:pt>
                <c:pt idx="331">
                  <c:v>0.67357353262413611</c:v>
                </c:pt>
                <c:pt idx="332">
                  <c:v>1.2482131221115518</c:v>
                </c:pt>
                <c:pt idx="333">
                  <c:v>1.3777806935388321</c:v>
                </c:pt>
                <c:pt idx="334">
                  <c:v>1.0800555823397229</c:v>
                </c:pt>
                <c:pt idx="335">
                  <c:v>1.2031165171317006</c:v>
                </c:pt>
                <c:pt idx="336">
                  <c:v>0.42774842324364926</c:v>
                </c:pt>
                <c:pt idx="337">
                  <c:v>0.59584551244609063</c:v>
                </c:pt>
                <c:pt idx="338">
                  <c:v>0.94198791629340572</c:v>
                </c:pt>
                <c:pt idx="339">
                  <c:v>0.20351739883486708</c:v>
                </c:pt>
                <c:pt idx="340">
                  <c:v>1.9868289664559375</c:v>
                </c:pt>
                <c:pt idx="341">
                  <c:v>0.50521072903168385</c:v>
                </c:pt>
                <c:pt idx="342">
                  <c:v>0.2672551670451826</c:v>
                </c:pt>
                <c:pt idx="343">
                  <c:v>1.1619084359529284</c:v>
                </c:pt>
                <c:pt idx="344">
                  <c:v>1.2398926042227503</c:v>
                </c:pt>
                <c:pt idx="345">
                  <c:v>-9.2667318025965173E-2</c:v>
                </c:pt>
                <c:pt idx="346">
                  <c:v>1.1680826579443835</c:v>
                </c:pt>
                <c:pt idx="347">
                  <c:v>0.9994675027986748</c:v>
                </c:pt>
                <c:pt idx="348">
                  <c:v>1.0001168117085966</c:v>
                </c:pt>
                <c:pt idx="349">
                  <c:v>0.62626081421491797</c:v>
                </c:pt>
                <c:pt idx="350">
                  <c:v>1.2039049779424387</c:v>
                </c:pt>
                <c:pt idx="351">
                  <c:v>0.70229155240576269</c:v>
                </c:pt>
                <c:pt idx="352">
                  <c:v>0.70462233429050158</c:v>
                </c:pt>
                <c:pt idx="353">
                  <c:v>0.76248039456299921</c:v>
                </c:pt>
                <c:pt idx="354">
                  <c:v>0.1841121308138769</c:v>
                </c:pt>
                <c:pt idx="355">
                  <c:v>1.1297433038841023</c:v>
                </c:pt>
                <c:pt idx="356">
                  <c:v>0.71880004693599187</c:v>
                </c:pt>
                <c:pt idx="357">
                  <c:v>1.3503760287363136</c:v>
                </c:pt>
                <c:pt idx="358">
                  <c:v>-0.17261151351852178</c:v>
                </c:pt>
                <c:pt idx="359">
                  <c:v>1.5682174534036886</c:v>
                </c:pt>
                <c:pt idx="360">
                  <c:v>0.83271480624764038</c:v>
                </c:pt>
                <c:pt idx="361">
                  <c:v>1.0084682447498405</c:v>
                </c:pt>
                <c:pt idx="362">
                  <c:v>0.65451263656429504</c:v>
                </c:pt>
                <c:pt idx="363">
                  <c:v>0.12982105450071835</c:v>
                </c:pt>
                <c:pt idx="364">
                  <c:v>1.1124279153281824</c:v>
                </c:pt>
                <c:pt idx="365">
                  <c:v>0.32068219550050525</c:v>
                </c:pt>
                <c:pt idx="366">
                  <c:v>0.31508222167311395</c:v>
                </c:pt>
                <c:pt idx="367">
                  <c:v>0.86645933962441024</c:v>
                </c:pt>
                <c:pt idx="368">
                  <c:v>0.21657184223744341</c:v>
                </c:pt>
                <c:pt idx="369">
                  <c:v>0.76318635674402113</c:v>
                </c:pt>
                <c:pt idx="370">
                  <c:v>0.2997089762406322</c:v>
                </c:pt>
                <c:pt idx="371">
                  <c:v>0.35731881260019538</c:v>
                </c:pt>
                <c:pt idx="372">
                  <c:v>0.4765402618058161</c:v>
                </c:pt>
                <c:pt idx="373">
                  <c:v>0.18231326524998348</c:v>
                </c:pt>
                <c:pt idx="374">
                  <c:v>0.74485808824649435</c:v>
                </c:pt>
                <c:pt idx="375">
                  <c:v>-0.28662877591689728</c:v>
                </c:pt>
                <c:pt idx="376">
                  <c:v>1.002218467801204</c:v>
                </c:pt>
                <c:pt idx="377">
                  <c:v>0.83659360532513105</c:v>
                </c:pt>
                <c:pt idx="378">
                  <c:v>0.89442588076864116</c:v>
                </c:pt>
                <c:pt idx="379">
                  <c:v>0.95539932849407982</c:v>
                </c:pt>
                <c:pt idx="380">
                  <c:v>1.5117001479830829</c:v>
                </c:pt>
                <c:pt idx="381">
                  <c:v>0.21654640880864129</c:v>
                </c:pt>
                <c:pt idx="382">
                  <c:v>0.4615105597070146</c:v>
                </c:pt>
                <c:pt idx="383">
                  <c:v>0.79537770072647174</c:v>
                </c:pt>
                <c:pt idx="384">
                  <c:v>0.87811564584548574</c:v>
                </c:pt>
                <c:pt idx="385">
                  <c:v>1.1142059653356062</c:v>
                </c:pt>
                <c:pt idx="386">
                  <c:v>0.65329214660476964</c:v>
                </c:pt>
                <c:pt idx="387">
                  <c:v>1.4585221037812151</c:v>
                </c:pt>
                <c:pt idx="388">
                  <c:v>0.4919543104317281</c:v>
                </c:pt>
                <c:pt idx="389">
                  <c:v>1.1928354663544365</c:v>
                </c:pt>
                <c:pt idx="390">
                  <c:v>1.2289774760511811</c:v>
                </c:pt>
                <c:pt idx="391">
                  <c:v>-7.3416165064141836E-3</c:v>
                </c:pt>
                <c:pt idx="392">
                  <c:v>1.6029236972989356</c:v>
                </c:pt>
                <c:pt idx="393">
                  <c:v>0.44666295544510781</c:v>
                </c:pt>
                <c:pt idx="394">
                  <c:v>0.90154982690866259</c:v>
                </c:pt>
                <c:pt idx="395">
                  <c:v>0.27548004726167985</c:v>
                </c:pt>
                <c:pt idx="396">
                  <c:v>0.72286725206565361</c:v>
                </c:pt>
                <c:pt idx="397">
                  <c:v>1.0459237632976475</c:v>
                </c:pt>
                <c:pt idx="398">
                  <c:v>0.79299785374387266</c:v>
                </c:pt>
                <c:pt idx="399">
                  <c:v>-2.7274378456779935E-2</c:v>
                </c:pt>
                <c:pt idx="400">
                  <c:v>0.50959338341368987</c:v>
                </c:pt>
                <c:pt idx="401">
                  <c:v>0.69546236461375521</c:v>
                </c:pt>
                <c:pt idx="402">
                  <c:v>0.81005342740259145</c:v>
                </c:pt>
                <c:pt idx="403">
                  <c:v>0.44389736829245674</c:v>
                </c:pt>
                <c:pt idx="404">
                  <c:v>0.56928922494103507</c:v>
                </c:pt>
                <c:pt idx="405">
                  <c:v>-9.8170126410599856E-2</c:v>
                </c:pt>
                <c:pt idx="406">
                  <c:v>0.40889720237423077</c:v>
                </c:pt>
                <c:pt idx="407">
                  <c:v>0.99233740049881458</c:v>
                </c:pt>
                <c:pt idx="408">
                  <c:v>1.3488336019444631</c:v>
                </c:pt>
                <c:pt idx="409">
                  <c:v>0.67293120814274854</c:v>
                </c:pt>
                <c:pt idx="410">
                  <c:v>-1.8486891172220687E-2</c:v>
                </c:pt>
                <c:pt idx="411">
                  <c:v>1.1971806133712022</c:v>
                </c:pt>
                <c:pt idx="412">
                  <c:v>1.0941830744418279</c:v>
                </c:pt>
                <c:pt idx="413">
                  <c:v>0.98931540771702586</c:v>
                </c:pt>
                <c:pt idx="414">
                  <c:v>1.5933753775617046</c:v>
                </c:pt>
                <c:pt idx="415">
                  <c:v>0.27587309675828209</c:v>
                </c:pt>
                <c:pt idx="416">
                  <c:v>0.29341927064401041</c:v>
                </c:pt>
                <c:pt idx="417">
                  <c:v>1.349076039278752</c:v>
                </c:pt>
                <c:pt idx="418">
                  <c:v>0.1828105577602841</c:v>
                </c:pt>
                <c:pt idx="419">
                  <c:v>0.87756433118104837</c:v>
                </c:pt>
                <c:pt idx="420">
                  <c:v>1.2999760260690838</c:v>
                </c:pt>
                <c:pt idx="421">
                  <c:v>-0.22504433189949147</c:v>
                </c:pt>
                <c:pt idx="422">
                  <c:v>0.80814890868576761</c:v>
                </c:pt>
                <c:pt idx="423">
                  <c:v>0.58811801697045674</c:v>
                </c:pt>
                <c:pt idx="424">
                  <c:v>1.1951505187979494</c:v>
                </c:pt>
                <c:pt idx="425">
                  <c:v>0.41648108561138031</c:v>
                </c:pt>
                <c:pt idx="426">
                  <c:v>0.87322627171126666</c:v>
                </c:pt>
                <c:pt idx="427">
                  <c:v>0.45866949921748823</c:v>
                </c:pt>
                <c:pt idx="428">
                  <c:v>0.89829176652609721</c:v>
                </c:pt>
                <c:pt idx="429">
                  <c:v>0.88748341948440501</c:v>
                </c:pt>
                <c:pt idx="430">
                  <c:v>0.37183675808474526</c:v>
                </c:pt>
                <c:pt idx="431">
                  <c:v>0.49718056039662706</c:v>
                </c:pt>
                <c:pt idx="432">
                  <c:v>-3.9451863706221779E-2</c:v>
                </c:pt>
                <c:pt idx="433">
                  <c:v>0.54644086833034677</c:v>
                </c:pt>
                <c:pt idx="434">
                  <c:v>0.84950572814570346</c:v>
                </c:pt>
                <c:pt idx="435">
                  <c:v>0.39105484093970233</c:v>
                </c:pt>
                <c:pt idx="436">
                  <c:v>1.4692439772308648</c:v>
                </c:pt>
                <c:pt idx="437">
                  <c:v>1.2945895564523093</c:v>
                </c:pt>
                <c:pt idx="438">
                  <c:v>1.5224194354441964</c:v>
                </c:pt>
                <c:pt idx="439">
                  <c:v>1.268102966740825</c:v>
                </c:pt>
                <c:pt idx="440">
                  <c:v>0.41082554154348028</c:v>
                </c:pt>
                <c:pt idx="441">
                  <c:v>0.86160250118794934</c:v>
                </c:pt>
                <c:pt idx="442">
                  <c:v>-0.21511535106093405</c:v>
                </c:pt>
                <c:pt idx="443">
                  <c:v>0.94091913746591427</c:v>
                </c:pt>
                <c:pt idx="444">
                  <c:v>0.62209666026512256</c:v>
                </c:pt>
                <c:pt idx="445">
                  <c:v>0.36337581177440637</c:v>
                </c:pt>
                <c:pt idx="446">
                  <c:v>0.77378237645468229</c:v>
                </c:pt>
                <c:pt idx="447">
                  <c:v>1.2846080425141384</c:v>
                </c:pt>
                <c:pt idx="448">
                  <c:v>0.32754439993402862</c:v>
                </c:pt>
                <c:pt idx="449">
                  <c:v>0.70886053700238794</c:v>
                </c:pt>
                <c:pt idx="450">
                  <c:v>0.9555552452873437</c:v>
                </c:pt>
                <c:pt idx="451">
                  <c:v>0.87289282861390838</c:v>
                </c:pt>
                <c:pt idx="452">
                  <c:v>1.2764053934935591</c:v>
                </c:pt>
                <c:pt idx="453">
                  <c:v>0.88811800946035646</c:v>
                </c:pt>
                <c:pt idx="454">
                  <c:v>0.59183301998518267</c:v>
                </c:pt>
                <c:pt idx="455">
                  <c:v>-0.10296125184342841</c:v>
                </c:pt>
                <c:pt idx="456">
                  <c:v>1.2443940663261079</c:v>
                </c:pt>
                <c:pt idx="457">
                  <c:v>0.9810326900195161</c:v>
                </c:pt>
                <c:pt idx="458">
                  <c:v>1.0370169444222688</c:v>
                </c:pt>
                <c:pt idx="459">
                  <c:v>1.0269384698329569</c:v>
                </c:pt>
                <c:pt idx="460">
                  <c:v>-0.39546676334738873</c:v>
                </c:pt>
                <c:pt idx="461">
                  <c:v>0.57144533262065789</c:v>
                </c:pt>
                <c:pt idx="462">
                  <c:v>0.2619130060685162</c:v>
                </c:pt>
                <c:pt idx="463">
                  <c:v>1.2736712594316062</c:v>
                </c:pt>
                <c:pt idx="464">
                  <c:v>0.43416523807293217</c:v>
                </c:pt>
                <c:pt idx="465">
                  <c:v>0.25766323857928963</c:v>
                </c:pt>
                <c:pt idx="466">
                  <c:v>1.0294220922896731</c:v>
                </c:pt>
                <c:pt idx="467">
                  <c:v>0.8513375096384479</c:v>
                </c:pt>
                <c:pt idx="468">
                  <c:v>0.61244736835965963</c:v>
                </c:pt>
                <c:pt idx="469">
                  <c:v>0.96135733734280748</c:v>
                </c:pt>
                <c:pt idx="470">
                  <c:v>1.9147039108871056E-3</c:v>
                </c:pt>
                <c:pt idx="471">
                  <c:v>0.78712170351716892</c:v>
                </c:pt>
                <c:pt idx="472">
                  <c:v>-0.49624196863480918</c:v>
                </c:pt>
                <c:pt idx="473">
                  <c:v>0.76600854182217404</c:v>
                </c:pt>
                <c:pt idx="474">
                  <c:v>-0.4885226209399729</c:v>
                </c:pt>
                <c:pt idx="475">
                  <c:v>-0.1054000971506861</c:v>
                </c:pt>
                <c:pt idx="476">
                  <c:v>1.6887072605795783</c:v>
                </c:pt>
                <c:pt idx="477">
                  <c:v>0.68183065935355724</c:v>
                </c:pt>
                <c:pt idx="478">
                  <c:v>0.31881888406274239</c:v>
                </c:pt>
                <c:pt idx="479">
                  <c:v>0.56421970443984737</c:v>
                </c:pt>
                <c:pt idx="480">
                  <c:v>0.41506925058765098</c:v>
                </c:pt>
                <c:pt idx="481">
                  <c:v>0.40531675368124187</c:v>
                </c:pt>
                <c:pt idx="482">
                  <c:v>0.27502776466615053</c:v>
                </c:pt>
                <c:pt idx="483">
                  <c:v>1.2458456467103645</c:v>
                </c:pt>
                <c:pt idx="484">
                  <c:v>0.7388073007956395</c:v>
                </c:pt>
                <c:pt idx="485">
                  <c:v>0.50547712262769373</c:v>
                </c:pt>
                <c:pt idx="486">
                  <c:v>0.96735617073010083</c:v>
                </c:pt>
                <c:pt idx="487">
                  <c:v>1.4537693254844521</c:v>
                </c:pt>
                <c:pt idx="488">
                  <c:v>1.3571751853831371</c:v>
                </c:pt>
                <c:pt idx="489">
                  <c:v>0.56657814585405752</c:v>
                </c:pt>
                <c:pt idx="490">
                  <c:v>0.93471385357556258</c:v>
                </c:pt>
                <c:pt idx="491">
                  <c:v>0.99478227075380854</c:v>
                </c:pt>
                <c:pt idx="492">
                  <c:v>-0.13382513939922891</c:v>
                </c:pt>
                <c:pt idx="493">
                  <c:v>1.4148199489726556</c:v>
                </c:pt>
                <c:pt idx="494">
                  <c:v>1.410202235281905</c:v>
                </c:pt>
                <c:pt idx="495">
                  <c:v>1.2502796296244822</c:v>
                </c:pt>
                <c:pt idx="496">
                  <c:v>1.0470966578794636</c:v>
                </c:pt>
                <c:pt idx="497">
                  <c:v>0.65621510631459401</c:v>
                </c:pt>
                <c:pt idx="498">
                  <c:v>0.80667114480495794</c:v>
                </c:pt>
                <c:pt idx="499">
                  <c:v>1.2331057007863997</c:v>
                </c:pt>
                <c:pt idx="500">
                  <c:v>1.0684899404413617</c:v>
                </c:pt>
                <c:pt idx="501">
                  <c:v>0.25298245976054012</c:v>
                </c:pt>
                <c:pt idx="502">
                  <c:v>-0.13593618057341228</c:v>
                </c:pt>
                <c:pt idx="503">
                  <c:v>0.56145022087585517</c:v>
                </c:pt>
                <c:pt idx="504">
                  <c:v>0.58180524471725281</c:v>
                </c:pt>
                <c:pt idx="505">
                  <c:v>0.79624237013858234</c:v>
                </c:pt>
                <c:pt idx="506">
                  <c:v>1.073507565098466</c:v>
                </c:pt>
                <c:pt idx="507">
                  <c:v>0.48621038353469093</c:v>
                </c:pt>
                <c:pt idx="508">
                  <c:v>1.2323390021273211</c:v>
                </c:pt>
                <c:pt idx="509">
                  <c:v>1.0287176839244934</c:v>
                </c:pt>
                <c:pt idx="510">
                  <c:v>0.27810017661414577</c:v>
                </c:pt>
                <c:pt idx="511">
                  <c:v>0.72365862929099656</c:v>
                </c:pt>
                <c:pt idx="512">
                  <c:v>1.2664190479833186</c:v>
                </c:pt>
                <c:pt idx="513">
                  <c:v>0.31259368016115907</c:v>
                </c:pt>
                <c:pt idx="514">
                  <c:v>-4.5203720265210023E-2</c:v>
                </c:pt>
                <c:pt idx="515">
                  <c:v>0.20817411526412677</c:v>
                </c:pt>
                <c:pt idx="516">
                  <c:v>0.90209474953811686</c:v>
                </c:pt>
                <c:pt idx="517">
                  <c:v>-0.34637619741795778</c:v>
                </c:pt>
                <c:pt idx="518">
                  <c:v>0.71802183964219601</c:v>
                </c:pt>
                <c:pt idx="519">
                  <c:v>1.8433018643096775</c:v>
                </c:pt>
                <c:pt idx="520">
                  <c:v>1.0339141939005545</c:v>
                </c:pt>
                <c:pt idx="521">
                  <c:v>0.85809350808780138</c:v>
                </c:pt>
                <c:pt idx="522">
                  <c:v>0.36760434836231592</c:v>
                </c:pt>
                <c:pt idx="523">
                  <c:v>0.21979042700253704</c:v>
                </c:pt>
                <c:pt idx="524">
                  <c:v>0.89683652997270435</c:v>
                </c:pt>
                <c:pt idx="525">
                  <c:v>1.3835824594494435</c:v>
                </c:pt>
                <c:pt idx="526">
                  <c:v>0.8407197230187835</c:v>
                </c:pt>
                <c:pt idx="527">
                  <c:v>0.1445758433021691</c:v>
                </c:pt>
                <c:pt idx="528">
                  <c:v>0.50515566648708266</c:v>
                </c:pt>
                <c:pt idx="529">
                  <c:v>0.76223794009594936</c:v>
                </c:pt>
                <c:pt idx="530">
                  <c:v>0.81756138659046229</c:v>
                </c:pt>
                <c:pt idx="531">
                  <c:v>0.45264379264590282</c:v>
                </c:pt>
                <c:pt idx="532">
                  <c:v>0.12810775008923869</c:v>
                </c:pt>
                <c:pt idx="533">
                  <c:v>0.95150108983642756</c:v>
                </c:pt>
                <c:pt idx="534">
                  <c:v>0.90404154396904168</c:v>
                </c:pt>
                <c:pt idx="535">
                  <c:v>-0.27851663607898658</c:v>
                </c:pt>
                <c:pt idx="536">
                  <c:v>1.0493279034624985</c:v>
                </c:pt>
                <c:pt idx="537">
                  <c:v>0.44679914399784337</c:v>
                </c:pt>
                <c:pt idx="538">
                  <c:v>1.3739701853296964</c:v>
                </c:pt>
                <c:pt idx="539">
                  <c:v>0.20752905520446863</c:v>
                </c:pt>
                <c:pt idx="540">
                  <c:v>0.68981134580182513</c:v>
                </c:pt>
                <c:pt idx="541">
                  <c:v>1.2580823901761304</c:v>
                </c:pt>
                <c:pt idx="542">
                  <c:v>1.4875941995745317</c:v>
                </c:pt>
                <c:pt idx="543">
                  <c:v>0.64238867624081841</c:v>
                </c:pt>
                <c:pt idx="544">
                  <c:v>1.2996291630758012</c:v>
                </c:pt>
                <c:pt idx="545">
                  <c:v>1.0854971628807712</c:v>
                </c:pt>
                <c:pt idx="546">
                  <c:v>0.67348096201080487</c:v>
                </c:pt>
                <c:pt idx="547">
                  <c:v>0.25829649194605508</c:v>
                </c:pt>
                <c:pt idx="548">
                  <c:v>1.0281640926846256</c:v>
                </c:pt>
                <c:pt idx="549">
                  <c:v>1.3654353055964883</c:v>
                </c:pt>
                <c:pt idx="550">
                  <c:v>-8.6544829687386304E-2</c:v>
                </c:pt>
                <c:pt idx="551">
                  <c:v>1.379292388690649</c:v>
                </c:pt>
                <c:pt idx="552">
                  <c:v>0.48950041075989414</c:v>
                </c:pt>
                <c:pt idx="553">
                  <c:v>0.90153775935446756</c:v>
                </c:pt>
                <c:pt idx="554">
                  <c:v>0.92187266539822499</c:v>
                </c:pt>
                <c:pt idx="555">
                  <c:v>0.69500639736167713</c:v>
                </c:pt>
                <c:pt idx="556">
                  <c:v>0.51416795163731521</c:v>
                </c:pt>
                <c:pt idx="557">
                  <c:v>1.0105854193720631</c:v>
                </c:pt>
                <c:pt idx="558">
                  <c:v>1.7997363399222603</c:v>
                </c:pt>
                <c:pt idx="559">
                  <c:v>7.3931216326209359E-2</c:v>
                </c:pt>
                <c:pt idx="560">
                  <c:v>0.68145548698288483</c:v>
                </c:pt>
                <c:pt idx="561">
                  <c:v>1.4372667863593787</c:v>
                </c:pt>
                <c:pt idx="562">
                  <c:v>0.81475946069210003</c:v>
                </c:pt>
                <c:pt idx="563">
                  <c:v>5.0156455756920515E-2</c:v>
                </c:pt>
                <c:pt idx="564">
                  <c:v>0.7447300602205198</c:v>
                </c:pt>
                <c:pt idx="565">
                  <c:v>0.84984863398813637</c:v>
                </c:pt>
                <c:pt idx="566">
                  <c:v>0.73525116866749407</c:v>
                </c:pt>
                <c:pt idx="567">
                  <c:v>0.1156286597776095</c:v>
                </c:pt>
                <c:pt idx="568">
                  <c:v>0.16466606869252409</c:v>
                </c:pt>
                <c:pt idx="569">
                  <c:v>1.2495248495174405</c:v>
                </c:pt>
                <c:pt idx="570">
                  <c:v>0.24314178588797652</c:v>
                </c:pt>
                <c:pt idx="571">
                  <c:v>0.13396657956020874</c:v>
                </c:pt>
                <c:pt idx="572">
                  <c:v>0.86862016838177603</c:v>
                </c:pt>
                <c:pt idx="573">
                  <c:v>0.66196457313232226</c:v>
                </c:pt>
                <c:pt idx="574">
                  <c:v>1.0391560821738466</c:v>
                </c:pt>
                <c:pt idx="575">
                  <c:v>0.86199215856653044</c:v>
                </c:pt>
                <c:pt idx="576">
                  <c:v>0.33501265890320653</c:v>
                </c:pt>
                <c:pt idx="577">
                  <c:v>1.6967263237271526</c:v>
                </c:pt>
                <c:pt idx="578">
                  <c:v>1.3453252626802596</c:v>
                </c:pt>
                <c:pt idx="579">
                  <c:v>1.0322966075135867</c:v>
                </c:pt>
                <c:pt idx="580">
                  <c:v>1.1370782899353786</c:v>
                </c:pt>
                <c:pt idx="581">
                  <c:v>1.3260925510902011</c:v>
                </c:pt>
                <c:pt idx="582">
                  <c:v>1.0831685685969328</c:v>
                </c:pt>
                <c:pt idx="583">
                  <c:v>0.8350399606025265</c:v>
                </c:pt>
                <c:pt idx="584">
                  <c:v>1.4237779938229966</c:v>
                </c:pt>
                <c:pt idx="585">
                  <c:v>1.9504440901224758</c:v>
                </c:pt>
                <c:pt idx="586">
                  <c:v>0.29211222365301559</c:v>
                </c:pt>
                <c:pt idx="587">
                  <c:v>0.59655328344066483</c:v>
                </c:pt>
                <c:pt idx="588">
                  <c:v>1.3697389765216146</c:v>
                </c:pt>
                <c:pt idx="589">
                  <c:v>0.65143405599649107</c:v>
                </c:pt>
                <c:pt idx="590">
                  <c:v>1.3917904829789753</c:v>
                </c:pt>
                <c:pt idx="591">
                  <c:v>0.87955564096815397</c:v>
                </c:pt>
                <c:pt idx="592">
                  <c:v>0.54128013677416398</c:v>
                </c:pt>
                <c:pt idx="593">
                  <c:v>1.0929931332919267</c:v>
                </c:pt>
                <c:pt idx="594">
                  <c:v>0.85144483316538278</c:v>
                </c:pt>
                <c:pt idx="595">
                  <c:v>0.44549698477567201</c:v>
                </c:pt>
                <c:pt idx="596">
                  <c:v>1.0994034264797357</c:v>
                </c:pt>
                <c:pt idx="597">
                  <c:v>0.97880412216084434</c:v>
                </c:pt>
                <c:pt idx="598">
                  <c:v>1.2100097338411704</c:v>
                </c:pt>
                <c:pt idx="599">
                  <c:v>0.14259733107622186</c:v>
                </c:pt>
                <c:pt idx="600">
                  <c:v>0.50866419483005743</c:v>
                </c:pt>
                <c:pt idx="601">
                  <c:v>0.52550334140501587</c:v>
                </c:pt>
                <c:pt idx="602">
                  <c:v>2.1005182622752194E-2</c:v>
                </c:pt>
                <c:pt idx="603">
                  <c:v>2.0581368150028831</c:v>
                </c:pt>
                <c:pt idx="604">
                  <c:v>0.51967190530728491</c:v>
                </c:pt>
                <c:pt idx="605">
                  <c:v>0.1944806633542342</c:v>
                </c:pt>
                <c:pt idx="606">
                  <c:v>6.7950000813720379E-2</c:v>
                </c:pt>
                <c:pt idx="607">
                  <c:v>-6.1770773082778341E-2</c:v>
                </c:pt>
                <c:pt idx="608">
                  <c:v>0.72884877623662003</c:v>
                </c:pt>
                <c:pt idx="609">
                  <c:v>0.73508655169977377</c:v>
                </c:pt>
                <c:pt idx="610">
                  <c:v>0.7503463946930653</c:v>
                </c:pt>
                <c:pt idx="611">
                  <c:v>0.75376867588785146</c:v>
                </c:pt>
                <c:pt idx="612">
                  <c:v>1.4291215206797636</c:v>
                </c:pt>
                <c:pt idx="613">
                  <c:v>1.2844730288942117</c:v>
                </c:pt>
                <c:pt idx="614">
                  <c:v>0.98318450402473978</c:v>
                </c:pt>
                <c:pt idx="615">
                  <c:v>1.3068047315508071</c:v>
                </c:pt>
                <c:pt idx="616">
                  <c:v>0.33713019513721143</c:v>
                </c:pt>
                <c:pt idx="617">
                  <c:v>0.19564362293370774</c:v>
                </c:pt>
                <c:pt idx="618">
                  <c:v>0.15144954677793443</c:v>
                </c:pt>
                <c:pt idx="619">
                  <c:v>1.0321660466230327</c:v>
                </c:pt>
                <c:pt idx="620">
                  <c:v>0.49048507926933915</c:v>
                </c:pt>
                <c:pt idx="621">
                  <c:v>0.65982107066631812</c:v>
                </c:pt>
                <c:pt idx="622">
                  <c:v>8.0102378595614532E-2</c:v>
                </c:pt>
                <c:pt idx="623">
                  <c:v>0.8941516996092691</c:v>
                </c:pt>
                <c:pt idx="624">
                  <c:v>0.51488618711091494</c:v>
                </c:pt>
                <c:pt idx="625">
                  <c:v>0.62524838192600285</c:v>
                </c:pt>
                <c:pt idx="626">
                  <c:v>0.17701675757998903</c:v>
                </c:pt>
                <c:pt idx="627">
                  <c:v>0.63966200067617329</c:v>
                </c:pt>
                <c:pt idx="628">
                  <c:v>1.4985152079568715</c:v>
                </c:pt>
                <c:pt idx="629">
                  <c:v>0.48825553541468025</c:v>
                </c:pt>
                <c:pt idx="630">
                  <c:v>1.0911056910653008</c:v>
                </c:pt>
                <c:pt idx="631">
                  <c:v>2.232970190728345E-2</c:v>
                </c:pt>
                <c:pt idx="632">
                  <c:v>0.94649653604303996</c:v>
                </c:pt>
                <c:pt idx="633">
                  <c:v>0.96410210260497831</c:v>
                </c:pt>
                <c:pt idx="634">
                  <c:v>1.2923169236659566</c:v>
                </c:pt>
                <c:pt idx="635">
                  <c:v>0.15474115351105944</c:v>
                </c:pt>
                <c:pt idx="636">
                  <c:v>0.92900349219711753</c:v>
                </c:pt>
                <c:pt idx="637">
                  <c:v>0.13009728086938743</c:v>
                </c:pt>
                <c:pt idx="638">
                  <c:v>0.22503492602833486</c:v>
                </c:pt>
                <c:pt idx="639">
                  <c:v>0.26069552300966414</c:v>
                </c:pt>
                <c:pt idx="640">
                  <c:v>0.50044442038789771</c:v>
                </c:pt>
                <c:pt idx="641">
                  <c:v>0.42171343157691332</c:v>
                </c:pt>
                <c:pt idx="642">
                  <c:v>0.57645205319870652</c:v>
                </c:pt>
                <c:pt idx="643">
                  <c:v>0.75130483105735379</c:v>
                </c:pt>
                <c:pt idx="644">
                  <c:v>-0.43026450976457653</c:v>
                </c:pt>
                <c:pt idx="645">
                  <c:v>-1.9867907619789626E-2</c:v>
                </c:pt>
                <c:pt idx="646">
                  <c:v>1.1547213610560219</c:v>
                </c:pt>
                <c:pt idx="647">
                  <c:v>0.23143367848175789</c:v>
                </c:pt>
                <c:pt idx="648">
                  <c:v>1.3772569335623723</c:v>
                </c:pt>
                <c:pt idx="649">
                  <c:v>-1.9236129821722514E-3</c:v>
                </c:pt>
                <c:pt idx="650">
                  <c:v>1.0985444983624788</c:v>
                </c:pt>
                <c:pt idx="651">
                  <c:v>0.28040762650218376</c:v>
                </c:pt>
                <c:pt idx="652">
                  <c:v>0.98204896944476605</c:v>
                </c:pt>
                <c:pt idx="653">
                  <c:v>0.28734237754802283</c:v>
                </c:pt>
                <c:pt idx="654">
                  <c:v>0.72431161836960545</c:v>
                </c:pt>
                <c:pt idx="655">
                  <c:v>1.2433489600230061</c:v>
                </c:pt>
                <c:pt idx="656">
                  <c:v>0.6471998775647867</c:v>
                </c:pt>
                <c:pt idx="657">
                  <c:v>1.4862840450580173</c:v>
                </c:pt>
                <c:pt idx="658">
                  <c:v>0.46841071861801353</c:v>
                </c:pt>
                <c:pt idx="659">
                  <c:v>0.82558975401071244</c:v>
                </c:pt>
                <c:pt idx="660">
                  <c:v>1.3625267979680435</c:v>
                </c:pt>
                <c:pt idx="661">
                  <c:v>0.21373022419693832</c:v>
                </c:pt>
                <c:pt idx="662">
                  <c:v>0.66483601637249645</c:v>
                </c:pt>
                <c:pt idx="663">
                  <c:v>0.78101573204735697</c:v>
                </c:pt>
                <c:pt idx="664">
                  <c:v>1.512332446975738</c:v>
                </c:pt>
                <c:pt idx="665">
                  <c:v>5.3044797021186696E-3</c:v>
                </c:pt>
                <c:pt idx="666">
                  <c:v>1.282604613075784</c:v>
                </c:pt>
                <c:pt idx="667">
                  <c:v>0.39077980920272992</c:v>
                </c:pt>
                <c:pt idx="668">
                  <c:v>0.66161577379337277</c:v>
                </c:pt>
                <c:pt idx="669">
                  <c:v>0.28686212844142034</c:v>
                </c:pt>
                <c:pt idx="670">
                  <c:v>0.50636883978767866</c:v>
                </c:pt>
                <c:pt idx="671">
                  <c:v>0.89628748164864103</c:v>
                </c:pt>
                <c:pt idx="672">
                  <c:v>0.21062263865611186</c:v>
                </c:pt>
                <c:pt idx="673">
                  <c:v>0.64556745606389754</c:v>
                </c:pt>
                <c:pt idx="674">
                  <c:v>0.96268565305101816</c:v>
                </c:pt>
                <c:pt idx="675">
                  <c:v>-0.20821739515872562</c:v>
                </c:pt>
                <c:pt idx="676">
                  <c:v>0.25914911609491398</c:v>
                </c:pt>
                <c:pt idx="677">
                  <c:v>1.0096682368064283</c:v>
                </c:pt>
                <c:pt idx="678">
                  <c:v>9.0932317168908483E-2</c:v>
                </c:pt>
                <c:pt idx="679">
                  <c:v>0.23704898250262474</c:v>
                </c:pt>
                <c:pt idx="680">
                  <c:v>-0.47673671843646037</c:v>
                </c:pt>
                <c:pt idx="681">
                  <c:v>1.2834208934090388</c:v>
                </c:pt>
                <c:pt idx="682">
                  <c:v>0.59899929598747725</c:v>
                </c:pt>
                <c:pt idx="683">
                  <c:v>0.96643158014518971</c:v>
                </c:pt>
                <c:pt idx="684">
                  <c:v>1.1639327395362322</c:v>
                </c:pt>
                <c:pt idx="685">
                  <c:v>1.2688620509826549</c:v>
                </c:pt>
                <c:pt idx="686">
                  <c:v>0.21971333308083629</c:v>
                </c:pt>
                <c:pt idx="687">
                  <c:v>0.88140191045506988</c:v>
                </c:pt>
                <c:pt idx="688">
                  <c:v>1.4165157840670872</c:v>
                </c:pt>
                <c:pt idx="689">
                  <c:v>1.661825458131613</c:v>
                </c:pt>
                <c:pt idx="690">
                  <c:v>1.3941902606402872</c:v>
                </c:pt>
                <c:pt idx="691">
                  <c:v>0.55515883515503628</c:v>
                </c:pt>
                <c:pt idx="692">
                  <c:v>0.5106103803271056</c:v>
                </c:pt>
                <c:pt idx="693">
                  <c:v>0.51155156465689089</c:v>
                </c:pt>
                <c:pt idx="694">
                  <c:v>0.71173649119300997</c:v>
                </c:pt>
                <c:pt idx="695">
                  <c:v>2.0315673050910297</c:v>
                </c:pt>
                <c:pt idx="696">
                  <c:v>0.50217372387148185</c:v>
                </c:pt>
                <c:pt idx="697">
                  <c:v>0.51411258086058975</c:v>
                </c:pt>
                <c:pt idx="698">
                  <c:v>1.0524232321808293</c:v>
                </c:pt>
                <c:pt idx="699">
                  <c:v>1.2614810308507236</c:v>
                </c:pt>
                <c:pt idx="700">
                  <c:v>0.65098133569939254</c:v>
                </c:pt>
                <c:pt idx="701">
                  <c:v>0.70496987855759219</c:v>
                </c:pt>
                <c:pt idx="702">
                  <c:v>1.1249077781712495</c:v>
                </c:pt>
                <c:pt idx="703">
                  <c:v>0.25840516728286378</c:v>
                </c:pt>
                <c:pt idx="704">
                  <c:v>0.46156300878847034</c:v>
                </c:pt>
                <c:pt idx="705">
                  <c:v>1.3723180924895324</c:v>
                </c:pt>
                <c:pt idx="706">
                  <c:v>0.19712817713391928</c:v>
                </c:pt>
                <c:pt idx="707">
                  <c:v>1.0497591485743181</c:v>
                </c:pt>
                <c:pt idx="708">
                  <c:v>1.4120795759302798</c:v>
                </c:pt>
                <c:pt idx="709">
                  <c:v>0.63385688618838465</c:v>
                </c:pt>
                <c:pt idx="710">
                  <c:v>0.36872903381207767</c:v>
                </c:pt>
                <c:pt idx="711">
                  <c:v>1.0990208766493508</c:v>
                </c:pt>
                <c:pt idx="712">
                  <c:v>0.74865011512016366</c:v>
                </c:pt>
                <c:pt idx="713">
                  <c:v>0.6126418981560775</c:v>
                </c:pt>
                <c:pt idx="714">
                  <c:v>0.48002817623433636</c:v>
                </c:pt>
                <c:pt idx="715">
                  <c:v>0.5866771298217559</c:v>
                </c:pt>
                <c:pt idx="716">
                  <c:v>1.5575919421211788</c:v>
                </c:pt>
                <c:pt idx="717">
                  <c:v>0.65355678605669709</c:v>
                </c:pt>
                <c:pt idx="718">
                  <c:v>0.42252625626128104</c:v>
                </c:pt>
                <c:pt idx="719">
                  <c:v>1.1549377758198052</c:v>
                </c:pt>
                <c:pt idx="720">
                  <c:v>1.1381595170602088</c:v>
                </c:pt>
                <c:pt idx="721">
                  <c:v>1.1471752009024794</c:v>
                </c:pt>
                <c:pt idx="722">
                  <c:v>-0.4397571980654309</c:v>
                </c:pt>
                <c:pt idx="723">
                  <c:v>0.86250284826242929</c:v>
                </c:pt>
                <c:pt idx="724">
                  <c:v>1.6344040218529177</c:v>
                </c:pt>
                <c:pt idx="725">
                  <c:v>0.58901922129107298</c:v>
                </c:pt>
                <c:pt idx="726">
                  <c:v>0.53500195790003424</c:v>
                </c:pt>
                <c:pt idx="727">
                  <c:v>0.9002260256610235</c:v>
                </c:pt>
                <c:pt idx="728">
                  <c:v>1.2209598868483535</c:v>
                </c:pt>
                <c:pt idx="729">
                  <c:v>0.49313878102017839</c:v>
                </c:pt>
                <c:pt idx="730">
                  <c:v>-8.5944279735872264E-2</c:v>
                </c:pt>
                <c:pt idx="731">
                  <c:v>0.11204959818118265</c:v>
                </c:pt>
                <c:pt idx="732">
                  <c:v>0.78795116169228496</c:v>
                </c:pt>
                <c:pt idx="733">
                  <c:v>-0.53908995567288187</c:v>
                </c:pt>
                <c:pt idx="734">
                  <c:v>1.1232784420575568</c:v>
                </c:pt>
                <c:pt idx="735">
                  <c:v>0.60388629100762881</c:v>
                </c:pt>
                <c:pt idx="736">
                  <c:v>1.6278973087692732</c:v>
                </c:pt>
                <c:pt idx="737">
                  <c:v>0.76880549671566545</c:v>
                </c:pt>
                <c:pt idx="738">
                  <c:v>-9.1105298490095521E-2</c:v>
                </c:pt>
                <c:pt idx="739">
                  <c:v>1.565688150045859</c:v>
                </c:pt>
                <c:pt idx="740">
                  <c:v>0.55907837993065623</c:v>
                </c:pt>
                <c:pt idx="741">
                  <c:v>0.87359690142328983</c:v>
                </c:pt>
                <c:pt idx="742">
                  <c:v>-3.4658502426525573E-3</c:v>
                </c:pt>
                <c:pt idx="743">
                  <c:v>1.06327885686862</c:v>
                </c:pt>
                <c:pt idx="744">
                  <c:v>0.34491174175587425</c:v>
                </c:pt>
                <c:pt idx="745">
                  <c:v>0.3709145371285647</c:v>
                </c:pt>
                <c:pt idx="746">
                  <c:v>1.9217519758515937</c:v>
                </c:pt>
                <c:pt idx="747">
                  <c:v>1.1891915945091611</c:v>
                </c:pt>
                <c:pt idx="748">
                  <c:v>1.1934437512972602</c:v>
                </c:pt>
                <c:pt idx="749">
                  <c:v>0.54701312229262733</c:v>
                </c:pt>
                <c:pt idx="750">
                  <c:v>-0.29567173313323902</c:v>
                </c:pt>
                <c:pt idx="751">
                  <c:v>4.094637596680073E-2</c:v>
                </c:pt>
                <c:pt idx="752">
                  <c:v>1.3734330686965723</c:v>
                </c:pt>
                <c:pt idx="753">
                  <c:v>0.98488222109652135</c:v>
                </c:pt>
                <c:pt idx="754">
                  <c:v>1.3225878600200121</c:v>
                </c:pt>
                <c:pt idx="755">
                  <c:v>0.61537822977763756</c:v>
                </c:pt>
                <c:pt idx="756">
                  <c:v>0.41459802008884949</c:v>
                </c:pt>
                <c:pt idx="757">
                  <c:v>0.66207677488583005</c:v>
                </c:pt>
                <c:pt idx="758">
                  <c:v>0.76223563039213715</c:v>
                </c:pt>
                <c:pt idx="759">
                  <c:v>0.5392135082092544</c:v>
                </c:pt>
                <c:pt idx="760">
                  <c:v>0.1421762572510703</c:v>
                </c:pt>
                <c:pt idx="761">
                  <c:v>0.95825177001222528</c:v>
                </c:pt>
                <c:pt idx="762">
                  <c:v>0.80822046411091542</c:v>
                </c:pt>
                <c:pt idx="763">
                  <c:v>1.0461877582649253</c:v>
                </c:pt>
                <c:pt idx="764">
                  <c:v>0.91640592039867208</c:v>
                </c:pt>
                <c:pt idx="765">
                  <c:v>1.2829822478580786</c:v>
                </c:pt>
                <c:pt idx="766">
                  <c:v>0.95599677629302882</c:v>
                </c:pt>
                <c:pt idx="767">
                  <c:v>1.3513013293689182</c:v>
                </c:pt>
                <c:pt idx="768">
                  <c:v>0.29210038691524609</c:v>
                </c:pt>
                <c:pt idx="769">
                  <c:v>0.53318407439451221</c:v>
                </c:pt>
                <c:pt idx="770">
                  <c:v>0.51766539959925773</c:v>
                </c:pt>
                <c:pt idx="771">
                  <c:v>0.44479179191018936</c:v>
                </c:pt>
                <c:pt idx="772">
                  <c:v>1.5307733667462289</c:v>
                </c:pt>
                <c:pt idx="773">
                  <c:v>0.78735149940336147</c:v>
                </c:pt>
                <c:pt idx="774">
                  <c:v>2.107098653713785</c:v>
                </c:pt>
                <c:pt idx="775">
                  <c:v>0.45564895221656254</c:v>
                </c:pt>
                <c:pt idx="776">
                  <c:v>1.3907583773292949</c:v>
                </c:pt>
                <c:pt idx="777">
                  <c:v>-6.7469506155374503E-2</c:v>
                </c:pt>
                <c:pt idx="778">
                  <c:v>0.3171075690111147</c:v>
                </c:pt>
                <c:pt idx="779">
                  <c:v>1.3880132209780003</c:v>
                </c:pt>
                <c:pt idx="780">
                  <c:v>-0.21353735062009527</c:v>
                </c:pt>
                <c:pt idx="781">
                  <c:v>0.90127376983072249</c:v>
                </c:pt>
                <c:pt idx="782">
                  <c:v>0.29909040138798648</c:v>
                </c:pt>
                <c:pt idx="783">
                  <c:v>0.50204693391061372</c:v>
                </c:pt>
                <c:pt idx="784">
                  <c:v>0.65536286065233718</c:v>
                </c:pt>
                <c:pt idx="785">
                  <c:v>0.37333164419905529</c:v>
                </c:pt>
                <c:pt idx="786">
                  <c:v>0.52857070666170802</c:v>
                </c:pt>
                <c:pt idx="787">
                  <c:v>1.3828483284607556</c:v>
                </c:pt>
                <c:pt idx="788">
                  <c:v>0.96407827446935812</c:v>
                </c:pt>
                <c:pt idx="789">
                  <c:v>0.80923838687917815</c:v>
                </c:pt>
                <c:pt idx="790">
                  <c:v>1.0703150899774947</c:v>
                </c:pt>
                <c:pt idx="791">
                  <c:v>1.0899784848975624</c:v>
                </c:pt>
                <c:pt idx="792">
                  <c:v>0.44496159908258459</c:v>
                </c:pt>
                <c:pt idx="793">
                  <c:v>0.35807183134091414</c:v>
                </c:pt>
                <c:pt idx="794">
                  <c:v>0.72933849548605334</c:v>
                </c:pt>
                <c:pt idx="795">
                  <c:v>0.85829235385954661</c:v>
                </c:pt>
                <c:pt idx="796">
                  <c:v>0.63341061942812882</c:v>
                </c:pt>
                <c:pt idx="797">
                  <c:v>1.0503946397756456</c:v>
                </c:pt>
                <c:pt idx="798">
                  <c:v>0.33374440890254142</c:v>
                </c:pt>
                <c:pt idx="799">
                  <c:v>0.37278111229905342</c:v>
                </c:pt>
                <c:pt idx="800">
                  <c:v>0.4382423466344072</c:v>
                </c:pt>
                <c:pt idx="801">
                  <c:v>1.4125870922790726</c:v>
                </c:pt>
                <c:pt idx="802">
                  <c:v>0.98348986650692094</c:v>
                </c:pt>
                <c:pt idx="803">
                  <c:v>0.89722304389222352</c:v>
                </c:pt>
                <c:pt idx="804">
                  <c:v>0.73320914485519229</c:v>
                </c:pt>
                <c:pt idx="805">
                  <c:v>0.80134318562502926</c:v>
                </c:pt>
                <c:pt idx="806">
                  <c:v>0.53217970950629567</c:v>
                </c:pt>
                <c:pt idx="807">
                  <c:v>0.25292736674811955</c:v>
                </c:pt>
                <c:pt idx="808">
                  <c:v>0.1586419262778147</c:v>
                </c:pt>
                <c:pt idx="809">
                  <c:v>1.2348080902889791</c:v>
                </c:pt>
                <c:pt idx="810">
                  <c:v>0.76825270505679022</c:v>
                </c:pt>
                <c:pt idx="811">
                  <c:v>0.47537335123065905</c:v>
                </c:pt>
                <c:pt idx="812">
                  <c:v>0.63763158043951584</c:v>
                </c:pt>
                <c:pt idx="813">
                  <c:v>1.0934146444412152</c:v>
                </c:pt>
                <c:pt idx="814">
                  <c:v>0.81083364272007774</c:v>
                </c:pt>
                <c:pt idx="815">
                  <c:v>0.8017963894182083</c:v>
                </c:pt>
                <c:pt idx="816">
                  <c:v>0.91810845839615851</c:v>
                </c:pt>
                <c:pt idx="817">
                  <c:v>1.4761577231124408</c:v>
                </c:pt>
                <c:pt idx="818">
                  <c:v>0.81056020526452688</c:v>
                </c:pt>
                <c:pt idx="819">
                  <c:v>0.95571687270524297</c:v>
                </c:pt>
                <c:pt idx="820">
                  <c:v>0.70399054253675519</c:v>
                </c:pt>
                <c:pt idx="821">
                  <c:v>0.81984621636710031</c:v>
                </c:pt>
                <c:pt idx="822">
                  <c:v>0.43155762720938018</c:v>
                </c:pt>
                <c:pt idx="823">
                  <c:v>0.26105709342199379</c:v>
                </c:pt>
                <c:pt idx="824">
                  <c:v>1.1035655563813593</c:v>
                </c:pt>
                <c:pt idx="825">
                  <c:v>0.75290261875553366</c:v>
                </c:pt>
                <c:pt idx="826">
                  <c:v>1.4530854923466308</c:v>
                </c:pt>
                <c:pt idx="827">
                  <c:v>1.0165458876885287</c:v>
                </c:pt>
                <c:pt idx="828">
                  <c:v>0.68125253883565939</c:v>
                </c:pt>
                <c:pt idx="829">
                  <c:v>0.39199065344962225</c:v>
                </c:pt>
                <c:pt idx="830">
                  <c:v>0.73653647888457208</c:v>
                </c:pt>
                <c:pt idx="831">
                  <c:v>1.3646208607351626</c:v>
                </c:pt>
                <c:pt idx="832">
                  <c:v>-4.5748617140002779E-2</c:v>
                </c:pt>
                <c:pt idx="833">
                  <c:v>0.79929920829353041</c:v>
                </c:pt>
                <c:pt idx="834">
                  <c:v>0.13708522790046906</c:v>
                </c:pt>
                <c:pt idx="835">
                  <c:v>1.3112738897518295</c:v>
                </c:pt>
                <c:pt idx="836">
                  <c:v>1.1711274951425032</c:v>
                </c:pt>
                <c:pt idx="837">
                  <c:v>0.15893059827689537</c:v>
                </c:pt>
                <c:pt idx="838">
                  <c:v>0.79746213625191764</c:v>
                </c:pt>
                <c:pt idx="839">
                  <c:v>0.25932747635162201</c:v>
                </c:pt>
                <c:pt idx="840">
                  <c:v>1.082223979217491</c:v>
                </c:pt>
                <c:pt idx="841">
                  <c:v>0.9162850488202281</c:v>
                </c:pt>
                <c:pt idx="842">
                  <c:v>1.3491738008925127</c:v>
                </c:pt>
                <c:pt idx="843">
                  <c:v>1.5764355902558611</c:v>
                </c:pt>
                <c:pt idx="844">
                  <c:v>1.0902492758625355</c:v>
                </c:pt>
                <c:pt idx="845">
                  <c:v>2.8144245437530238</c:v>
                </c:pt>
                <c:pt idx="846">
                  <c:v>-0.4378713881280385</c:v>
                </c:pt>
                <c:pt idx="847">
                  <c:v>0.2822870751267148</c:v>
                </c:pt>
                <c:pt idx="848">
                  <c:v>0.28643490836194196</c:v>
                </c:pt>
                <c:pt idx="849">
                  <c:v>1.7697146327710938</c:v>
                </c:pt>
                <c:pt idx="850">
                  <c:v>0.96131163227531324</c:v>
                </c:pt>
                <c:pt idx="851">
                  <c:v>1.096573623711679</c:v>
                </c:pt>
                <c:pt idx="852">
                  <c:v>0.94816898500784408</c:v>
                </c:pt>
                <c:pt idx="853">
                  <c:v>1.2254973570558434</c:v>
                </c:pt>
                <c:pt idx="854">
                  <c:v>0.9843429259283063</c:v>
                </c:pt>
                <c:pt idx="855">
                  <c:v>1.1138121890128776</c:v>
                </c:pt>
                <c:pt idx="856">
                  <c:v>-9.5039961835774456E-2</c:v>
                </c:pt>
                <c:pt idx="857">
                  <c:v>0.67080485904073317</c:v>
                </c:pt>
                <c:pt idx="858">
                  <c:v>0.99031182603468704</c:v>
                </c:pt>
                <c:pt idx="859">
                  <c:v>0.53526539161422804</c:v>
                </c:pt>
                <c:pt idx="860">
                  <c:v>1.3729674251817965</c:v>
                </c:pt>
                <c:pt idx="861">
                  <c:v>0.35754914641936875</c:v>
                </c:pt>
                <c:pt idx="862">
                  <c:v>1.2518768445140385</c:v>
                </c:pt>
                <c:pt idx="863">
                  <c:v>0.79187564125391852</c:v>
                </c:pt>
                <c:pt idx="864">
                  <c:v>0.37553434157311294</c:v>
                </c:pt>
                <c:pt idx="865">
                  <c:v>0.9383346032744786</c:v>
                </c:pt>
                <c:pt idx="866">
                  <c:v>1.2773121545380741</c:v>
                </c:pt>
                <c:pt idx="867">
                  <c:v>0.85700420164966573</c:v>
                </c:pt>
                <c:pt idx="868">
                  <c:v>0.38061570820782187</c:v>
                </c:pt>
                <c:pt idx="869">
                  <c:v>0.8238934262169515</c:v>
                </c:pt>
                <c:pt idx="870">
                  <c:v>-0.12341520191362143</c:v>
                </c:pt>
                <c:pt idx="871">
                  <c:v>1.1761444200345883</c:v>
                </c:pt>
                <c:pt idx="872">
                  <c:v>0.7476700978832298</c:v>
                </c:pt>
                <c:pt idx="873">
                  <c:v>0.66776243149339987</c:v>
                </c:pt>
                <c:pt idx="874">
                  <c:v>0.28445184356762798</c:v>
                </c:pt>
                <c:pt idx="875">
                  <c:v>0.47765340676531398</c:v>
                </c:pt>
                <c:pt idx="876">
                  <c:v>0.39112791422896542</c:v>
                </c:pt>
                <c:pt idx="877">
                  <c:v>1.2078242932153875</c:v>
                </c:pt>
                <c:pt idx="878">
                  <c:v>0.61399472485084328</c:v>
                </c:pt>
                <c:pt idx="879">
                  <c:v>1.0133924224384518</c:v>
                </c:pt>
                <c:pt idx="880">
                  <c:v>0.50296048121944281</c:v>
                </c:pt>
                <c:pt idx="881">
                  <c:v>0.74669967542501237</c:v>
                </c:pt>
                <c:pt idx="882">
                  <c:v>0.67228997520863221</c:v>
                </c:pt>
                <c:pt idx="883">
                  <c:v>0.42773489834726952</c:v>
                </c:pt>
                <c:pt idx="884">
                  <c:v>0.59309370534268968</c:v>
                </c:pt>
                <c:pt idx="885">
                  <c:v>0.70845010001220476</c:v>
                </c:pt>
                <c:pt idx="886">
                  <c:v>0.81947218375546615</c:v>
                </c:pt>
                <c:pt idx="887">
                  <c:v>0.81066946692473252</c:v>
                </c:pt>
                <c:pt idx="888">
                  <c:v>1.1236592263662111</c:v>
                </c:pt>
                <c:pt idx="889">
                  <c:v>0.38548001715638414</c:v>
                </c:pt>
                <c:pt idx="890">
                  <c:v>0.5436031701054711</c:v>
                </c:pt>
                <c:pt idx="891">
                  <c:v>0.71368424816505183</c:v>
                </c:pt>
                <c:pt idx="892">
                  <c:v>0.44527000808567241</c:v>
                </c:pt>
                <c:pt idx="893">
                  <c:v>1.39960841800458</c:v>
                </c:pt>
                <c:pt idx="894">
                  <c:v>-0.18464709967007398</c:v>
                </c:pt>
                <c:pt idx="895">
                  <c:v>0.56359567388400311</c:v>
                </c:pt>
                <c:pt idx="896">
                  <c:v>0.72888512163408947</c:v>
                </c:pt>
                <c:pt idx="897">
                  <c:v>1.4275689382953889</c:v>
                </c:pt>
                <c:pt idx="898">
                  <c:v>0.60228040971737151</c:v>
                </c:pt>
                <c:pt idx="899">
                  <c:v>1.3794424008529589</c:v>
                </c:pt>
                <c:pt idx="900">
                  <c:v>1.2419077860789116</c:v>
                </c:pt>
                <c:pt idx="901">
                  <c:v>0.62442134686271888</c:v>
                </c:pt>
                <c:pt idx="902">
                  <c:v>-0.27320828597687452</c:v>
                </c:pt>
                <c:pt idx="903">
                  <c:v>1.2713434105673471</c:v>
                </c:pt>
                <c:pt idx="904">
                  <c:v>1.0950470595992705</c:v>
                </c:pt>
                <c:pt idx="905">
                  <c:v>0.74192019244507268</c:v>
                </c:pt>
                <c:pt idx="906">
                  <c:v>1.2592282475561269</c:v>
                </c:pt>
                <c:pt idx="907">
                  <c:v>0.9783895723468401</c:v>
                </c:pt>
                <c:pt idx="908">
                  <c:v>1.2401388118879719</c:v>
                </c:pt>
                <c:pt idx="909">
                  <c:v>1.1964781812896881</c:v>
                </c:pt>
                <c:pt idx="910">
                  <c:v>0.81469206549823792</c:v>
                </c:pt>
                <c:pt idx="911">
                  <c:v>0.98683539713770951</c:v>
                </c:pt>
                <c:pt idx="912">
                  <c:v>1.15483650253638</c:v>
                </c:pt>
                <c:pt idx="913">
                  <c:v>3.982859591332133E-2</c:v>
                </c:pt>
                <c:pt idx="914">
                  <c:v>0.88933445507766784</c:v>
                </c:pt>
                <c:pt idx="915">
                  <c:v>0.37989435927020132</c:v>
                </c:pt>
                <c:pt idx="916">
                  <c:v>0.21943267988480564</c:v>
                </c:pt>
                <c:pt idx="917">
                  <c:v>0.54853363745252093</c:v>
                </c:pt>
                <c:pt idx="918">
                  <c:v>1.2512243229230151</c:v>
                </c:pt>
                <c:pt idx="919">
                  <c:v>-0.20655033636827547</c:v>
                </c:pt>
                <c:pt idx="920">
                  <c:v>0.58317360542334473</c:v>
                </c:pt>
                <c:pt idx="921">
                  <c:v>1.4501585297521249</c:v>
                </c:pt>
                <c:pt idx="922">
                  <c:v>2.1833989710141388E-2</c:v>
                </c:pt>
                <c:pt idx="923">
                  <c:v>0.72533309315628536</c:v>
                </c:pt>
                <c:pt idx="924">
                  <c:v>0.501010668940439</c:v>
                </c:pt>
                <c:pt idx="925">
                  <c:v>1.2868489012919033</c:v>
                </c:pt>
                <c:pt idx="926">
                  <c:v>-4.1637804647396415E-2</c:v>
                </c:pt>
                <c:pt idx="927">
                  <c:v>0.71026703573372085</c:v>
                </c:pt>
                <c:pt idx="928">
                  <c:v>1.1165281356636871</c:v>
                </c:pt>
                <c:pt idx="929">
                  <c:v>0.43177658640534577</c:v>
                </c:pt>
                <c:pt idx="930">
                  <c:v>1.1846121590149279</c:v>
                </c:pt>
                <c:pt idx="931">
                  <c:v>0.40138279806942201</c:v>
                </c:pt>
                <c:pt idx="932">
                  <c:v>0.55304282048354914</c:v>
                </c:pt>
                <c:pt idx="933">
                  <c:v>0.894355823348711</c:v>
                </c:pt>
                <c:pt idx="934">
                  <c:v>0.2373916905025677</c:v>
                </c:pt>
                <c:pt idx="935">
                  <c:v>0.85199342031824621</c:v>
                </c:pt>
                <c:pt idx="936">
                  <c:v>0.85472496822776023</c:v>
                </c:pt>
                <c:pt idx="937">
                  <c:v>1.0981182385864923</c:v>
                </c:pt>
                <c:pt idx="938">
                  <c:v>0.58945265941010039</c:v>
                </c:pt>
                <c:pt idx="939">
                  <c:v>0.57869188451329201</c:v>
                </c:pt>
                <c:pt idx="940">
                  <c:v>0.77685710813693287</c:v>
                </c:pt>
                <c:pt idx="941">
                  <c:v>1.3176212939931808</c:v>
                </c:pt>
                <c:pt idx="942">
                  <c:v>1.0618464530595464</c:v>
                </c:pt>
                <c:pt idx="943">
                  <c:v>0.29826508915197092</c:v>
                </c:pt>
                <c:pt idx="944">
                  <c:v>0.83369595819049636</c:v>
                </c:pt>
                <c:pt idx="945">
                  <c:v>0.27306632604697967</c:v>
                </c:pt>
                <c:pt idx="946">
                  <c:v>0.71494410382927231</c:v>
                </c:pt>
                <c:pt idx="947">
                  <c:v>1.3500591241663988</c:v>
                </c:pt>
                <c:pt idx="948">
                  <c:v>0.45859212860291354</c:v>
                </c:pt>
                <c:pt idx="949">
                  <c:v>1.3203133341826874</c:v>
                </c:pt>
                <c:pt idx="950">
                  <c:v>1.4388621650898292</c:v>
                </c:pt>
                <c:pt idx="951">
                  <c:v>1.3771575056240035</c:v>
                </c:pt>
                <c:pt idx="952">
                  <c:v>0.2124726014024434</c:v>
                </c:pt>
                <c:pt idx="953">
                  <c:v>0.73913364301365281</c:v>
                </c:pt>
                <c:pt idx="954">
                  <c:v>7.4725632119562846E-2</c:v>
                </c:pt>
                <c:pt idx="955">
                  <c:v>0.59001355051680093</c:v>
                </c:pt>
                <c:pt idx="956">
                  <c:v>0.10626906196440356</c:v>
                </c:pt>
                <c:pt idx="957">
                  <c:v>1.1393743651686918</c:v>
                </c:pt>
                <c:pt idx="958">
                  <c:v>0.49719335356721572</c:v>
                </c:pt>
                <c:pt idx="959">
                  <c:v>-0.17856895639248282</c:v>
                </c:pt>
                <c:pt idx="960">
                  <c:v>0.34183160101048848</c:v>
                </c:pt>
                <c:pt idx="961">
                  <c:v>0.84441855620402073</c:v>
                </c:pt>
                <c:pt idx="962">
                  <c:v>1.0447285837830327</c:v>
                </c:pt>
                <c:pt idx="963">
                  <c:v>1.1143587921464428</c:v>
                </c:pt>
                <c:pt idx="964">
                  <c:v>0.54478418654006777</c:v>
                </c:pt>
                <c:pt idx="965">
                  <c:v>-0.1294180945628387</c:v>
                </c:pt>
                <c:pt idx="966">
                  <c:v>0.72053526836572424</c:v>
                </c:pt>
                <c:pt idx="967">
                  <c:v>1.5326109280886078</c:v>
                </c:pt>
                <c:pt idx="968">
                  <c:v>0.55320651193788795</c:v>
                </c:pt>
                <c:pt idx="969">
                  <c:v>0.35207850430280363</c:v>
                </c:pt>
                <c:pt idx="970">
                  <c:v>1.103282609100491</c:v>
                </c:pt>
                <c:pt idx="971">
                  <c:v>0.20850793693633385</c:v>
                </c:pt>
                <c:pt idx="972">
                  <c:v>0.87182284904950347</c:v>
                </c:pt>
                <c:pt idx="973">
                  <c:v>0.71716370812513208</c:v>
                </c:pt>
                <c:pt idx="974">
                  <c:v>0.50249063127360039</c:v>
                </c:pt>
                <c:pt idx="975">
                  <c:v>1.1274315633942225</c:v>
                </c:pt>
                <c:pt idx="976">
                  <c:v>0.91955746410370587</c:v>
                </c:pt>
                <c:pt idx="977">
                  <c:v>0.51309754057641577</c:v>
                </c:pt>
                <c:pt idx="978">
                  <c:v>0.5290967730022782</c:v>
                </c:pt>
                <c:pt idx="979">
                  <c:v>0.76836681390377937</c:v>
                </c:pt>
                <c:pt idx="980">
                  <c:v>0.8337762721919324</c:v>
                </c:pt>
                <c:pt idx="981">
                  <c:v>-7.2578649738207268E-2</c:v>
                </c:pt>
                <c:pt idx="982">
                  <c:v>0.33551512117563842</c:v>
                </c:pt>
                <c:pt idx="983">
                  <c:v>1.6081839810219476</c:v>
                </c:pt>
                <c:pt idx="984">
                  <c:v>1.9489824643104541</c:v>
                </c:pt>
                <c:pt idx="985">
                  <c:v>0.52641289258864088</c:v>
                </c:pt>
                <c:pt idx="986">
                  <c:v>0.56623284582023903</c:v>
                </c:pt>
                <c:pt idx="987">
                  <c:v>1.155434975030718</c:v>
                </c:pt>
                <c:pt idx="988">
                  <c:v>0.17491582872408529</c:v>
                </c:pt>
                <c:pt idx="989">
                  <c:v>7.0847321559123877E-2</c:v>
                </c:pt>
                <c:pt idx="990">
                  <c:v>1.5858709597084628</c:v>
                </c:pt>
                <c:pt idx="991">
                  <c:v>1.4088491123742637</c:v>
                </c:pt>
                <c:pt idx="992">
                  <c:v>0.64570184775507489</c:v>
                </c:pt>
                <c:pt idx="993">
                  <c:v>0.97043035755783169</c:v>
                </c:pt>
                <c:pt idx="994">
                  <c:v>1.0845982138219767</c:v>
                </c:pt>
                <c:pt idx="995">
                  <c:v>0.72828698585868867</c:v>
                </c:pt>
                <c:pt idx="996">
                  <c:v>1.1411427568041654</c:v>
                </c:pt>
                <c:pt idx="997">
                  <c:v>0.66075282041090233</c:v>
                </c:pt>
                <c:pt idx="998">
                  <c:v>1.1560938258639233</c:v>
                </c:pt>
                <c:pt idx="999">
                  <c:v>1.1350151396651738</c:v>
                </c:pt>
              </c:numCache>
            </c:numRef>
          </c:xVal>
          <c:yVal>
            <c:numRef>
              <c:f>Bootstrapping!$S$8:$S$1007</c:f>
              <c:numCache>
                <c:formatCode>[$£-809]#,##0</c:formatCode>
                <c:ptCount val="1000"/>
                <c:pt idx="0">
                  <c:v>3226.1065905943233</c:v>
                </c:pt>
                <c:pt idx="1">
                  <c:v>3827.8184599371552</c:v>
                </c:pt>
                <c:pt idx="2">
                  <c:v>2001.6053582088916</c:v>
                </c:pt>
                <c:pt idx="3">
                  <c:v>1608.1976553355526</c:v>
                </c:pt>
                <c:pt idx="4">
                  <c:v>3292.4877005535327</c:v>
                </c:pt>
                <c:pt idx="5">
                  <c:v>4109.8602724271714</c:v>
                </c:pt>
                <c:pt idx="6">
                  <c:v>3843.6753042721803</c:v>
                </c:pt>
                <c:pt idx="7">
                  <c:v>4664.6473956842228</c:v>
                </c:pt>
                <c:pt idx="8">
                  <c:v>2114.2147326438953</c:v>
                </c:pt>
                <c:pt idx="9">
                  <c:v>3341.3196433972207</c:v>
                </c:pt>
                <c:pt idx="10">
                  <c:v>5352.6620627584316</c:v>
                </c:pt>
                <c:pt idx="11">
                  <c:v>3928.5249355792794</c:v>
                </c:pt>
                <c:pt idx="12">
                  <c:v>1823.7981903640311</c:v>
                </c:pt>
                <c:pt idx="13">
                  <c:v>1651.2238031262677</c:v>
                </c:pt>
                <c:pt idx="14">
                  <c:v>3165.8735806008763</c:v>
                </c:pt>
                <c:pt idx="15">
                  <c:v>2913.7355266361865</c:v>
                </c:pt>
                <c:pt idx="16">
                  <c:v>3633.6778360559701</c:v>
                </c:pt>
                <c:pt idx="17">
                  <c:v>3404.5334359937297</c:v>
                </c:pt>
                <c:pt idx="18">
                  <c:v>2285.0079859547914</c:v>
                </c:pt>
                <c:pt idx="19">
                  <c:v>3050.2954780571226</c:v>
                </c:pt>
                <c:pt idx="20">
                  <c:v>5261.8745570528454</c:v>
                </c:pt>
                <c:pt idx="21">
                  <c:v>2048.3954174036226</c:v>
                </c:pt>
                <c:pt idx="22">
                  <c:v>3997.5206794287014</c:v>
                </c:pt>
                <c:pt idx="23">
                  <c:v>1973.5060348611914</c:v>
                </c:pt>
                <c:pt idx="24">
                  <c:v>4055.4995689686921</c:v>
                </c:pt>
                <c:pt idx="25">
                  <c:v>3195.7626808193163</c:v>
                </c:pt>
                <c:pt idx="26">
                  <c:v>3646.6101652834604</c:v>
                </c:pt>
                <c:pt idx="27">
                  <c:v>2375.677504438574</c:v>
                </c:pt>
                <c:pt idx="28">
                  <c:v>-318.20329868767476</c:v>
                </c:pt>
                <c:pt idx="29">
                  <c:v>2521.3587799769884</c:v>
                </c:pt>
                <c:pt idx="30">
                  <c:v>2456.1695229761763</c:v>
                </c:pt>
                <c:pt idx="31">
                  <c:v>5035.9625037400147</c:v>
                </c:pt>
                <c:pt idx="32">
                  <c:v>3548.9229427535029</c:v>
                </c:pt>
                <c:pt idx="33">
                  <c:v>2662.6438070254308</c:v>
                </c:pt>
                <c:pt idx="34">
                  <c:v>2314.616573611891</c:v>
                </c:pt>
                <c:pt idx="35">
                  <c:v>1789.2202786994858</c:v>
                </c:pt>
                <c:pt idx="36">
                  <c:v>534.62964778252172</c:v>
                </c:pt>
                <c:pt idx="37">
                  <c:v>1386.4667658881099</c:v>
                </c:pt>
                <c:pt idx="38">
                  <c:v>2842.3729168617701</c:v>
                </c:pt>
                <c:pt idx="39">
                  <c:v>4278.1620696795972</c:v>
                </c:pt>
                <c:pt idx="40">
                  <c:v>874.44231077629956</c:v>
                </c:pt>
                <c:pt idx="41">
                  <c:v>2629.9822282161758</c:v>
                </c:pt>
                <c:pt idx="42">
                  <c:v>5361.7141452652022</c:v>
                </c:pt>
                <c:pt idx="43">
                  <c:v>2776.3567527368305</c:v>
                </c:pt>
                <c:pt idx="44">
                  <c:v>2069.5995992876833</c:v>
                </c:pt>
                <c:pt idx="45">
                  <c:v>2674.9909216955593</c:v>
                </c:pt>
                <c:pt idx="46">
                  <c:v>2919.7213936081971</c:v>
                </c:pt>
                <c:pt idx="47">
                  <c:v>3250.1010526998307</c:v>
                </c:pt>
                <c:pt idx="48">
                  <c:v>3488.7806314873287</c:v>
                </c:pt>
                <c:pt idx="49">
                  <c:v>3408.5804084061101</c:v>
                </c:pt>
                <c:pt idx="50">
                  <c:v>2411.5636609295752</c:v>
                </c:pt>
                <c:pt idx="51">
                  <c:v>1005.7480708324238</c:v>
                </c:pt>
                <c:pt idx="52">
                  <c:v>1491.7647340497588</c:v>
                </c:pt>
                <c:pt idx="53">
                  <c:v>4210.3774394517231</c:v>
                </c:pt>
                <c:pt idx="54">
                  <c:v>4414.7064617884862</c:v>
                </c:pt>
                <c:pt idx="55">
                  <c:v>3866.3038596974902</c:v>
                </c:pt>
                <c:pt idx="56">
                  <c:v>2539.9878410464389</c:v>
                </c:pt>
                <c:pt idx="57">
                  <c:v>3746.0292190577593</c:v>
                </c:pt>
                <c:pt idx="58">
                  <c:v>1445.8541919198824</c:v>
                </c:pt>
                <c:pt idx="59">
                  <c:v>2873.3166557308314</c:v>
                </c:pt>
                <c:pt idx="60">
                  <c:v>2396.0938893607608</c:v>
                </c:pt>
                <c:pt idx="61">
                  <c:v>2628.9948279094951</c:v>
                </c:pt>
                <c:pt idx="62">
                  <c:v>2282.946015329112</c:v>
                </c:pt>
                <c:pt idx="63">
                  <c:v>2950.016347342651</c:v>
                </c:pt>
                <c:pt idx="64">
                  <c:v>2394.2476231553801</c:v>
                </c:pt>
                <c:pt idx="65">
                  <c:v>3166.9300939944242</c:v>
                </c:pt>
                <c:pt idx="66">
                  <c:v>3154.7205881702166</c:v>
                </c:pt>
                <c:pt idx="67">
                  <c:v>1970.0095533709473</c:v>
                </c:pt>
                <c:pt idx="68">
                  <c:v>808.60896051803866</c:v>
                </c:pt>
                <c:pt idx="69">
                  <c:v>3020.3958538657871</c:v>
                </c:pt>
                <c:pt idx="70">
                  <c:v>2912.4689035995989</c:v>
                </c:pt>
                <c:pt idx="71">
                  <c:v>3915.3394406412581</c:v>
                </c:pt>
                <c:pt idx="72">
                  <c:v>1741.4587386401145</c:v>
                </c:pt>
                <c:pt idx="73">
                  <c:v>3539.0839201714562</c:v>
                </c:pt>
                <c:pt idx="74">
                  <c:v>-405.50031627793214</c:v>
                </c:pt>
                <c:pt idx="75">
                  <c:v>1909.3435416927114</c:v>
                </c:pt>
                <c:pt idx="76">
                  <c:v>3019.1101321569931</c:v>
                </c:pt>
                <c:pt idx="77">
                  <c:v>3671.6592806321287</c:v>
                </c:pt>
                <c:pt idx="78">
                  <c:v>3396.8306035085807</c:v>
                </c:pt>
                <c:pt idx="79">
                  <c:v>2622.9749456817735</c:v>
                </c:pt>
                <c:pt idx="80">
                  <c:v>1298.8806952142731</c:v>
                </c:pt>
                <c:pt idx="81">
                  <c:v>1748.2236269308569</c:v>
                </c:pt>
                <c:pt idx="82">
                  <c:v>3091.8482220069</c:v>
                </c:pt>
                <c:pt idx="83">
                  <c:v>4250.1964904419256</c:v>
                </c:pt>
                <c:pt idx="84">
                  <c:v>2814.9846524127106</c:v>
                </c:pt>
                <c:pt idx="85">
                  <c:v>3135.0075769483128</c:v>
                </c:pt>
                <c:pt idx="86">
                  <c:v>4910.2257949081386</c:v>
                </c:pt>
                <c:pt idx="87">
                  <c:v>4120.8649724125216</c:v>
                </c:pt>
                <c:pt idx="88">
                  <c:v>2827.3332829000892</c:v>
                </c:pt>
                <c:pt idx="89">
                  <c:v>2474.4593371078709</c:v>
                </c:pt>
                <c:pt idx="90">
                  <c:v>2044.6969056403304</c:v>
                </c:pt>
                <c:pt idx="91">
                  <c:v>2425.5392729113173</c:v>
                </c:pt>
                <c:pt idx="92">
                  <c:v>1530.976448953852</c:v>
                </c:pt>
                <c:pt idx="93">
                  <c:v>1844.2328363994711</c:v>
                </c:pt>
                <c:pt idx="94">
                  <c:v>4083.0081366302693</c:v>
                </c:pt>
                <c:pt idx="95">
                  <c:v>4740.3660790593203</c:v>
                </c:pt>
                <c:pt idx="96">
                  <c:v>3948.2467936282592</c:v>
                </c:pt>
                <c:pt idx="97">
                  <c:v>654.81921672235694</c:v>
                </c:pt>
                <c:pt idx="98">
                  <c:v>585.19823120785804</c:v>
                </c:pt>
                <c:pt idx="99">
                  <c:v>2293.0800869892255</c:v>
                </c:pt>
                <c:pt idx="100">
                  <c:v>1785.9273517639285</c:v>
                </c:pt>
                <c:pt idx="101">
                  <c:v>3594.7304037082649</c:v>
                </c:pt>
                <c:pt idx="102">
                  <c:v>2930.445647985599</c:v>
                </c:pt>
                <c:pt idx="103">
                  <c:v>2413.6585076730407</c:v>
                </c:pt>
                <c:pt idx="104">
                  <c:v>1058.0451369851671</c:v>
                </c:pt>
                <c:pt idx="105">
                  <c:v>2673.7538133876023</c:v>
                </c:pt>
                <c:pt idx="106">
                  <c:v>1632.5725578257752</c:v>
                </c:pt>
                <c:pt idx="107">
                  <c:v>3699.9430303087775</c:v>
                </c:pt>
                <c:pt idx="108">
                  <c:v>2877.5450977744531</c:v>
                </c:pt>
                <c:pt idx="109">
                  <c:v>3656.9375250828098</c:v>
                </c:pt>
                <c:pt idx="110">
                  <c:v>3182.8470201874024</c:v>
                </c:pt>
                <c:pt idx="111">
                  <c:v>1582.1069405716153</c:v>
                </c:pt>
                <c:pt idx="112">
                  <c:v>1864.4586221275658</c:v>
                </c:pt>
                <c:pt idx="113">
                  <c:v>2495.9968923168608</c:v>
                </c:pt>
                <c:pt idx="114">
                  <c:v>3468.8946450080866</c:v>
                </c:pt>
                <c:pt idx="115">
                  <c:v>2262.2077175099976</c:v>
                </c:pt>
                <c:pt idx="116">
                  <c:v>2693.0455951143758</c:v>
                </c:pt>
                <c:pt idx="117">
                  <c:v>2085.701646778848</c:v>
                </c:pt>
                <c:pt idx="118">
                  <c:v>1977.1875461542149</c:v>
                </c:pt>
                <c:pt idx="119">
                  <c:v>3959.7335717261622</c:v>
                </c:pt>
                <c:pt idx="120">
                  <c:v>2401.8783514495399</c:v>
                </c:pt>
                <c:pt idx="121">
                  <c:v>1793.8466424849794</c:v>
                </c:pt>
                <c:pt idx="122">
                  <c:v>2559.6240954173199</c:v>
                </c:pt>
                <c:pt idx="123">
                  <c:v>2856.525673937158</c:v>
                </c:pt>
                <c:pt idx="124">
                  <c:v>2972.066624488335</c:v>
                </c:pt>
                <c:pt idx="125">
                  <c:v>1708.0798944427679</c:v>
                </c:pt>
                <c:pt idx="126">
                  <c:v>2639.66415110038</c:v>
                </c:pt>
                <c:pt idx="127">
                  <c:v>3897.8196667756001</c:v>
                </c:pt>
                <c:pt idx="128">
                  <c:v>4080.6214540168648</c:v>
                </c:pt>
                <c:pt idx="129">
                  <c:v>3307.9290709192437</c:v>
                </c:pt>
                <c:pt idx="130">
                  <c:v>2815.7564659807686</c:v>
                </c:pt>
                <c:pt idx="131">
                  <c:v>3837.5754576693553</c:v>
                </c:pt>
                <c:pt idx="132">
                  <c:v>3542.8202169882579</c:v>
                </c:pt>
                <c:pt idx="133">
                  <c:v>1913.5579900722605</c:v>
                </c:pt>
                <c:pt idx="134">
                  <c:v>3787.2923056820237</c:v>
                </c:pt>
                <c:pt idx="135">
                  <c:v>317.06784034138946</c:v>
                </c:pt>
                <c:pt idx="136">
                  <c:v>2942.3866823614917</c:v>
                </c:pt>
                <c:pt idx="137">
                  <c:v>3526.0267630249755</c:v>
                </c:pt>
                <c:pt idx="138">
                  <c:v>2186.0562623569331</c:v>
                </c:pt>
                <c:pt idx="139">
                  <c:v>1289.905028710552</c:v>
                </c:pt>
                <c:pt idx="140">
                  <c:v>2008.7773354605361</c:v>
                </c:pt>
                <c:pt idx="141">
                  <c:v>3030.213069192826</c:v>
                </c:pt>
                <c:pt idx="142">
                  <c:v>1669.1817920257463</c:v>
                </c:pt>
                <c:pt idx="143">
                  <c:v>1313.1531756389177</c:v>
                </c:pt>
                <c:pt idx="144">
                  <c:v>2259.1488593992863</c:v>
                </c:pt>
                <c:pt idx="145">
                  <c:v>2525.440792979959</c:v>
                </c:pt>
                <c:pt idx="146">
                  <c:v>2560.6515989398076</c:v>
                </c:pt>
                <c:pt idx="147">
                  <c:v>3842.9494712793985</c:v>
                </c:pt>
                <c:pt idx="148">
                  <c:v>1924.1444208016355</c:v>
                </c:pt>
                <c:pt idx="149">
                  <c:v>2160.3733836493684</c:v>
                </c:pt>
                <c:pt idx="150">
                  <c:v>1018.2395550700166</c:v>
                </c:pt>
                <c:pt idx="151">
                  <c:v>46.377718336054386</c:v>
                </c:pt>
                <c:pt idx="152">
                  <c:v>3622.7961839307936</c:v>
                </c:pt>
                <c:pt idx="153">
                  <c:v>4025.8992042474547</c:v>
                </c:pt>
                <c:pt idx="154">
                  <c:v>3735.1131381711193</c:v>
                </c:pt>
                <c:pt idx="155">
                  <c:v>3615.193851215261</c:v>
                </c:pt>
                <c:pt idx="156">
                  <c:v>2287.7002931895013</c:v>
                </c:pt>
                <c:pt idx="157">
                  <c:v>2041.3995322857882</c:v>
                </c:pt>
                <c:pt idx="158">
                  <c:v>3495.1363181598808</c:v>
                </c:pt>
                <c:pt idx="159">
                  <c:v>4803.3591821386026</c:v>
                </c:pt>
                <c:pt idx="160">
                  <c:v>1851.7573007268074</c:v>
                </c:pt>
                <c:pt idx="161">
                  <c:v>3179.6167090557847</c:v>
                </c:pt>
                <c:pt idx="162">
                  <c:v>2465.8402683547756</c:v>
                </c:pt>
                <c:pt idx="163">
                  <c:v>5025.4912029377838</c:v>
                </c:pt>
                <c:pt idx="164">
                  <c:v>1271.0406382710353</c:v>
                </c:pt>
                <c:pt idx="165">
                  <c:v>821.64176791635327</c:v>
                </c:pt>
                <c:pt idx="166">
                  <c:v>3043.9988326041848</c:v>
                </c:pt>
                <c:pt idx="167">
                  <c:v>1766.0280617345688</c:v>
                </c:pt>
                <c:pt idx="168">
                  <c:v>3170.548747156633</c:v>
                </c:pt>
                <c:pt idx="169">
                  <c:v>2910.6081011765664</c:v>
                </c:pt>
                <c:pt idx="170">
                  <c:v>2924.8431732504123</c:v>
                </c:pt>
                <c:pt idx="171">
                  <c:v>3427.5510297732772</c:v>
                </c:pt>
                <c:pt idx="172">
                  <c:v>4009.9290998892884</c:v>
                </c:pt>
                <c:pt idx="173">
                  <c:v>2063.933140063772</c:v>
                </c:pt>
                <c:pt idx="174">
                  <c:v>3494.0076026770939</c:v>
                </c:pt>
                <c:pt idx="175">
                  <c:v>2813.1146021613158</c:v>
                </c:pt>
                <c:pt idx="176">
                  <c:v>2806.2607104605795</c:v>
                </c:pt>
                <c:pt idx="177">
                  <c:v>2932.4081144353622</c:v>
                </c:pt>
                <c:pt idx="178">
                  <c:v>2288.1427324442029</c:v>
                </c:pt>
                <c:pt idx="179">
                  <c:v>1381.63258031853</c:v>
                </c:pt>
                <c:pt idx="180">
                  <c:v>2638.8489411630517</c:v>
                </c:pt>
                <c:pt idx="181">
                  <c:v>3793.7551578514349</c:v>
                </c:pt>
                <c:pt idx="182">
                  <c:v>3761.195782368437</c:v>
                </c:pt>
                <c:pt idx="183">
                  <c:v>2725.3001695212706</c:v>
                </c:pt>
                <c:pt idx="184">
                  <c:v>1751.9828640493124</c:v>
                </c:pt>
                <c:pt idx="185">
                  <c:v>2986.9499913982427</c:v>
                </c:pt>
                <c:pt idx="186">
                  <c:v>1595.4754916154288</c:v>
                </c:pt>
                <c:pt idx="187">
                  <c:v>3502.7801803402481</c:v>
                </c:pt>
                <c:pt idx="188">
                  <c:v>5839.8810412825924</c:v>
                </c:pt>
                <c:pt idx="189">
                  <c:v>3066.8002746194416</c:v>
                </c:pt>
                <c:pt idx="190">
                  <c:v>3853.9007125215139</c:v>
                </c:pt>
                <c:pt idx="191">
                  <c:v>854.34559127034845</c:v>
                </c:pt>
                <c:pt idx="192">
                  <c:v>2031.3628501204557</c:v>
                </c:pt>
                <c:pt idx="193">
                  <c:v>1257.4458421883646</c:v>
                </c:pt>
                <c:pt idx="194">
                  <c:v>1610.5719797240999</c:v>
                </c:pt>
                <c:pt idx="195">
                  <c:v>2910.6121731544899</c:v>
                </c:pt>
                <c:pt idx="196">
                  <c:v>3297.8215549995148</c:v>
                </c:pt>
                <c:pt idx="197">
                  <c:v>3571.6290000440395</c:v>
                </c:pt>
                <c:pt idx="198">
                  <c:v>3400.4595022827489</c:v>
                </c:pt>
                <c:pt idx="199">
                  <c:v>3139.8670508153255</c:v>
                </c:pt>
                <c:pt idx="200">
                  <c:v>2392.9330050725184</c:v>
                </c:pt>
                <c:pt idx="201">
                  <c:v>3942.9701131679076</c:v>
                </c:pt>
                <c:pt idx="202">
                  <c:v>2039.1702376422018</c:v>
                </c:pt>
                <c:pt idx="203">
                  <c:v>2882.671900736902</c:v>
                </c:pt>
                <c:pt idx="204">
                  <c:v>2399.51162900707</c:v>
                </c:pt>
                <c:pt idx="205">
                  <c:v>3433.7588917495259</c:v>
                </c:pt>
                <c:pt idx="206">
                  <c:v>2106.097079473313</c:v>
                </c:pt>
                <c:pt idx="207">
                  <c:v>1216.1763113396864</c:v>
                </c:pt>
                <c:pt idx="208">
                  <c:v>3520.5500896097701</c:v>
                </c:pt>
                <c:pt idx="209">
                  <c:v>2122.8362229397262</c:v>
                </c:pt>
                <c:pt idx="210">
                  <c:v>4045.3684307871017</c:v>
                </c:pt>
                <c:pt idx="211">
                  <c:v>1502.8054460913099</c:v>
                </c:pt>
                <c:pt idx="212">
                  <c:v>4360.5148268465509</c:v>
                </c:pt>
                <c:pt idx="213">
                  <c:v>4941.3107923309371</c:v>
                </c:pt>
                <c:pt idx="214">
                  <c:v>2262.5909929513236</c:v>
                </c:pt>
                <c:pt idx="215">
                  <c:v>3439.5809471750817</c:v>
                </c:pt>
                <c:pt idx="216">
                  <c:v>3642.7902329651943</c:v>
                </c:pt>
                <c:pt idx="217">
                  <c:v>309.94215910521234</c:v>
                </c:pt>
                <c:pt idx="218">
                  <c:v>4273.7658058787374</c:v>
                </c:pt>
                <c:pt idx="219">
                  <c:v>4577.9115919592896</c:v>
                </c:pt>
                <c:pt idx="220">
                  <c:v>2389.9942022666564</c:v>
                </c:pt>
                <c:pt idx="221">
                  <c:v>3782.5387308032277</c:v>
                </c:pt>
                <c:pt idx="222">
                  <c:v>2439.3615235505395</c:v>
                </c:pt>
                <c:pt idx="223">
                  <c:v>1652.465792910195</c:v>
                </c:pt>
                <c:pt idx="224">
                  <c:v>2290.4354905551463</c:v>
                </c:pt>
                <c:pt idx="225">
                  <c:v>-833.87400251202052</c:v>
                </c:pt>
                <c:pt idx="226">
                  <c:v>3420.5970234871465</c:v>
                </c:pt>
                <c:pt idx="227">
                  <c:v>2547.8561155890184</c:v>
                </c:pt>
                <c:pt idx="228">
                  <c:v>1477.5030072370555</c:v>
                </c:pt>
                <c:pt idx="229">
                  <c:v>1701.9061602748443</c:v>
                </c:pt>
                <c:pt idx="230">
                  <c:v>2400.8954814933013</c:v>
                </c:pt>
                <c:pt idx="231">
                  <c:v>3425.2903260122821</c:v>
                </c:pt>
                <c:pt idx="232">
                  <c:v>3346.6283325361383</c:v>
                </c:pt>
                <c:pt idx="233">
                  <c:v>1749.1241917495536</c:v>
                </c:pt>
                <c:pt idx="234">
                  <c:v>1253.9894781441035</c:v>
                </c:pt>
                <c:pt idx="235">
                  <c:v>2162.426657200358</c:v>
                </c:pt>
                <c:pt idx="236">
                  <c:v>3096.5166842581339</c:v>
                </c:pt>
                <c:pt idx="237">
                  <c:v>1730.1482994501876</c:v>
                </c:pt>
                <c:pt idx="238">
                  <c:v>2246.9401700328699</c:v>
                </c:pt>
                <c:pt idx="239">
                  <c:v>3154.546090894014</c:v>
                </c:pt>
                <c:pt idx="240">
                  <c:v>3940.2257883182665</c:v>
                </c:pt>
                <c:pt idx="241">
                  <c:v>1475.6848414237829</c:v>
                </c:pt>
                <c:pt idx="242">
                  <c:v>2758.3993100729112</c:v>
                </c:pt>
                <c:pt idx="243">
                  <c:v>3763.1277100721418</c:v>
                </c:pt>
                <c:pt idx="244">
                  <c:v>3736.8300731921927</c:v>
                </c:pt>
                <c:pt idx="245">
                  <c:v>2716.6027988231945</c:v>
                </c:pt>
                <c:pt idx="246">
                  <c:v>3026.7543849746462</c:v>
                </c:pt>
                <c:pt idx="247">
                  <c:v>2952.3660787630561</c:v>
                </c:pt>
                <c:pt idx="248">
                  <c:v>2188.217659444219</c:v>
                </c:pt>
                <c:pt idx="249">
                  <c:v>3590.8892580164656</c:v>
                </c:pt>
                <c:pt idx="250">
                  <c:v>1262.1636186152627</c:v>
                </c:pt>
                <c:pt idx="251">
                  <c:v>1574.1646096811037</c:v>
                </c:pt>
                <c:pt idx="252">
                  <c:v>3774.549591390889</c:v>
                </c:pt>
                <c:pt idx="253">
                  <c:v>2599.2361190682404</c:v>
                </c:pt>
                <c:pt idx="254">
                  <c:v>1573.565723347765</c:v>
                </c:pt>
                <c:pt idx="255">
                  <c:v>434.2889700684791</c:v>
                </c:pt>
                <c:pt idx="256">
                  <c:v>2024.9050333718897</c:v>
                </c:pt>
                <c:pt idx="257">
                  <c:v>4589.4743653809901</c:v>
                </c:pt>
                <c:pt idx="258">
                  <c:v>903.8636096943319</c:v>
                </c:pt>
                <c:pt idx="259">
                  <c:v>2401.6646833885061</c:v>
                </c:pt>
                <c:pt idx="260">
                  <c:v>2153.3372471277044</c:v>
                </c:pt>
                <c:pt idx="261">
                  <c:v>1459.7113724233277</c:v>
                </c:pt>
                <c:pt idx="262">
                  <c:v>1496.8692097365756</c:v>
                </c:pt>
                <c:pt idx="263">
                  <c:v>4418.9269465979532</c:v>
                </c:pt>
                <c:pt idx="264">
                  <c:v>2841.8253550961945</c:v>
                </c:pt>
                <c:pt idx="265">
                  <c:v>1182.1182257916607</c:v>
                </c:pt>
                <c:pt idx="266">
                  <c:v>4111.926074934905</c:v>
                </c:pt>
                <c:pt idx="267">
                  <c:v>4972.2595506524085</c:v>
                </c:pt>
                <c:pt idx="268">
                  <c:v>2826.8094359446004</c:v>
                </c:pt>
                <c:pt idx="269">
                  <c:v>3654.9686623642538</c:v>
                </c:pt>
                <c:pt idx="270">
                  <c:v>3063.0492083355748</c:v>
                </c:pt>
                <c:pt idx="271">
                  <c:v>1893.8351228587999</c:v>
                </c:pt>
                <c:pt idx="272">
                  <c:v>3679.6058822173272</c:v>
                </c:pt>
                <c:pt idx="273">
                  <c:v>4434.6592324961439</c:v>
                </c:pt>
                <c:pt idx="274">
                  <c:v>1821.9850878019752</c:v>
                </c:pt>
                <c:pt idx="275">
                  <c:v>2341.883077746219</c:v>
                </c:pt>
                <c:pt idx="276">
                  <c:v>3419.1876215660523</c:v>
                </c:pt>
                <c:pt idx="277">
                  <c:v>1013.8415436677624</c:v>
                </c:pt>
                <c:pt idx="278">
                  <c:v>1313.8429257875632</c:v>
                </c:pt>
                <c:pt idx="279">
                  <c:v>1430.9373656449552</c:v>
                </c:pt>
                <c:pt idx="280">
                  <c:v>1877.6410228902023</c:v>
                </c:pt>
                <c:pt idx="281">
                  <c:v>2195.7214716334556</c:v>
                </c:pt>
                <c:pt idx="282">
                  <c:v>3173.362380423222</c:v>
                </c:pt>
                <c:pt idx="283">
                  <c:v>2010.384222865453</c:v>
                </c:pt>
                <c:pt idx="284">
                  <c:v>3083.8664091575756</c:v>
                </c:pt>
                <c:pt idx="285">
                  <c:v>787.11140947606691</c:v>
                </c:pt>
                <c:pt idx="286">
                  <c:v>4239.5108723759622</c:v>
                </c:pt>
                <c:pt idx="287">
                  <c:v>3488.8582139704649</c:v>
                </c:pt>
                <c:pt idx="288">
                  <c:v>1930.8138705604315</c:v>
                </c:pt>
                <c:pt idx="289">
                  <c:v>3227.2674144088605</c:v>
                </c:pt>
                <c:pt idx="290">
                  <c:v>2584.5816618826302</c:v>
                </c:pt>
                <c:pt idx="291">
                  <c:v>3988.3786378746354</c:v>
                </c:pt>
                <c:pt idx="292">
                  <c:v>3555.5328303677952</c:v>
                </c:pt>
                <c:pt idx="293">
                  <c:v>1301.701534062302</c:v>
                </c:pt>
                <c:pt idx="294">
                  <c:v>2390.6223538717713</c:v>
                </c:pt>
                <c:pt idx="295">
                  <c:v>4134.6295759874793</c:v>
                </c:pt>
                <c:pt idx="296">
                  <c:v>3164.4979187397148</c:v>
                </c:pt>
                <c:pt idx="297">
                  <c:v>1242.0199727391282</c:v>
                </c:pt>
                <c:pt idx="298">
                  <c:v>2650.5131355917429</c:v>
                </c:pt>
                <c:pt idx="299">
                  <c:v>2374.2941039288316</c:v>
                </c:pt>
                <c:pt idx="300">
                  <c:v>1283.8622187387064</c:v>
                </c:pt>
                <c:pt idx="301">
                  <c:v>1273.3320278512801</c:v>
                </c:pt>
                <c:pt idx="302">
                  <c:v>557.60195910018592</c:v>
                </c:pt>
                <c:pt idx="303">
                  <c:v>2991.2719594979326</c:v>
                </c:pt>
                <c:pt idx="304">
                  <c:v>2912.3284710406124</c:v>
                </c:pt>
                <c:pt idx="305">
                  <c:v>1967.4784431388398</c:v>
                </c:pt>
                <c:pt idx="306">
                  <c:v>3465.5029275878614</c:v>
                </c:pt>
                <c:pt idx="307">
                  <c:v>3211.8144147889925</c:v>
                </c:pt>
                <c:pt idx="308">
                  <c:v>3352.5447211519058</c:v>
                </c:pt>
                <c:pt idx="309">
                  <c:v>3449.8001564665019</c:v>
                </c:pt>
                <c:pt idx="310">
                  <c:v>3324.4040891031718</c:v>
                </c:pt>
                <c:pt idx="311">
                  <c:v>3242.0423645362234</c:v>
                </c:pt>
                <c:pt idx="312">
                  <c:v>2385.4107660238742</c:v>
                </c:pt>
                <c:pt idx="313">
                  <c:v>3163.2463577680019</c:v>
                </c:pt>
                <c:pt idx="314">
                  <c:v>2981.1346730558316</c:v>
                </c:pt>
                <c:pt idx="315">
                  <c:v>3777.5969022014469</c:v>
                </c:pt>
                <c:pt idx="316">
                  <c:v>3006.0535459146467</c:v>
                </c:pt>
                <c:pt idx="317">
                  <c:v>865.75093280476085</c:v>
                </c:pt>
                <c:pt idx="318">
                  <c:v>1741.2829560177815</c:v>
                </c:pt>
                <c:pt idx="319">
                  <c:v>1891.8879878728949</c:v>
                </c:pt>
                <c:pt idx="320">
                  <c:v>3939.0371629297269</c:v>
                </c:pt>
                <c:pt idx="321">
                  <c:v>3910.619538098108</c:v>
                </c:pt>
                <c:pt idx="322">
                  <c:v>3868.9406726985708</c:v>
                </c:pt>
                <c:pt idx="323">
                  <c:v>551.83335738736423</c:v>
                </c:pt>
                <c:pt idx="324">
                  <c:v>612.98060779172556</c:v>
                </c:pt>
                <c:pt idx="325">
                  <c:v>1347.2027602661601</c:v>
                </c:pt>
                <c:pt idx="326">
                  <c:v>3474.2470695233906</c:v>
                </c:pt>
                <c:pt idx="327">
                  <c:v>4053.5706552442498</c:v>
                </c:pt>
                <c:pt idx="328">
                  <c:v>4273.5560637120852</c:v>
                </c:pt>
                <c:pt idx="329">
                  <c:v>4401.5233804765739</c:v>
                </c:pt>
                <c:pt idx="330">
                  <c:v>2721.9278725599925</c:v>
                </c:pt>
                <c:pt idx="331">
                  <c:v>1648.9149438802961</c:v>
                </c:pt>
                <c:pt idx="332">
                  <c:v>2929.5315673562191</c:v>
                </c:pt>
                <c:pt idx="333">
                  <c:v>3240.2900859999454</c:v>
                </c:pt>
                <c:pt idx="334">
                  <c:v>2507.2872658194419</c:v>
                </c:pt>
                <c:pt idx="335">
                  <c:v>1451.3722460714107</c:v>
                </c:pt>
                <c:pt idx="336">
                  <c:v>1878.5863199929008</c:v>
                </c:pt>
                <c:pt idx="337">
                  <c:v>3492.3215538534423</c:v>
                </c:pt>
                <c:pt idx="338">
                  <c:v>4551.8543619558122</c:v>
                </c:pt>
                <c:pt idx="339">
                  <c:v>1296.7661684322838</c:v>
                </c:pt>
                <c:pt idx="340">
                  <c:v>3589.7246426355123</c:v>
                </c:pt>
                <c:pt idx="341">
                  <c:v>2022.3122717227543</c:v>
                </c:pt>
                <c:pt idx="342">
                  <c:v>2534.2871934379664</c:v>
                </c:pt>
                <c:pt idx="343">
                  <c:v>4236.2079556648869</c:v>
                </c:pt>
                <c:pt idx="344">
                  <c:v>3785.0566328043715</c:v>
                </c:pt>
                <c:pt idx="345">
                  <c:v>2595.0048503684657</c:v>
                </c:pt>
                <c:pt idx="346">
                  <c:v>2923.0065863221653</c:v>
                </c:pt>
                <c:pt idx="347">
                  <c:v>1594.830494446891</c:v>
                </c:pt>
                <c:pt idx="348">
                  <c:v>1983.6419340067278</c:v>
                </c:pt>
                <c:pt idx="349">
                  <c:v>3199.6158210998947</c:v>
                </c:pt>
                <c:pt idx="350">
                  <c:v>3531.1872149713518</c:v>
                </c:pt>
                <c:pt idx="351">
                  <c:v>3119.0180999793256</c:v>
                </c:pt>
                <c:pt idx="352">
                  <c:v>4575.4800450635585</c:v>
                </c:pt>
                <c:pt idx="353">
                  <c:v>2633.9265282346923</c:v>
                </c:pt>
                <c:pt idx="354">
                  <c:v>1576.0520461012511</c:v>
                </c:pt>
                <c:pt idx="355">
                  <c:v>829.49241807760518</c:v>
                </c:pt>
                <c:pt idx="356">
                  <c:v>3162.1751043192935</c:v>
                </c:pt>
                <c:pt idx="357">
                  <c:v>2986.2925694236083</c:v>
                </c:pt>
                <c:pt idx="358">
                  <c:v>2478.9527459108403</c:v>
                </c:pt>
                <c:pt idx="359">
                  <c:v>3675.5881773557076</c:v>
                </c:pt>
                <c:pt idx="360">
                  <c:v>1726.2043636893068</c:v>
                </c:pt>
                <c:pt idx="361">
                  <c:v>1931.448440093046</c:v>
                </c:pt>
                <c:pt idx="362">
                  <c:v>2321.687355736899</c:v>
                </c:pt>
                <c:pt idx="363">
                  <c:v>2001.0602246130056</c:v>
                </c:pt>
                <c:pt idx="364">
                  <c:v>1929.4099975777608</c:v>
                </c:pt>
                <c:pt idx="365">
                  <c:v>4192.0428726615637</c:v>
                </c:pt>
                <c:pt idx="366">
                  <c:v>2930.668384633389</c:v>
                </c:pt>
                <c:pt idx="367">
                  <c:v>2164.0788847278054</c:v>
                </c:pt>
                <c:pt idx="368">
                  <c:v>2315.7147252311415</c:v>
                </c:pt>
                <c:pt idx="369">
                  <c:v>3428.4023940807383</c:v>
                </c:pt>
                <c:pt idx="370">
                  <c:v>3687.4314681997394</c:v>
                </c:pt>
                <c:pt idx="371">
                  <c:v>644.76779506551793</c:v>
                </c:pt>
                <c:pt idx="372">
                  <c:v>2588.8013243652895</c:v>
                </c:pt>
                <c:pt idx="373">
                  <c:v>1586.5310773845713</c:v>
                </c:pt>
                <c:pt idx="374">
                  <c:v>3270.176121169211</c:v>
                </c:pt>
                <c:pt idx="375">
                  <c:v>2369.9010330734309</c:v>
                </c:pt>
                <c:pt idx="376">
                  <c:v>3692.1709758292682</c:v>
                </c:pt>
                <c:pt idx="377">
                  <c:v>2690.0724360361419</c:v>
                </c:pt>
                <c:pt idx="378">
                  <c:v>2559.8645702379499</c:v>
                </c:pt>
                <c:pt idx="379">
                  <c:v>3742.5624046476205</c:v>
                </c:pt>
                <c:pt idx="380">
                  <c:v>4345.9780143966291</c:v>
                </c:pt>
                <c:pt idx="381">
                  <c:v>872.74795669788909</c:v>
                </c:pt>
                <c:pt idx="382">
                  <c:v>746.83167869638419</c:v>
                </c:pt>
                <c:pt idx="383">
                  <c:v>2385.2927529980725</c:v>
                </c:pt>
                <c:pt idx="384">
                  <c:v>2017.4602092899795</c:v>
                </c:pt>
                <c:pt idx="385">
                  <c:v>5260.3940449676693</c:v>
                </c:pt>
                <c:pt idx="386">
                  <c:v>-212.82723827518566</c:v>
                </c:pt>
                <c:pt idx="387">
                  <c:v>2741.2478696616527</c:v>
                </c:pt>
                <c:pt idx="388">
                  <c:v>2998.7493663237065</c:v>
                </c:pt>
                <c:pt idx="389">
                  <c:v>1929.2561246329078</c:v>
                </c:pt>
                <c:pt idx="390">
                  <c:v>2904.1708139603215</c:v>
                </c:pt>
                <c:pt idx="391">
                  <c:v>1875.4746765949812</c:v>
                </c:pt>
                <c:pt idx="392">
                  <c:v>3495.2627866083794</c:v>
                </c:pt>
                <c:pt idx="393">
                  <c:v>4284.623854470934</c:v>
                </c:pt>
                <c:pt idx="394">
                  <c:v>2219.2361985622356</c:v>
                </c:pt>
                <c:pt idx="395">
                  <c:v>1325.9155198383341</c:v>
                </c:pt>
                <c:pt idx="396">
                  <c:v>4222.7956053781654</c:v>
                </c:pt>
                <c:pt idx="397">
                  <c:v>3723.6307027887624</c:v>
                </c:pt>
                <c:pt idx="398">
                  <c:v>2769.2429597148766</c:v>
                </c:pt>
                <c:pt idx="399">
                  <c:v>2339.0392935674372</c:v>
                </c:pt>
                <c:pt idx="400">
                  <c:v>-1578.5111053830806</c:v>
                </c:pt>
                <c:pt idx="401">
                  <c:v>4378.8919638161742</c:v>
                </c:pt>
                <c:pt idx="402">
                  <c:v>3289.8556943244521</c:v>
                </c:pt>
                <c:pt idx="403">
                  <c:v>1140.5250296537188</c:v>
                </c:pt>
                <c:pt idx="404">
                  <c:v>4008.085526526841</c:v>
                </c:pt>
                <c:pt idx="405">
                  <c:v>3589.5658833200005</c:v>
                </c:pt>
                <c:pt idx="406">
                  <c:v>2671.7906124679321</c:v>
                </c:pt>
                <c:pt idx="407">
                  <c:v>2517.3626935071316</c:v>
                </c:pt>
                <c:pt idx="408">
                  <c:v>2603.7525551255812</c:v>
                </c:pt>
                <c:pt idx="409">
                  <c:v>301.74620173767471</c:v>
                </c:pt>
                <c:pt idx="410">
                  <c:v>-1301.2331665147503</c:v>
                </c:pt>
                <c:pt idx="411">
                  <c:v>2671.1105260266286</c:v>
                </c:pt>
                <c:pt idx="412">
                  <c:v>4205.665934633118</c:v>
                </c:pt>
                <c:pt idx="413">
                  <c:v>2035.9772109568603</c:v>
                </c:pt>
                <c:pt idx="414">
                  <c:v>3739.6138586378174</c:v>
                </c:pt>
                <c:pt idx="415">
                  <c:v>2248.2736628841403</c:v>
                </c:pt>
                <c:pt idx="416">
                  <c:v>2951.3002893232715</c:v>
                </c:pt>
                <c:pt idx="417">
                  <c:v>2094.3881186528306</c:v>
                </c:pt>
                <c:pt idx="418">
                  <c:v>-1356.1299720457719</c:v>
                </c:pt>
                <c:pt idx="419">
                  <c:v>489.30129012238831</c:v>
                </c:pt>
                <c:pt idx="420">
                  <c:v>4275.8817076773621</c:v>
                </c:pt>
                <c:pt idx="421">
                  <c:v>1148.0610555874409</c:v>
                </c:pt>
                <c:pt idx="422">
                  <c:v>2931.9692342217741</c:v>
                </c:pt>
                <c:pt idx="423">
                  <c:v>1097.4804386250144</c:v>
                </c:pt>
                <c:pt idx="424">
                  <c:v>2800.0506154335408</c:v>
                </c:pt>
                <c:pt idx="425">
                  <c:v>3290.7593242570811</c:v>
                </c:pt>
                <c:pt idx="426">
                  <c:v>1704.9648536112936</c:v>
                </c:pt>
                <c:pt idx="427">
                  <c:v>3390.9101272303096</c:v>
                </c:pt>
                <c:pt idx="428">
                  <c:v>3286.5779768984503</c:v>
                </c:pt>
                <c:pt idx="429">
                  <c:v>3794.0371681411443</c:v>
                </c:pt>
                <c:pt idx="430">
                  <c:v>2160.9804770280662</c:v>
                </c:pt>
                <c:pt idx="431">
                  <c:v>2976.1753906918066</c:v>
                </c:pt>
                <c:pt idx="432">
                  <c:v>425.72462063604507</c:v>
                </c:pt>
                <c:pt idx="433">
                  <c:v>3119.6918111899904</c:v>
                </c:pt>
                <c:pt idx="434">
                  <c:v>3370.7491584470454</c:v>
                </c:pt>
                <c:pt idx="435">
                  <c:v>2446.5277275055187</c:v>
                </c:pt>
                <c:pt idx="436">
                  <c:v>3850.7453273396613</c:v>
                </c:pt>
                <c:pt idx="437">
                  <c:v>2113.1251643351607</c:v>
                </c:pt>
                <c:pt idx="438">
                  <c:v>3918.3976212037378</c:v>
                </c:pt>
                <c:pt idx="439">
                  <c:v>3530.8778626581952</c:v>
                </c:pt>
                <c:pt idx="440">
                  <c:v>357.25633242230651</c:v>
                </c:pt>
                <c:pt idx="441">
                  <c:v>1662.1161974875413</c:v>
                </c:pt>
                <c:pt idx="442">
                  <c:v>-118.08420505455251</c:v>
                </c:pt>
                <c:pt idx="443">
                  <c:v>2220.2887186408188</c:v>
                </c:pt>
                <c:pt idx="444">
                  <c:v>2740.4647008518004</c:v>
                </c:pt>
                <c:pt idx="445">
                  <c:v>3487.4735703153137</c:v>
                </c:pt>
                <c:pt idx="446">
                  <c:v>635.70766708322481</c:v>
                </c:pt>
                <c:pt idx="447">
                  <c:v>5145.06588208015</c:v>
                </c:pt>
                <c:pt idx="448">
                  <c:v>1915.9837455790366</c:v>
                </c:pt>
                <c:pt idx="449">
                  <c:v>3829.7988329696364</c:v>
                </c:pt>
                <c:pt idx="450">
                  <c:v>2637.2743471377362</c:v>
                </c:pt>
                <c:pt idx="451">
                  <c:v>4114.4236214807652</c:v>
                </c:pt>
                <c:pt idx="452">
                  <c:v>2183.845095201299</c:v>
                </c:pt>
                <c:pt idx="453">
                  <c:v>1731.1946249750026</c:v>
                </c:pt>
                <c:pt idx="454">
                  <c:v>4171.4670408558068</c:v>
                </c:pt>
                <c:pt idx="455">
                  <c:v>845.49147546538279</c:v>
                </c:pt>
                <c:pt idx="456">
                  <c:v>4120.0460385640872</c:v>
                </c:pt>
                <c:pt idx="457">
                  <c:v>4765.7454602771386</c:v>
                </c:pt>
                <c:pt idx="458">
                  <c:v>3734.6090636171984</c:v>
                </c:pt>
                <c:pt idx="459">
                  <c:v>720.66977042392318</c:v>
                </c:pt>
                <c:pt idx="460">
                  <c:v>2223.7158301109639</c:v>
                </c:pt>
                <c:pt idx="461">
                  <c:v>1965.6847503169774</c:v>
                </c:pt>
                <c:pt idx="462">
                  <c:v>-1185.2389663061549</c:v>
                </c:pt>
                <c:pt idx="463">
                  <c:v>4352.9330992273035</c:v>
                </c:pt>
                <c:pt idx="464">
                  <c:v>2072.8532510825216</c:v>
                </c:pt>
                <c:pt idx="465">
                  <c:v>3400.9394553818192</c:v>
                </c:pt>
                <c:pt idx="466">
                  <c:v>3643.4422264246587</c:v>
                </c:pt>
                <c:pt idx="467">
                  <c:v>1920.9655631907881</c:v>
                </c:pt>
                <c:pt idx="468">
                  <c:v>3491.4414605167103</c:v>
                </c:pt>
                <c:pt idx="469">
                  <c:v>2740.2728747752444</c:v>
                </c:pt>
                <c:pt idx="470">
                  <c:v>3569.7568137410226</c:v>
                </c:pt>
                <c:pt idx="471">
                  <c:v>3512.1080968292499</c:v>
                </c:pt>
                <c:pt idx="472">
                  <c:v>246.81261456260381</c:v>
                </c:pt>
                <c:pt idx="473">
                  <c:v>3185.7262222687968</c:v>
                </c:pt>
                <c:pt idx="474">
                  <c:v>2814.0135792953433</c:v>
                </c:pt>
                <c:pt idx="475">
                  <c:v>2252.304308032094</c:v>
                </c:pt>
                <c:pt idx="476">
                  <c:v>4293.16875410797</c:v>
                </c:pt>
                <c:pt idx="477">
                  <c:v>1747.6355202722907</c:v>
                </c:pt>
                <c:pt idx="478">
                  <c:v>3383.349791944519</c:v>
                </c:pt>
                <c:pt idx="479">
                  <c:v>3124.9707984858433</c:v>
                </c:pt>
                <c:pt idx="480">
                  <c:v>1133.0895700364335</c:v>
                </c:pt>
                <c:pt idx="481">
                  <c:v>2802.062594697225</c:v>
                </c:pt>
                <c:pt idx="482">
                  <c:v>3585.73150148476</c:v>
                </c:pt>
                <c:pt idx="483">
                  <c:v>3339.2688466030586</c:v>
                </c:pt>
                <c:pt idx="484">
                  <c:v>2004.715312309595</c:v>
                </c:pt>
                <c:pt idx="485">
                  <c:v>843.56052089058721</c:v>
                </c:pt>
                <c:pt idx="486">
                  <c:v>-160.21762193537688</c:v>
                </c:pt>
                <c:pt idx="487">
                  <c:v>1353.551015455414</c:v>
                </c:pt>
                <c:pt idx="488">
                  <c:v>473.81718956677287</c:v>
                </c:pt>
                <c:pt idx="489">
                  <c:v>2592.3155942785161</c:v>
                </c:pt>
                <c:pt idx="490">
                  <c:v>3758.629513570264</c:v>
                </c:pt>
                <c:pt idx="491">
                  <c:v>2826.5644506048984</c:v>
                </c:pt>
                <c:pt idx="492">
                  <c:v>2248.3890158174218</c:v>
                </c:pt>
                <c:pt idx="493">
                  <c:v>4813.5616951237844</c:v>
                </c:pt>
                <c:pt idx="494">
                  <c:v>3147.212887396443</c:v>
                </c:pt>
                <c:pt idx="495">
                  <c:v>3054.4895133956652</c:v>
                </c:pt>
                <c:pt idx="496">
                  <c:v>4221.4384524878651</c:v>
                </c:pt>
                <c:pt idx="497">
                  <c:v>1467.4251172040622</c:v>
                </c:pt>
                <c:pt idx="498">
                  <c:v>3015.4873745049981</c:v>
                </c:pt>
                <c:pt idx="499">
                  <c:v>3054.0780765989284</c:v>
                </c:pt>
                <c:pt idx="500">
                  <c:v>3951.5341490654882</c:v>
                </c:pt>
                <c:pt idx="501">
                  <c:v>2050.3506379450873</c:v>
                </c:pt>
                <c:pt idx="502">
                  <c:v>-120.3848558630998</c:v>
                </c:pt>
                <c:pt idx="503">
                  <c:v>2871.833548832843</c:v>
                </c:pt>
                <c:pt idx="504">
                  <c:v>2643.1609329169441</c:v>
                </c:pt>
                <c:pt idx="505">
                  <c:v>2371.2740887412292</c:v>
                </c:pt>
                <c:pt idx="506">
                  <c:v>2356.181475459076</c:v>
                </c:pt>
                <c:pt idx="507">
                  <c:v>2151.4214941637229</c:v>
                </c:pt>
                <c:pt idx="508">
                  <c:v>3983.0455580853704</c:v>
                </c:pt>
                <c:pt idx="509">
                  <c:v>2647.5549918353427</c:v>
                </c:pt>
                <c:pt idx="510">
                  <c:v>2906.4152999616463</c:v>
                </c:pt>
                <c:pt idx="511">
                  <c:v>2428.229892052068</c:v>
                </c:pt>
                <c:pt idx="512">
                  <c:v>934.40807895220678</c:v>
                </c:pt>
                <c:pt idx="513">
                  <c:v>1785.7419288777337</c:v>
                </c:pt>
                <c:pt idx="514">
                  <c:v>3321.2891480219687</c:v>
                </c:pt>
                <c:pt idx="515">
                  <c:v>656.60594435786152</c:v>
                </c:pt>
                <c:pt idx="516">
                  <c:v>4023.3208629095534</c:v>
                </c:pt>
                <c:pt idx="517">
                  <c:v>1675.2229508167402</c:v>
                </c:pt>
                <c:pt idx="518">
                  <c:v>3897.6246029207277</c:v>
                </c:pt>
                <c:pt idx="519">
                  <c:v>3736.1220083757689</c:v>
                </c:pt>
                <c:pt idx="520">
                  <c:v>1524.5463486138506</c:v>
                </c:pt>
                <c:pt idx="521">
                  <c:v>1361.5162676339078</c:v>
                </c:pt>
                <c:pt idx="522">
                  <c:v>2466.1150261505336</c:v>
                </c:pt>
                <c:pt idx="523">
                  <c:v>2257.5861680949183</c:v>
                </c:pt>
                <c:pt idx="524">
                  <c:v>4490.4087467085292</c:v>
                </c:pt>
                <c:pt idx="525">
                  <c:v>2197.3391805144156</c:v>
                </c:pt>
                <c:pt idx="526">
                  <c:v>1815.8018022257911</c:v>
                </c:pt>
                <c:pt idx="527">
                  <c:v>2470.8903987323474</c:v>
                </c:pt>
                <c:pt idx="528">
                  <c:v>3366.8414400521679</c:v>
                </c:pt>
                <c:pt idx="529">
                  <c:v>3520.6047119814093</c:v>
                </c:pt>
                <c:pt idx="530">
                  <c:v>2465.8007836824127</c:v>
                </c:pt>
                <c:pt idx="531">
                  <c:v>1789.7349569501212</c:v>
                </c:pt>
                <c:pt idx="532">
                  <c:v>1246.9736448000776</c:v>
                </c:pt>
                <c:pt idx="533">
                  <c:v>3868.0449405300978</c:v>
                </c:pt>
                <c:pt idx="534">
                  <c:v>702.93061383685199</c:v>
                </c:pt>
                <c:pt idx="535">
                  <c:v>3153.8613317444751</c:v>
                </c:pt>
                <c:pt idx="536">
                  <c:v>3747.2457437629937</c:v>
                </c:pt>
                <c:pt idx="537">
                  <c:v>257.91328452869675</c:v>
                </c:pt>
                <c:pt idx="538">
                  <c:v>3851.4077089155071</c:v>
                </c:pt>
                <c:pt idx="539">
                  <c:v>3655.6251228324518</c:v>
                </c:pt>
                <c:pt idx="540">
                  <c:v>767.20046891394668</c:v>
                </c:pt>
                <c:pt idx="541">
                  <c:v>2450.1853915810543</c:v>
                </c:pt>
                <c:pt idx="542">
                  <c:v>4295.7446632834117</c:v>
                </c:pt>
                <c:pt idx="543">
                  <c:v>3360.1494391848701</c:v>
                </c:pt>
                <c:pt idx="544">
                  <c:v>3033.8588552720685</c:v>
                </c:pt>
                <c:pt idx="545">
                  <c:v>287.83848104133722</c:v>
                </c:pt>
                <c:pt idx="546">
                  <c:v>1527.0732546909694</c:v>
                </c:pt>
                <c:pt idx="547">
                  <c:v>2765.3626295116264</c:v>
                </c:pt>
                <c:pt idx="548">
                  <c:v>2447.0331943273786</c:v>
                </c:pt>
                <c:pt idx="549">
                  <c:v>4682.486330046012</c:v>
                </c:pt>
                <c:pt idx="550">
                  <c:v>3017.0517068886347</c:v>
                </c:pt>
                <c:pt idx="551">
                  <c:v>2203.4477355123454</c:v>
                </c:pt>
                <c:pt idx="552">
                  <c:v>-1035.0332211928253</c:v>
                </c:pt>
                <c:pt idx="553">
                  <c:v>2112.4517617434467</c:v>
                </c:pt>
                <c:pt idx="554">
                  <c:v>3594.518767233626</c:v>
                </c:pt>
                <c:pt idx="555">
                  <c:v>2865.8138493757378</c:v>
                </c:pt>
                <c:pt idx="556">
                  <c:v>2449.3614267238872</c:v>
                </c:pt>
                <c:pt idx="557">
                  <c:v>1338.9003243694187</c:v>
                </c:pt>
                <c:pt idx="558">
                  <c:v>5682.1099558283413</c:v>
                </c:pt>
                <c:pt idx="559">
                  <c:v>1449.1511209836308</c:v>
                </c:pt>
                <c:pt idx="560">
                  <c:v>3477.3518038960456</c:v>
                </c:pt>
                <c:pt idx="561">
                  <c:v>3391.3682501886415</c:v>
                </c:pt>
                <c:pt idx="562">
                  <c:v>3386.619531676396</c:v>
                </c:pt>
                <c:pt idx="563">
                  <c:v>854.28601842464195</c:v>
                </c:pt>
                <c:pt idx="564">
                  <c:v>3726.6377575466131</c:v>
                </c:pt>
                <c:pt idx="565">
                  <c:v>1682.6044119421676</c:v>
                </c:pt>
                <c:pt idx="566">
                  <c:v>589.42605503119012</c:v>
                </c:pt>
                <c:pt idx="567">
                  <c:v>711.47681819529498</c:v>
                </c:pt>
                <c:pt idx="568">
                  <c:v>1188.7506268386423</c:v>
                </c:pt>
                <c:pt idx="569">
                  <c:v>1651.0462393273574</c:v>
                </c:pt>
                <c:pt idx="570">
                  <c:v>3244.5808112835148</c:v>
                </c:pt>
                <c:pt idx="571">
                  <c:v>2784.2396152581723</c:v>
                </c:pt>
                <c:pt idx="572">
                  <c:v>4582.4904232474246</c:v>
                </c:pt>
                <c:pt idx="573">
                  <c:v>2969.7344307137246</c:v>
                </c:pt>
                <c:pt idx="574">
                  <c:v>5172.0140555237995</c:v>
                </c:pt>
                <c:pt idx="575">
                  <c:v>3751.8900183886653</c:v>
                </c:pt>
                <c:pt idx="576">
                  <c:v>3279.4743716315634</c:v>
                </c:pt>
                <c:pt idx="577">
                  <c:v>3903.2135714773385</c:v>
                </c:pt>
                <c:pt idx="578">
                  <c:v>4514.7392249956729</c:v>
                </c:pt>
                <c:pt idx="579">
                  <c:v>3560.6492643078036</c:v>
                </c:pt>
                <c:pt idx="580">
                  <c:v>4307.3165338706785</c:v>
                </c:pt>
                <c:pt idx="581">
                  <c:v>2919.3992738323022</c:v>
                </c:pt>
                <c:pt idx="582">
                  <c:v>1032.9556125240069</c:v>
                </c:pt>
                <c:pt idx="583">
                  <c:v>2248.4162169991132</c:v>
                </c:pt>
                <c:pt idx="584">
                  <c:v>4849.1507392811927</c:v>
                </c:pt>
                <c:pt idx="585">
                  <c:v>3532.0928938097641</c:v>
                </c:pt>
                <c:pt idx="586">
                  <c:v>3223.9049014659886</c:v>
                </c:pt>
                <c:pt idx="587">
                  <c:v>2524.0581960372547</c:v>
                </c:pt>
                <c:pt idx="588">
                  <c:v>4229.9502520976857</c:v>
                </c:pt>
                <c:pt idx="589">
                  <c:v>2599.0276099872663</c:v>
                </c:pt>
                <c:pt idx="590">
                  <c:v>3467.0685668186625</c:v>
                </c:pt>
                <c:pt idx="591">
                  <c:v>2607.6844452803998</c:v>
                </c:pt>
                <c:pt idx="592">
                  <c:v>2259.9847946458085</c:v>
                </c:pt>
                <c:pt idx="593">
                  <c:v>2540.1118287285581</c:v>
                </c:pt>
                <c:pt idx="594">
                  <c:v>3872.6942217655696</c:v>
                </c:pt>
                <c:pt idx="595">
                  <c:v>1939.2032876349849</c:v>
                </c:pt>
                <c:pt idx="596">
                  <c:v>1646.7100639279888</c:v>
                </c:pt>
                <c:pt idx="597">
                  <c:v>1911.2799214738661</c:v>
                </c:pt>
                <c:pt idx="598">
                  <c:v>2761.6040630274547</c:v>
                </c:pt>
                <c:pt idx="599">
                  <c:v>712.64793468981406</c:v>
                </c:pt>
                <c:pt idx="600">
                  <c:v>1746.4028368471691</c:v>
                </c:pt>
                <c:pt idx="601">
                  <c:v>4672.3769321541195</c:v>
                </c:pt>
                <c:pt idx="602">
                  <c:v>1461.7427378746297</c:v>
                </c:pt>
                <c:pt idx="603">
                  <c:v>2837.0048088532376</c:v>
                </c:pt>
                <c:pt idx="604">
                  <c:v>3302.7708014853724</c:v>
                </c:pt>
                <c:pt idx="605">
                  <c:v>2228.6161104497096</c:v>
                </c:pt>
                <c:pt idx="606">
                  <c:v>3166.2549741970679</c:v>
                </c:pt>
                <c:pt idx="607">
                  <c:v>1100.582872949084</c:v>
                </c:pt>
                <c:pt idx="608">
                  <c:v>3739.5566438964606</c:v>
                </c:pt>
                <c:pt idx="609">
                  <c:v>1813.1244763782606</c:v>
                </c:pt>
                <c:pt idx="610">
                  <c:v>3236.7573471164678</c:v>
                </c:pt>
                <c:pt idx="611">
                  <c:v>3287.7814521801265</c:v>
                </c:pt>
                <c:pt idx="612">
                  <c:v>1544.279263585644</c:v>
                </c:pt>
                <c:pt idx="613">
                  <c:v>3683.7985515098944</c:v>
                </c:pt>
                <c:pt idx="614">
                  <c:v>3681.1982536614869</c:v>
                </c:pt>
                <c:pt idx="615">
                  <c:v>2922.8463157293527</c:v>
                </c:pt>
                <c:pt idx="616">
                  <c:v>2612.8018817254078</c:v>
                </c:pt>
                <c:pt idx="617">
                  <c:v>-228.02125789520142</c:v>
                </c:pt>
                <c:pt idx="618">
                  <c:v>2846.5855567434337</c:v>
                </c:pt>
                <c:pt idx="619">
                  <c:v>1271.8552639206409</c:v>
                </c:pt>
                <c:pt idx="620">
                  <c:v>4446.3207060313207</c:v>
                </c:pt>
                <c:pt idx="621">
                  <c:v>2630.7852582696605</c:v>
                </c:pt>
                <c:pt idx="622">
                  <c:v>2081.0428413914669</c:v>
                </c:pt>
                <c:pt idx="623">
                  <c:v>4155.1533609583184</c:v>
                </c:pt>
                <c:pt idx="624">
                  <c:v>2521.5756442513375</c:v>
                </c:pt>
                <c:pt idx="625">
                  <c:v>416.62084615745334</c:v>
                </c:pt>
                <c:pt idx="626">
                  <c:v>3320.9562529748682</c:v>
                </c:pt>
                <c:pt idx="627">
                  <c:v>3292.5296742445225</c:v>
                </c:pt>
                <c:pt idx="628">
                  <c:v>2691.6238454350032</c:v>
                </c:pt>
                <c:pt idx="629">
                  <c:v>3468.502992952468</c:v>
                </c:pt>
                <c:pt idx="630">
                  <c:v>2984.9814349311473</c:v>
                </c:pt>
                <c:pt idx="631">
                  <c:v>1265.7547085217229</c:v>
                </c:pt>
                <c:pt idx="632">
                  <c:v>2908.3563114616882</c:v>
                </c:pt>
                <c:pt idx="633">
                  <c:v>1419.2554039401439</c:v>
                </c:pt>
                <c:pt idx="634">
                  <c:v>2243.8342666078524</c:v>
                </c:pt>
                <c:pt idx="635">
                  <c:v>3659.7268509066662</c:v>
                </c:pt>
                <c:pt idx="636">
                  <c:v>4331.5853550978609</c:v>
                </c:pt>
                <c:pt idx="637">
                  <c:v>2954.1716976749331</c:v>
                </c:pt>
                <c:pt idx="638">
                  <c:v>3101.3748856984612</c:v>
                </c:pt>
                <c:pt idx="639">
                  <c:v>3104.7152055210445</c:v>
                </c:pt>
                <c:pt idx="640">
                  <c:v>1927.6276461501348</c:v>
                </c:pt>
                <c:pt idx="641">
                  <c:v>3322.0187326824698</c:v>
                </c:pt>
                <c:pt idx="642">
                  <c:v>4401.3096989262867</c:v>
                </c:pt>
                <c:pt idx="643">
                  <c:v>4045.7512008771773</c:v>
                </c:pt>
                <c:pt idx="644">
                  <c:v>536.44562370189487</c:v>
                </c:pt>
                <c:pt idx="645">
                  <c:v>2367.590833119566</c:v>
                </c:pt>
                <c:pt idx="646">
                  <c:v>2959.9721026751458</c:v>
                </c:pt>
                <c:pt idx="647">
                  <c:v>1425.0963898993077</c:v>
                </c:pt>
                <c:pt idx="648">
                  <c:v>3161.0754255138863</c:v>
                </c:pt>
                <c:pt idx="649">
                  <c:v>1442.7542476535264</c:v>
                </c:pt>
                <c:pt idx="650">
                  <c:v>2426.3692013581585</c:v>
                </c:pt>
                <c:pt idx="651">
                  <c:v>2860.0303018349614</c:v>
                </c:pt>
                <c:pt idx="652">
                  <c:v>3772.0523425203892</c:v>
                </c:pt>
                <c:pt idx="653">
                  <c:v>3362.807968770664</c:v>
                </c:pt>
                <c:pt idx="654">
                  <c:v>3124.1149220762109</c:v>
                </c:pt>
                <c:pt idx="655">
                  <c:v>3206.7961015170868</c:v>
                </c:pt>
                <c:pt idx="656">
                  <c:v>3665.9976852138989</c:v>
                </c:pt>
                <c:pt idx="657">
                  <c:v>2284.8126314831261</c:v>
                </c:pt>
                <c:pt idx="658">
                  <c:v>3954.9702122914287</c:v>
                </c:pt>
                <c:pt idx="659">
                  <c:v>2248.9386414561104</c:v>
                </c:pt>
                <c:pt idx="660">
                  <c:v>1969.6791279545741</c:v>
                </c:pt>
                <c:pt idx="661">
                  <c:v>2259.4503846150137</c:v>
                </c:pt>
                <c:pt idx="662">
                  <c:v>3300.2213225661844</c:v>
                </c:pt>
                <c:pt idx="663">
                  <c:v>3562.2324649691463</c:v>
                </c:pt>
                <c:pt idx="664">
                  <c:v>2663.3504354806701</c:v>
                </c:pt>
                <c:pt idx="665">
                  <c:v>1201.8670678312192</c:v>
                </c:pt>
                <c:pt idx="666">
                  <c:v>4606.0140610266508</c:v>
                </c:pt>
                <c:pt idx="667">
                  <c:v>1897.4367715012086</c:v>
                </c:pt>
                <c:pt idx="668">
                  <c:v>2319.5177355875167</c:v>
                </c:pt>
                <c:pt idx="669">
                  <c:v>845.58450839035504</c:v>
                </c:pt>
                <c:pt idx="670">
                  <c:v>2186.7790170580593</c:v>
                </c:pt>
                <c:pt idx="671">
                  <c:v>-1076.4140816409981</c:v>
                </c:pt>
                <c:pt idx="672">
                  <c:v>2720.0517529996487</c:v>
                </c:pt>
                <c:pt idx="673">
                  <c:v>3403.052863719905</c:v>
                </c:pt>
                <c:pt idx="674">
                  <c:v>2467.6637965454956</c:v>
                </c:pt>
                <c:pt idx="675">
                  <c:v>3765.0319364480929</c:v>
                </c:pt>
                <c:pt idx="676">
                  <c:v>3276.8301111288238</c:v>
                </c:pt>
                <c:pt idx="677">
                  <c:v>3048.9073297108343</c:v>
                </c:pt>
                <c:pt idx="678">
                  <c:v>1892.2264272942584</c:v>
                </c:pt>
                <c:pt idx="679">
                  <c:v>3495.9154100695041</c:v>
                </c:pt>
                <c:pt idx="680">
                  <c:v>308.34280662863057</c:v>
                </c:pt>
                <c:pt idx="681">
                  <c:v>3730.5116633846692</c:v>
                </c:pt>
                <c:pt idx="682">
                  <c:v>2491.091190387654</c:v>
                </c:pt>
                <c:pt idx="683">
                  <c:v>2728.4839088180061</c:v>
                </c:pt>
                <c:pt idx="684">
                  <c:v>3321.7366829656203</c:v>
                </c:pt>
                <c:pt idx="685">
                  <c:v>4224.2138948002239</c:v>
                </c:pt>
                <c:pt idx="686">
                  <c:v>2217.2808911196662</c:v>
                </c:pt>
                <c:pt idx="687">
                  <c:v>555.46833898304794</c:v>
                </c:pt>
                <c:pt idx="688">
                  <c:v>2100.7097473109898</c:v>
                </c:pt>
                <c:pt idx="689">
                  <c:v>5412.9313699070972</c:v>
                </c:pt>
                <c:pt idx="690">
                  <c:v>1729.6889392252542</c:v>
                </c:pt>
                <c:pt idx="691">
                  <c:v>3553.7811185050268</c:v>
                </c:pt>
                <c:pt idx="692">
                  <c:v>2615.6932539519285</c:v>
                </c:pt>
                <c:pt idx="693">
                  <c:v>4302.8778920785635</c:v>
                </c:pt>
                <c:pt idx="694">
                  <c:v>928.77834087055089</c:v>
                </c:pt>
                <c:pt idx="695">
                  <c:v>2059.245588699825</c:v>
                </c:pt>
                <c:pt idx="696">
                  <c:v>3299.3994350720232</c:v>
                </c:pt>
                <c:pt idx="697">
                  <c:v>1319.3101490124682</c:v>
                </c:pt>
                <c:pt idx="698">
                  <c:v>2526.4232733293165</c:v>
                </c:pt>
                <c:pt idx="699">
                  <c:v>931.45491043366928</c:v>
                </c:pt>
                <c:pt idx="700">
                  <c:v>3252.4885840307779</c:v>
                </c:pt>
                <c:pt idx="701">
                  <c:v>3766.924585601424</c:v>
                </c:pt>
                <c:pt idx="702">
                  <c:v>3186.904058242696</c:v>
                </c:pt>
                <c:pt idx="703">
                  <c:v>3515.2547454896358</c:v>
                </c:pt>
                <c:pt idx="704">
                  <c:v>2219.3313726772994</c:v>
                </c:pt>
                <c:pt idx="705">
                  <c:v>1064.4233108579465</c:v>
                </c:pt>
                <c:pt idx="706">
                  <c:v>2050.9345084395545</c:v>
                </c:pt>
                <c:pt idx="707">
                  <c:v>2631.5383494207799</c:v>
                </c:pt>
                <c:pt idx="708">
                  <c:v>2517.5265455025037</c:v>
                </c:pt>
                <c:pt idx="709">
                  <c:v>3089.1014832991414</c:v>
                </c:pt>
                <c:pt idx="710">
                  <c:v>2725.7060692743817</c:v>
                </c:pt>
                <c:pt idx="711">
                  <c:v>3448.6332943726429</c:v>
                </c:pt>
                <c:pt idx="712">
                  <c:v>3555.2700543665242</c:v>
                </c:pt>
                <c:pt idx="713">
                  <c:v>4059.8592587776711</c:v>
                </c:pt>
                <c:pt idx="714">
                  <c:v>1531.9223081605487</c:v>
                </c:pt>
                <c:pt idx="715">
                  <c:v>1808.1748264648359</c:v>
                </c:pt>
                <c:pt idx="716">
                  <c:v>5114.8435821789972</c:v>
                </c:pt>
                <c:pt idx="717">
                  <c:v>2789.1999737177475</c:v>
                </c:pt>
                <c:pt idx="718">
                  <c:v>2197.7702559592881</c:v>
                </c:pt>
                <c:pt idx="719">
                  <c:v>4703.6829687216441</c:v>
                </c:pt>
                <c:pt idx="720">
                  <c:v>2880.5448859968492</c:v>
                </c:pt>
                <c:pt idx="721">
                  <c:v>1050.4405178599991</c:v>
                </c:pt>
                <c:pt idx="722">
                  <c:v>-1044.6631483150486</c:v>
                </c:pt>
                <c:pt idx="723">
                  <c:v>2569.7963818771277</c:v>
                </c:pt>
                <c:pt idx="724">
                  <c:v>3960.7133021387581</c:v>
                </c:pt>
                <c:pt idx="725">
                  <c:v>2579.1269754600098</c:v>
                </c:pt>
                <c:pt idx="726">
                  <c:v>2752.659857013311</c:v>
                </c:pt>
                <c:pt idx="727">
                  <c:v>3089.8825905494223</c:v>
                </c:pt>
                <c:pt idx="728">
                  <c:v>3742.500843943667</c:v>
                </c:pt>
                <c:pt idx="729">
                  <c:v>3162.0395763709466</c:v>
                </c:pt>
                <c:pt idx="730">
                  <c:v>2583.5818427749819</c:v>
                </c:pt>
                <c:pt idx="731">
                  <c:v>1235.1688398509777</c:v>
                </c:pt>
                <c:pt idx="732">
                  <c:v>2111.876696297637</c:v>
                </c:pt>
                <c:pt idx="733">
                  <c:v>2052.799927810308</c:v>
                </c:pt>
                <c:pt idx="734">
                  <c:v>4234.3719712659795</c:v>
                </c:pt>
                <c:pt idx="735">
                  <c:v>2114.1188910185883</c:v>
                </c:pt>
                <c:pt idx="736">
                  <c:v>1402.4005910512242</c:v>
                </c:pt>
                <c:pt idx="737">
                  <c:v>2880.2389957309933</c:v>
                </c:pt>
                <c:pt idx="738">
                  <c:v>3822.3796987352443</c:v>
                </c:pt>
                <c:pt idx="739">
                  <c:v>2362.4907692750467</c:v>
                </c:pt>
                <c:pt idx="740">
                  <c:v>3612.4578064203624</c:v>
                </c:pt>
                <c:pt idx="741">
                  <c:v>-166.60581705800359</c:v>
                </c:pt>
                <c:pt idx="742">
                  <c:v>3722.7607431639926</c:v>
                </c:pt>
                <c:pt idx="743">
                  <c:v>2435.9593652343683</c:v>
                </c:pt>
                <c:pt idx="744">
                  <c:v>2586.6822826495027</c:v>
                </c:pt>
                <c:pt idx="745">
                  <c:v>832.0110922290005</c:v>
                </c:pt>
                <c:pt idx="746">
                  <c:v>3696.3477791736241</c:v>
                </c:pt>
                <c:pt idx="747">
                  <c:v>921.26741797196155</c:v>
                </c:pt>
                <c:pt idx="748">
                  <c:v>4667.7098634089407</c:v>
                </c:pt>
                <c:pt idx="749">
                  <c:v>2369.7680269831144</c:v>
                </c:pt>
                <c:pt idx="750">
                  <c:v>1870.3164088960839</c:v>
                </c:pt>
                <c:pt idx="751">
                  <c:v>3158.9285791526518</c:v>
                </c:pt>
                <c:pt idx="752">
                  <c:v>3694.8119967441944</c:v>
                </c:pt>
                <c:pt idx="753">
                  <c:v>3378.726899181208</c:v>
                </c:pt>
                <c:pt idx="754">
                  <c:v>2625.9118335337771</c:v>
                </c:pt>
                <c:pt idx="755">
                  <c:v>3408.4246724089226</c:v>
                </c:pt>
                <c:pt idx="756">
                  <c:v>1380.4691332613775</c:v>
                </c:pt>
                <c:pt idx="757">
                  <c:v>2211.8681930397515</c:v>
                </c:pt>
                <c:pt idx="758">
                  <c:v>844.51796325351461</c:v>
                </c:pt>
                <c:pt idx="759">
                  <c:v>2484.9160542226909</c:v>
                </c:pt>
                <c:pt idx="760">
                  <c:v>1982.3883542011554</c:v>
                </c:pt>
                <c:pt idx="761">
                  <c:v>3014.7144182435122</c:v>
                </c:pt>
                <c:pt idx="762">
                  <c:v>1779.8609805730184</c:v>
                </c:pt>
                <c:pt idx="763">
                  <c:v>3978.2432449119215</c:v>
                </c:pt>
                <c:pt idx="764">
                  <c:v>2954.7944663452508</c:v>
                </c:pt>
                <c:pt idx="765">
                  <c:v>3950.7660661661421</c:v>
                </c:pt>
                <c:pt idx="766">
                  <c:v>2172.0758720448866</c:v>
                </c:pt>
                <c:pt idx="767">
                  <c:v>3056.7457164778025</c:v>
                </c:pt>
                <c:pt idx="768">
                  <c:v>1528.2838060167542</c:v>
                </c:pt>
                <c:pt idx="769">
                  <c:v>3422.9004811725181</c:v>
                </c:pt>
                <c:pt idx="770">
                  <c:v>2845.8725883116977</c:v>
                </c:pt>
                <c:pt idx="771">
                  <c:v>3637.1652643541174</c:v>
                </c:pt>
                <c:pt idx="772">
                  <c:v>2154.9344189632284</c:v>
                </c:pt>
                <c:pt idx="773">
                  <c:v>243.66503281101723</c:v>
                </c:pt>
                <c:pt idx="774">
                  <c:v>4801.9991308360759</c:v>
                </c:pt>
                <c:pt idx="775">
                  <c:v>2900.0866820400679</c:v>
                </c:pt>
                <c:pt idx="776">
                  <c:v>-341.52330819123381</c:v>
                </c:pt>
                <c:pt idx="777">
                  <c:v>2715.5924479221239</c:v>
                </c:pt>
                <c:pt idx="778">
                  <c:v>2846.8533080521884</c:v>
                </c:pt>
                <c:pt idx="779">
                  <c:v>2412.7470324773676</c:v>
                </c:pt>
                <c:pt idx="780">
                  <c:v>1450.8677153767649</c:v>
                </c:pt>
                <c:pt idx="781">
                  <c:v>3807.0728975542752</c:v>
                </c:pt>
                <c:pt idx="782">
                  <c:v>4289.558107289301</c:v>
                </c:pt>
                <c:pt idx="783">
                  <c:v>1250.2898501515483</c:v>
                </c:pt>
                <c:pt idx="784">
                  <c:v>1191.4948817294444</c:v>
                </c:pt>
                <c:pt idx="785">
                  <c:v>3391.7915701315287</c:v>
                </c:pt>
                <c:pt idx="786">
                  <c:v>2049.4158352967788</c:v>
                </c:pt>
                <c:pt idx="787">
                  <c:v>2200.0142680672889</c:v>
                </c:pt>
                <c:pt idx="788">
                  <c:v>2479.5626783735834</c:v>
                </c:pt>
                <c:pt idx="789">
                  <c:v>3890.9695296814743</c:v>
                </c:pt>
                <c:pt idx="790">
                  <c:v>4141.7936629036185</c:v>
                </c:pt>
                <c:pt idx="791">
                  <c:v>2469.7223185566399</c:v>
                </c:pt>
                <c:pt idx="792">
                  <c:v>2510.0410526529877</c:v>
                </c:pt>
                <c:pt idx="793">
                  <c:v>2946.5124360244081</c:v>
                </c:pt>
                <c:pt idx="794">
                  <c:v>2060.711918500424</c:v>
                </c:pt>
                <c:pt idx="795">
                  <c:v>4306.9926525063374</c:v>
                </c:pt>
                <c:pt idx="796">
                  <c:v>3357.4574682413395</c:v>
                </c:pt>
                <c:pt idx="797">
                  <c:v>884.76508025077601</c:v>
                </c:pt>
                <c:pt idx="798">
                  <c:v>1677.9778326731775</c:v>
                </c:pt>
                <c:pt idx="799">
                  <c:v>3830.1435126619999</c:v>
                </c:pt>
                <c:pt idx="800">
                  <c:v>2978.1936237764357</c:v>
                </c:pt>
                <c:pt idx="801">
                  <c:v>3518.5628397886021</c:v>
                </c:pt>
                <c:pt idx="802">
                  <c:v>2433.0469602726471</c:v>
                </c:pt>
                <c:pt idx="803">
                  <c:v>2079.3413858411968</c:v>
                </c:pt>
                <c:pt idx="804">
                  <c:v>1180.6158943920873</c:v>
                </c:pt>
                <c:pt idx="805">
                  <c:v>2820.6827978293786</c:v>
                </c:pt>
                <c:pt idx="806">
                  <c:v>1332.3665216474701</c:v>
                </c:pt>
                <c:pt idx="807">
                  <c:v>1249.9609110813526</c:v>
                </c:pt>
                <c:pt idx="808">
                  <c:v>4196.4736010182369</c:v>
                </c:pt>
                <c:pt idx="809">
                  <c:v>4213.139528049006</c:v>
                </c:pt>
                <c:pt idx="810">
                  <c:v>2561.839164817291</c:v>
                </c:pt>
                <c:pt idx="811">
                  <c:v>4051.2237904114008</c:v>
                </c:pt>
                <c:pt idx="812">
                  <c:v>972.40268570298576</c:v>
                </c:pt>
                <c:pt idx="813">
                  <c:v>3226.4737133427443</c:v>
                </c:pt>
                <c:pt idx="814">
                  <c:v>2241.3353668735172</c:v>
                </c:pt>
                <c:pt idx="815">
                  <c:v>3621.7955570612703</c:v>
                </c:pt>
                <c:pt idx="816">
                  <c:v>3200.8806279134833</c:v>
                </c:pt>
                <c:pt idx="817">
                  <c:v>3840.4482844948652</c:v>
                </c:pt>
                <c:pt idx="818">
                  <c:v>2588.1371775437219</c:v>
                </c:pt>
                <c:pt idx="819">
                  <c:v>2808.4873424459074</c:v>
                </c:pt>
                <c:pt idx="820">
                  <c:v>3696.277824635351</c:v>
                </c:pt>
                <c:pt idx="821">
                  <c:v>2373.5520561650619</c:v>
                </c:pt>
                <c:pt idx="822">
                  <c:v>2877.4552142583016</c:v>
                </c:pt>
                <c:pt idx="823">
                  <c:v>2395.624521817509</c:v>
                </c:pt>
                <c:pt idx="824">
                  <c:v>4093.6721008811683</c:v>
                </c:pt>
                <c:pt idx="825">
                  <c:v>2323.3471477096691</c:v>
                </c:pt>
                <c:pt idx="826">
                  <c:v>3361.9371169857004</c:v>
                </c:pt>
                <c:pt idx="827">
                  <c:v>2971.9656209980676</c:v>
                </c:pt>
                <c:pt idx="828">
                  <c:v>3543.3940368461426</c:v>
                </c:pt>
                <c:pt idx="829">
                  <c:v>3751.942855797598</c:v>
                </c:pt>
                <c:pt idx="830">
                  <c:v>2066.7420288924231</c:v>
                </c:pt>
                <c:pt idx="831">
                  <c:v>3314.4040180418542</c:v>
                </c:pt>
                <c:pt idx="832">
                  <c:v>3553.3333446859078</c:v>
                </c:pt>
                <c:pt idx="833">
                  <c:v>2671.6913312607821</c:v>
                </c:pt>
                <c:pt idx="834">
                  <c:v>2476.9305051802985</c:v>
                </c:pt>
                <c:pt idx="835">
                  <c:v>2650.8574446541115</c:v>
                </c:pt>
                <c:pt idx="836">
                  <c:v>4719.1782271783086</c:v>
                </c:pt>
                <c:pt idx="837">
                  <c:v>792.97156919869121</c:v>
                </c:pt>
                <c:pt idx="838">
                  <c:v>610.89193941060876</c:v>
                </c:pt>
                <c:pt idx="839">
                  <c:v>3754.8215311524909</c:v>
                </c:pt>
                <c:pt idx="840">
                  <c:v>2069.3791926321537</c:v>
                </c:pt>
                <c:pt idx="841">
                  <c:v>4246.4433370025736</c:v>
                </c:pt>
                <c:pt idx="842">
                  <c:v>1703.1795259168093</c:v>
                </c:pt>
                <c:pt idx="843">
                  <c:v>1441.6864368006272</c:v>
                </c:pt>
                <c:pt idx="844">
                  <c:v>1931.0052799397909</c:v>
                </c:pt>
                <c:pt idx="845">
                  <c:v>4163.4850043904307</c:v>
                </c:pt>
                <c:pt idx="846">
                  <c:v>1452.0094232045303</c:v>
                </c:pt>
                <c:pt idx="847">
                  <c:v>2985.8761130153835</c:v>
                </c:pt>
                <c:pt idx="848">
                  <c:v>-1002.09418609977</c:v>
                </c:pt>
                <c:pt idx="849">
                  <c:v>4354.2849286038909</c:v>
                </c:pt>
                <c:pt idx="850">
                  <c:v>2291.6571697585086</c:v>
                </c:pt>
                <c:pt idx="851">
                  <c:v>2138.3346034040032</c:v>
                </c:pt>
                <c:pt idx="852">
                  <c:v>1563.5103519314735</c:v>
                </c:pt>
                <c:pt idx="853">
                  <c:v>3654.6952696087819</c:v>
                </c:pt>
                <c:pt idx="854">
                  <c:v>4943.312794422638</c:v>
                </c:pt>
                <c:pt idx="855">
                  <c:v>1668.1447734948761</c:v>
                </c:pt>
                <c:pt idx="856">
                  <c:v>1674.4809868866805</c:v>
                </c:pt>
                <c:pt idx="857">
                  <c:v>3276.9288181915417</c:v>
                </c:pt>
                <c:pt idx="858">
                  <c:v>1193.4274022723348</c:v>
                </c:pt>
                <c:pt idx="859">
                  <c:v>-386.34650182352743</c:v>
                </c:pt>
                <c:pt idx="860">
                  <c:v>3366.1216388599169</c:v>
                </c:pt>
                <c:pt idx="861">
                  <c:v>4261.2421830399617</c:v>
                </c:pt>
                <c:pt idx="862">
                  <c:v>4581.9852772098411</c:v>
                </c:pt>
                <c:pt idx="863">
                  <c:v>3763.8629110546444</c:v>
                </c:pt>
                <c:pt idx="864">
                  <c:v>2619.4034595467056</c:v>
                </c:pt>
                <c:pt idx="865">
                  <c:v>2991.9937004549565</c:v>
                </c:pt>
                <c:pt idx="866">
                  <c:v>1307.6138648012511</c:v>
                </c:pt>
                <c:pt idx="867">
                  <c:v>2225.2837819271463</c:v>
                </c:pt>
                <c:pt idx="868">
                  <c:v>2613.2232007684206</c:v>
                </c:pt>
                <c:pt idx="869">
                  <c:v>4126.6191856462146</c:v>
                </c:pt>
                <c:pt idx="870">
                  <c:v>2424.238869048484</c:v>
                </c:pt>
                <c:pt idx="871">
                  <c:v>3531.9729858205183</c:v>
                </c:pt>
                <c:pt idx="872">
                  <c:v>4007.1736069152821</c:v>
                </c:pt>
                <c:pt idx="873">
                  <c:v>3940.1989765064591</c:v>
                </c:pt>
                <c:pt idx="874">
                  <c:v>3456.1545173533477</c:v>
                </c:pt>
                <c:pt idx="875">
                  <c:v>1698.093100603347</c:v>
                </c:pt>
                <c:pt idx="876">
                  <c:v>4375.423072006256</c:v>
                </c:pt>
                <c:pt idx="877">
                  <c:v>2170.6877491753121</c:v>
                </c:pt>
                <c:pt idx="878">
                  <c:v>2633.6082653547974</c:v>
                </c:pt>
                <c:pt idx="879">
                  <c:v>3268.3880809627008</c:v>
                </c:pt>
                <c:pt idx="880">
                  <c:v>2482.3611285751876</c:v>
                </c:pt>
                <c:pt idx="881">
                  <c:v>2272.5045756988111</c:v>
                </c:pt>
                <c:pt idx="882">
                  <c:v>1632.0402751410475</c:v>
                </c:pt>
                <c:pt idx="883">
                  <c:v>3899.5300469933936</c:v>
                </c:pt>
                <c:pt idx="884">
                  <c:v>2625.0397637105316</c:v>
                </c:pt>
                <c:pt idx="885">
                  <c:v>2470.9456789920687</c:v>
                </c:pt>
                <c:pt idx="886">
                  <c:v>1199.691623439694</c:v>
                </c:pt>
                <c:pt idx="887">
                  <c:v>3580.0079866840379</c:v>
                </c:pt>
                <c:pt idx="888">
                  <c:v>3177.4853518074488</c:v>
                </c:pt>
                <c:pt idx="889">
                  <c:v>1694.0560099764543</c:v>
                </c:pt>
                <c:pt idx="890">
                  <c:v>3360.8494942063226</c:v>
                </c:pt>
                <c:pt idx="891">
                  <c:v>2809.4446311859956</c:v>
                </c:pt>
                <c:pt idx="892">
                  <c:v>2118.9299716337273</c:v>
                </c:pt>
                <c:pt idx="893">
                  <c:v>4103.7046508357016</c:v>
                </c:pt>
                <c:pt idx="894">
                  <c:v>3957.9615734888239</c:v>
                </c:pt>
                <c:pt idx="895">
                  <c:v>1595.0623369861896</c:v>
                </c:pt>
                <c:pt idx="896">
                  <c:v>1872.7296635508928</c:v>
                </c:pt>
                <c:pt idx="897">
                  <c:v>4026.0993423244108</c:v>
                </c:pt>
                <c:pt idx="898">
                  <c:v>3115.5165893970707</c:v>
                </c:pt>
                <c:pt idx="899">
                  <c:v>2629.2556466416445</c:v>
                </c:pt>
                <c:pt idx="900">
                  <c:v>2518.5387625268877</c:v>
                </c:pt>
                <c:pt idx="901">
                  <c:v>138.54207647435578</c:v>
                </c:pt>
                <c:pt idx="902">
                  <c:v>3397.2609748676678</c:v>
                </c:pt>
                <c:pt idx="903">
                  <c:v>2112.161502900196</c:v>
                </c:pt>
                <c:pt idx="904">
                  <c:v>2148.9033298005952</c:v>
                </c:pt>
                <c:pt idx="905">
                  <c:v>3331.5934982648914</c:v>
                </c:pt>
                <c:pt idx="906">
                  <c:v>3514.6814721000128</c:v>
                </c:pt>
                <c:pt idx="907">
                  <c:v>2314.1635715907269</c:v>
                </c:pt>
                <c:pt idx="908">
                  <c:v>4689.6078634354244</c:v>
                </c:pt>
                <c:pt idx="909">
                  <c:v>1148.1395720421788</c:v>
                </c:pt>
                <c:pt idx="910">
                  <c:v>4310.8346794641939</c:v>
                </c:pt>
                <c:pt idx="911">
                  <c:v>1829.1888235587676</c:v>
                </c:pt>
                <c:pt idx="912">
                  <c:v>3847.6028132121419</c:v>
                </c:pt>
                <c:pt idx="913">
                  <c:v>2415.0964917593574</c:v>
                </c:pt>
                <c:pt idx="914">
                  <c:v>983.01757534560056</c:v>
                </c:pt>
                <c:pt idx="915">
                  <c:v>2241.424137683638</c:v>
                </c:pt>
                <c:pt idx="916">
                  <c:v>-136.74231084079656</c:v>
                </c:pt>
                <c:pt idx="917">
                  <c:v>4051.9693520528263</c:v>
                </c:pt>
                <c:pt idx="918">
                  <c:v>3441.9335213151544</c:v>
                </c:pt>
                <c:pt idx="919">
                  <c:v>519.47534591897784</c:v>
                </c:pt>
                <c:pt idx="920">
                  <c:v>1246.0467710733974</c:v>
                </c:pt>
                <c:pt idx="921">
                  <c:v>-279.9589296606282</c:v>
                </c:pt>
                <c:pt idx="922">
                  <c:v>2074.8331705908422</c:v>
                </c:pt>
                <c:pt idx="923">
                  <c:v>3928.7503797522013</c:v>
                </c:pt>
                <c:pt idx="924">
                  <c:v>3292.4258898485523</c:v>
                </c:pt>
                <c:pt idx="925">
                  <c:v>3987.428050171703</c:v>
                </c:pt>
                <c:pt idx="926">
                  <c:v>-390.02930646197092</c:v>
                </c:pt>
                <c:pt idx="927">
                  <c:v>1516.7551294790464</c:v>
                </c:pt>
                <c:pt idx="928">
                  <c:v>2952.9562295455453</c:v>
                </c:pt>
                <c:pt idx="929">
                  <c:v>755.20571734628174</c:v>
                </c:pt>
                <c:pt idx="930">
                  <c:v>2515.9929512138542</c:v>
                </c:pt>
                <c:pt idx="931">
                  <c:v>2571.4171348848486</c:v>
                </c:pt>
                <c:pt idx="932">
                  <c:v>3299.2082511944118</c:v>
                </c:pt>
                <c:pt idx="933">
                  <c:v>2834.8742759225142</c:v>
                </c:pt>
                <c:pt idx="934">
                  <c:v>-1451.9539001043031</c:v>
                </c:pt>
                <c:pt idx="935">
                  <c:v>266.10962748762722</c:v>
                </c:pt>
                <c:pt idx="936">
                  <c:v>3162.0967466063548</c:v>
                </c:pt>
                <c:pt idx="937">
                  <c:v>2342.929283290794</c:v>
                </c:pt>
                <c:pt idx="938">
                  <c:v>3040.0189639411174</c:v>
                </c:pt>
                <c:pt idx="939">
                  <c:v>4224.276026689201</c:v>
                </c:pt>
                <c:pt idx="940">
                  <c:v>3792.7751244622123</c:v>
                </c:pt>
                <c:pt idx="941">
                  <c:v>3888.9332414990395</c:v>
                </c:pt>
                <c:pt idx="942">
                  <c:v>1627.5450103758376</c:v>
                </c:pt>
                <c:pt idx="943">
                  <c:v>2834.3548496595458</c:v>
                </c:pt>
                <c:pt idx="944">
                  <c:v>3049.8890644191979</c:v>
                </c:pt>
                <c:pt idx="945">
                  <c:v>2777.4108865592279</c:v>
                </c:pt>
                <c:pt idx="946">
                  <c:v>713.58194282619297</c:v>
                </c:pt>
                <c:pt idx="947">
                  <c:v>1517.3099284982964</c:v>
                </c:pt>
                <c:pt idx="948">
                  <c:v>3540.8199947574985</c:v>
                </c:pt>
                <c:pt idx="949">
                  <c:v>110.48828159787809</c:v>
                </c:pt>
                <c:pt idx="950">
                  <c:v>3410.446051863526</c:v>
                </c:pt>
                <c:pt idx="951">
                  <c:v>3721.1155965495127</c:v>
                </c:pt>
                <c:pt idx="952">
                  <c:v>3191.0876334131171</c:v>
                </c:pt>
                <c:pt idx="953">
                  <c:v>3999.1713113947917</c:v>
                </c:pt>
                <c:pt idx="954">
                  <c:v>232.16784988712607</c:v>
                </c:pt>
                <c:pt idx="955">
                  <c:v>3871.6535505654592</c:v>
                </c:pt>
                <c:pt idx="956">
                  <c:v>3174.7845622326195</c:v>
                </c:pt>
                <c:pt idx="957">
                  <c:v>3263.5618701765707</c:v>
                </c:pt>
                <c:pt idx="958">
                  <c:v>1955.8614123712387</c:v>
                </c:pt>
                <c:pt idx="959">
                  <c:v>3529.0210870978108</c:v>
                </c:pt>
                <c:pt idx="960">
                  <c:v>2127.4700533780851</c:v>
                </c:pt>
                <c:pt idx="961">
                  <c:v>3930.961217787516</c:v>
                </c:pt>
                <c:pt idx="962">
                  <c:v>3916.783633243027</c:v>
                </c:pt>
                <c:pt idx="963">
                  <c:v>3558.2225068957878</c:v>
                </c:pt>
                <c:pt idx="964">
                  <c:v>1362.6919884650351</c:v>
                </c:pt>
                <c:pt idx="965">
                  <c:v>535.68823710256038</c:v>
                </c:pt>
                <c:pt idx="966">
                  <c:v>3570.5396334981333</c:v>
                </c:pt>
                <c:pt idx="967">
                  <c:v>3347.181183682088</c:v>
                </c:pt>
                <c:pt idx="968">
                  <c:v>3355.9328125671336</c:v>
                </c:pt>
                <c:pt idx="969">
                  <c:v>-124.036164552228</c:v>
                </c:pt>
                <c:pt idx="970">
                  <c:v>1919.4652998574456</c:v>
                </c:pt>
                <c:pt idx="971">
                  <c:v>1303.4155153432148</c:v>
                </c:pt>
                <c:pt idx="972">
                  <c:v>3419.9939741588259</c:v>
                </c:pt>
                <c:pt idx="973">
                  <c:v>3698.7407440112493</c:v>
                </c:pt>
                <c:pt idx="974">
                  <c:v>3832.2358605896816</c:v>
                </c:pt>
                <c:pt idx="975">
                  <c:v>2801.6712461024053</c:v>
                </c:pt>
                <c:pt idx="976">
                  <c:v>3041.0044767984191</c:v>
                </c:pt>
                <c:pt idx="977">
                  <c:v>2435.0782145885314</c:v>
                </c:pt>
                <c:pt idx="978">
                  <c:v>80.538484627742946</c:v>
                </c:pt>
                <c:pt idx="979">
                  <c:v>2172.0051717381984</c:v>
                </c:pt>
                <c:pt idx="980">
                  <c:v>4543.3524014250261</c:v>
                </c:pt>
                <c:pt idx="981">
                  <c:v>3431.0830158554581</c:v>
                </c:pt>
                <c:pt idx="982">
                  <c:v>402.82800637539913</c:v>
                </c:pt>
                <c:pt idx="983">
                  <c:v>3440.1130673768139</c:v>
                </c:pt>
                <c:pt idx="984">
                  <c:v>3636.3398413911891</c:v>
                </c:pt>
                <c:pt idx="985">
                  <c:v>3215.669291242958</c:v>
                </c:pt>
                <c:pt idx="986">
                  <c:v>3083.5138094743361</c:v>
                </c:pt>
                <c:pt idx="987">
                  <c:v>3932.7416665292812</c:v>
                </c:pt>
                <c:pt idx="988">
                  <c:v>976.67320211091101</c:v>
                </c:pt>
                <c:pt idx="989">
                  <c:v>1346.4226212683279</c:v>
                </c:pt>
                <c:pt idx="990">
                  <c:v>4510.789902394431</c:v>
                </c:pt>
                <c:pt idx="991">
                  <c:v>3952.5509840075556</c:v>
                </c:pt>
                <c:pt idx="992">
                  <c:v>1743.0196656753396</c:v>
                </c:pt>
                <c:pt idx="993">
                  <c:v>2578.2401378114828</c:v>
                </c:pt>
                <c:pt idx="994">
                  <c:v>792.35969157090221</c:v>
                </c:pt>
                <c:pt idx="995">
                  <c:v>541.64221579448531</c:v>
                </c:pt>
                <c:pt idx="996">
                  <c:v>3237.4916380070063</c:v>
                </c:pt>
                <c:pt idx="997">
                  <c:v>2673.9856479729506</c:v>
                </c:pt>
                <c:pt idx="998">
                  <c:v>2974.7220614533471</c:v>
                </c:pt>
                <c:pt idx="999">
                  <c:v>2879.1984924366925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47680"/>
        <c:axId val="109849984"/>
      </c:scatterChart>
      <c:valAx>
        <c:axId val="109847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Incremental Effect</a:t>
                </a:r>
              </a:p>
            </c:rich>
          </c:tx>
          <c:layout>
            <c:manualLayout>
              <c:xMode val="edge"/>
              <c:yMode val="edge"/>
              <c:x val="0.43840177580466166"/>
              <c:y val="0.9119086460032626"/>
            </c:manualLayout>
          </c:layout>
          <c:overlay val="0"/>
          <c:spPr>
            <a:noFill/>
            <a:ln w="25400">
              <a:noFill/>
            </a:ln>
          </c:spPr>
        </c:title>
        <c:numFmt formatCode="_(* #,##0.00_);_(* \(#,##0.00\);_(* &quot;-&quot;??_);_(@_)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849984"/>
        <c:crosses val="autoZero"/>
        <c:crossBetween val="midCat"/>
      </c:valAx>
      <c:valAx>
        <c:axId val="1098499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Incremental Cost</a:t>
                </a:r>
              </a:p>
            </c:rich>
          </c:tx>
          <c:layout>
            <c:manualLayout>
              <c:xMode val="edge"/>
              <c:yMode val="edge"/>
              <c:x val="1.2208657047724751E-2"/>
              <c:y val="0.28058727569331166"/>
            </c:manualLayout>
          </c:layout>
          <c:overlay val="0"/>
          <c:spPr>
            <a:noFill/>
            <a:ln w="25400">
              <a:noFill/>
            </a:ln>
          </c:spPr>
        </c:title>
        <c:numFmt formatCode="[$£-809]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8476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89038262668047"/>
          <c:y val="4.2372881355932222E-2"/>
          <c:w val="0.87176835573940037"/>
          <c:h val="0.72881355932203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Bootstrapping!$X$18:$X$59</c:f>
              <c:strCache>
                <c:ptCount val="42"/>
                <c:pt idx="0">
                  <c:v>-£20,000</c:v>
                </c:pt>
                <c:pt idx="1">
                  <c:v>-£18,000</c:v>
                </c:pt>
                <c:pt idx="2">
                  <c:v>-£16,000</c:v>
                </c:pt>
                <c:pt idx="3">
                  <c:v>-£14,000</c:v>
                </c:pt>
                <c:pt idx="4">
                  <c:v>-£12,000</c:v>
                </c:pt>
                <c:pt idx="5">
                  <c:v>-£10,000</c:v>
                </c:pt>
                <c:pt idx="6">
                  <c:v>-£8,000</c:v>
                </c:pt>
                <c:pt idx="7">
                  <c:v>-£6,000</c:v>
                </c:pt>
                <c:pt idx="8">
                  <c:v>-£4,000</c:v>
                </c:pt>
                <c:pt idx="9">
                  <c:v>-£2,000</c:v>
                </c:pt>
                <c:pt idx="10">
                  <c:v>£0</c:v>
                </c:pt>
                <c:pt idx="11">
                  <c:v>£2,000</c:v>
                </c:pt>
                <c:pt idx="12">
                  <c:v>£4,000</c:v>
                </c:pt>
                <c:pt idx="13">
                  <c:v>£6,000</c:v>
                </c:pt>
                <c:pt idx="14">
                  <c:v>£8,000</c:v>
                </c:pt>
                <c:pt idx="15">
                  <c:v>£10,000</c:v>
                </c:pt>
                <c:pt idx="16">
                  <c:v>£12,000</c:v>
                </c:pt>
                <c:pt idx="17">
                  <c:v>£14,000</c:v>
                </c:pt>
                <c:pt idx="18">
                  <c:v>£16,000</c:v>
                </c:pt>
                <c:pt idx="19">
                  <c:v>£18,000</c:v>
                </c:pt>
                <c:pt idx="20">
                  <c:v>£20,000</c:v>
                </c:pt>
                <c:pt idx="21">
                  <c:v>£22,000</c:v>
                </c:pt>
                <c:pt idx="22">
                  <c:v>£24,000</c:v>
                </c:pt>
                <c:pt idx="23">
                  <c:v>£26,000</c:v>
                </c:pt>
                <c:pt idx="24">
                  <c:v>£28,000</c:v>
                </c:pt>
                <c:pt idx="25">
                  <c:v>£30,000</c:v>
                </c:pt>
                <c:pt idx="26">
                  <c:v>£32,000</c:v>
                </c:pt>
                <c:pt idx="27">
                  <c:v>£34,000</c:v>
                </c:pt>
                <c:pt idx="28">
                  <c:v>£36,000</c:v>
                </c:pt>
                <c:pt idx="29">
                  <c:v>£38,000</c:v>
                </c:pt>
                <c:pt idx="30">
                  <c:v>£40,000</c:v>
                </c:pt>
                <c:pt idx="31">
                  <c:v>£42,000</c:v>
                </c:pt>
                <c:pt idx="32">
                  <c:v>£44,000</c:v>
                </c:pt>
                <c:pt idx="33">
                  <c:v>£46,000</c:v>
                </c:pt>
                <c:pt idx="34">
                  <c:v>£48,000</c:v>
                </c:pt>
                <c:pt idx="35">
                  <c:v>£50,000</c:v>
                </c:pt>
                <c:pt idx="36">
                  <c:v>£52,000</c:v>
                </c:pt>
                <c:pt idx="37">
                  <c:v>£54,000</c:v>
                </c:pt>
                <c:pt idx="38">
                  <c:v>£56,000</c:v>
                </c:pt>
                <c:pt idx="39">
                  <c:v>£58,000</c:v>
                </c:pt>
                <c:pt idx="40">
                  <c:v>£60,000</c:v>
                </c:pt>
                <c:pt idx="41">
                  <c:v>More</c:v>
                </c:pt>
              </c:strCache>
            </c:strRef>
          </c:cat>
          <c:val>
            <c:numRef>
              <c:f>Bootstrapping!$Y$18:$Y$59</c:f>
              <c:numCache>
                <c:formatCode>General</c:formatCode>
                <c:ptCount val="42"/>
                <c:pt idx="0">
                  <c:v>25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6</c:v>
                </c:pt>
                <c:pt idx="10">
                  <c:v>21</c:v>
                </c:pt>
                <c:pt idx="11">
                  <c:v>107</c:v>
                </c:pt>
                <c:pt idx="12">
                  <c:v>213</c:v>
                </c:pt>
                <c:pt idx="13">
                  <c:v>192</c:v>
                </c:pt>
                <c:pt idx="14">
                  <c:v>143</c:v>
                </c:pt>
                <c:pt idx="15">
                  <c:v>92</c:v>
                </c:pt>
                <c:pt idx="16">
                  <c:v>47</c:v>
                </c:pt>
                <c:pt idx="17">
                  <c:v>30</c:v>
                </c:pt>
                <c:pt idx="18">
                  <c:v>15</c:v>
                </c:pt>
                <c:pt idx="19">
                  <c:v>14</c:v>
                </c:pt>
                <c:pt idx="20">
                  <c:v>12</c:v>
                </c:pt>
                <c:pt idx="21">
                  <c:v>7</c:v>
                </c:pt>
                <c:pt idx="22">
                  <c:v>8</c:v>
                </c:pt>
                <c:pt idx="23">
                  <c:v>3</c:v>
                </c:pt>
                <c:pt idx="24">
                  <c:v>4</c:v>
                </c:pt>
                <c:pt idx="25">
                  <c:v>1</c:v>
                </c:pt>
                <c:pt idx="26">
                  <c:v>4</c:v>
                </c:pt>
                <c:pt idx="27">
                  <c:v>3</c:v>
                </c:pt>
                <c:pt idx="28">
                  <c:v>1</c:v>
                </c:pt>
                <c:pt idx="29">
                  <c:v>4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0</c:v>
                </c:pt>
                <c:pt idx="37">
                  <c:v>2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11391104"/>
        <c:axId val="111393024"/>
      </c:barChart>
      <c:catAx>
        <c:axId val="111391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Value of ICER</a:t>
                </a:r>
              </a:p>
            </c:rich>
          </c:tx>
          <c:layout>
            <c:manualLayout>
              <c:xMode val="edge"/>
              <c:yMode val="edge"/>
              <c:x val="0.47156153050672178"/>
              <c:y val="0.915254237288135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39302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113930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Frequency</a:t>
                </a:r>
              </a:p>
            </c:rich>
          </c:tx>
          <c:layout>
            <c:manualLayout>
              <c:xMode val="edge"/>
              <c:yMode val="edge"/>
              <c:x val="1.1375387797311275E-2"/>
              <c:y val="0.303389830508474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391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207859358841797E-2"/>
          <c:y val="4.2372881355932222E-2"/>
          <c:w val="0.85625646328852134"/>
          <c:h val="0.8"/>
        </c:manualLayout>
      </c:layout>
      <c:scatterChart>
        <c:scatterStyle val="smoothMarker"/>
        <c:varyColors val="0"/>
        <c:ser>
          <c:idx val="0"/>
          <c:order val="0"/>
          <c:tx>
            <c:v>Bootstrapped</c:v>
          </c:tx>
          <c:spPr>
            <a:ln w="381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Bootstrapping!$AC$8:$AC$58</c:f>
              <c:numCache>
                <c:formatCode>"£"#,##0</c:formatCode>
                <c:ptCount val="5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xVal>
          <c:yVal>
            <c:numRef>
              <c:f>Bootstrapping!$AD$8:$AD$58</c:f>
              <c:numCache>
                <c:formatCode>General</c:formatCode>
                <c:ptCount val="51"/>
                <c:pt idx="0">
                  <c:v>2.4E-2</c:v>
                </c:pt>
                <c:pt idx="1">
                  <c:v>6.8000000000000005E-2</c:v>
                </c:pt>
                <c:pt idx="2">
                  <c:v>0.193</c:v>
                </c:pt>
                <c:pt idx="3">
                  <c:v>0.39400000000000002</c:v>
                </c:pt>
                <c:pt idx="4">
                  <c:v>0.54800000000000004</c:v>
                </c:pt>
                <c:pt idx="5">
                  <c:v>0.67400000000000004</c:v>
                </c:pt>
                <c:pt idx="6">
                  <c:v>0.74399999999999999</c:v>
                </c:pt>
                <c:pt idx="7">
                  <c:v>0.78900000000000003</c:v>
                </c:pt>
                <c:pt idx="8">
                  <c:v>0.81499999999999995</c:v>
                </c:pt>
                <c:pt idx="9">
                  <c:v>0.83</c:v>
                </c:pt>
                <c:pt idx="10">
                  <c:v>0.84599999999999997</c:v>
                </c:pt>
                <c:pt idx="11">
                  <c:v>0.86199999999999999</c:v>
                </c:pt>
                <c:pt idx="12">
                  <c:v>0.873</c:v>
                </c:pt>
                <c:pt idx="13">
                  <c:v>0.879</c:v>
                </c:pt>
                <c:pt idx="14">
                  <c:v>0.88900000000000001</c:v>
                </c:pt>
                <c:pt idx="15">
                  <c:v>0.89300000000000002</c:v>
                </c:pt>
                <c:pt idx="16">
                  <c:v>0.89700000000000002</c:v>
                </c:pt>
                <c:pt idx="17">
                  <c:v>0.89700000000000002</c:v>
                </c:pt>
                <c:pt idx="18">
                  <c:v>0.9</c:v>
                </c:pt>
                <c:pt idx="19">
                  <c:v>0.90300000000000002</c:v>
                </c:pt>
                <c:pt idx="20">
                  <c:v>0.90600000000000003</c:v>
                </c:pt>
                <c:pt idx="21">
                  <c:v>0.91</c:v>
                </c:pt>
                <c:pt idx="22">
                  <c:v>0.91200000000000003</c:v>
                </c:pt>
                <c:pt idx="23">
                  <c:v>0.91400000000000003</c:v>
                </c:pt>
                <c:pt idx="24">
                  <c:v>0.91600000000000004</c:v>
                </c:pt>
                <c:pt idx="25">
                  <c:v>0.91600000000000004</c:v>
                </c:pt>
                <c:pt idx="26">
                  <c:v>0.91700000000000004</c:v>
                </c:pt>
                <c:pt idx="27">
                  <c:v>0.91800000000000004</c:v>
                </c:pt>
                <c:pt idx="28">
                  <c:v>0.91800000000000004</c:v>
                </c:pt>
                <c:pt idx="29">
                  <c:v>0.91800000000000004</c:v>
                </c:pt>
                <c:pt idx="30">
                  <c:v>0.91900000000000004</c:v>
                </c:pt>
                <c:pt idx="31">
                  <c:v>0.91900000000000004</c:v>
                </c:pt>
                <c:pt idx="32">
                  <c:v>0.91900000000000004</c:v>
                </c:pt>
                <c:pt idx="33">
                  <c:v>0.91900000000000004</c:v>
                </c:pt>
                <c:pt idx="34">
                  <c:v>0.91900000000000004</c:v>
                </c:pt>
                <c:pt idx="35">
                  <c:v>0.92</c:v>
                </c:pt>
                <c:pt idx="36">
                  <c:v>0.92</c:v>
                </c:pt>
                <c:pt idx="37">
                  <c:v>0.92</c:v>
                </c:pt>
                <c:pt idx="38">
                  <c:v>0.92</c:v>
                </c:pt>
                <c:pt idx="39">
                  <c:v>0.92</c:v>
                </c:pt>
                <c:pt idx="40">
                  <c:v>0.92</c:v>
                </c:pt>
                <c:pt idx="41">
                  <c:v>0.92</c:v>
                </c:pt>
                <c:pt idx="42">
                  <c:v>0.92</c:v>
                </c:pt>
                <c:pt idx="43">
                  <c:v>0.92</c:v>
                </c:pt>
                <c:pt idx="44">
                  <c:v>0.92</c:v>
                </c:pt>
                <c:pt idx="45">
                  <c:v>0.92</c:v>
                </c:pt>
                <c:pt idx="46">
                  <c:v>0.92</c:v>
                </c:pt>
                <c:pt idx="47">
                  <c:v>0.92100000000000004</c:v>
                </c:pt>
                <c:pt idx="48">
                  <c:v>0.92100000000000004</c:v>
                </c:pt>
                <c:pt idx="49">
                  <c:v>0.92100000000000004</c:v>
                </c:pt>
                <c:pt idx="50">
                  <c:v>0.92100000000000004</c:v>
                </c:pt>
              </c:numCache>
            </c:numRef>
          </c:yVal>
          <c:smooth val="1"/>
        </c:ser>
        <c:ser>
          <c:idx val="1"/>
          <c:order val="1"/>
          <c:tx>
            <c:v>Parametric</c:v>
          </c:tx>
          <c:spPr>
            <a:ln w="38100">
              <a:solidFill>
                <a:srgbClr val="ED21F2"/>
              </a:solidFill>
              <a:prstDash val="solid"/>
            </a:ln>
          </c:spPr>
          <c:marker>
            <c:symbol val="none"/>
          </c:marker>
          <c:xVal>
            <c:numRef>
              <c:f>Parametric!$A$8:$A$58</c:f>
              <c:numCache>
                <c:formatCode>"£"#,##0</c:formatCode>
                <c:ptCount val="5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xVal>
          <c:yVal>
            <c:numRef>
              <c:f>Parametric!$E$8:$E$58</c:f>
              <c:numCache>
                <c:formatCode>0.000</c:formatCode>
                <c:ptCount val="51"/>
                <c:pt idx="0">
                  <c:v>1.5518425103368554E-2</c:v>
                </c:pt>
                <c:pt idx="1">
                  <c:v>5.7011869927146769E-2</c:v>
                </c:pt>
                <c:pt idx="2">
                  <c:v>0.20402172659531964</c:v>
                </c:pt>
                <c:pt idx="3">
                  <c:v>0.41866758624152001</c:v>
                </c:pt>
                <c:pt idx="4">
                  <c:v>0.58755348740314728</c:v>
                </c:pt>
                <c:pt idx="5">
                  <c:v>0.69361999304611865</c:v>
                </c:pt>
                <c:pt idx="6">
                  <c:v>0.75862867939855405</c:v>
                </c:pt>
                <c:pt idx="7">
                  <c:v>0.8000655333454405</c:v>
                </c:pt>
                <c:pt idx="8">
                  <c:v>0.82785923295107633</c:v>
                </c:pt>
                <c:pt idx="9">
                  <c:v>0.84740911136673547</c:v>
                </c:pt>
                <c:pt idx="10">
                  <c:v>0.86173165644534699</c:v>
                </c:pt>
                <c:pt idx="11">
                  <c:v>0.87258785549569395</c:v>
                </c:pt>
                <c:pt idx="12">
                  <c:v>0.88105333933738916</c:v>
                </c:pt>
                <c:pt idx="13">
                  <c:v>0.88781315478766676</c:v>
                </c:pt>
                <c:pt idx="14">
                  <c:v>0.89332012678444594</c:v>
                </c:pt>
                <c:pt idx="15">
                  <c:v>0.89788352145723938</c:v>
                </c:pt>
                <c:pt idx="16">
                  <c:v>0.90172069234823715</c:v>
                </c:pt>
                <c:pt idx="17">
                  <c:v>0.90498828162746092</c:v>
                </c:pt>
                <c:pt idx="18">
                  <c:v>0.90780170235738522</c:v>
                </c:pt>
                <c:pt idx="19">
                  <c:v>0.91024766991068962</c:v>
                </c:pt>
                <c:pt idx="20">
                  <c:v>0.91239248025532993</c:v>
                </c:pt>
                <c:pt idx="21">
                  <c:v>0.91428761128783509</c:v>
                </c:pt>
                <c:pt idx="22">
                  <c:v>0.91597359562872616</c:v>
                </c:pt>
                <c:pt idx="23">
                  <c:v>0.91748275109452027</c:v>
                </c:pt>
                <c:pt idx="24">
                  <c:v>0.91884114017584195</c:v>
                </c:pt>
                <c:pt idx="25">
                  <c:v>0.92006999905955145</c:v>
                </c:pt>
                <c:pt idx="26">
                  <c:v>0.92118679523303415</c:v>
                </c:pt>
                <c:pt idx="27">
                  <c:v>0.92220602081607606</c:v>
                </c:pt>
                <c:pt idx="28">
                  <c:v>0.92313979506170374</c:v>
                </c:pt>
                <c:pt idx="29">
                  <c:v>0.92399832717219588</c:v>
                </c:pt>
                <c:pt idx="30">
                  <c:v>0.92479027557660121</c:v>
                </c:pt>
                <c:pt idx="31">
                  <c:v>0.92552302956504695</c:v>
                </c:pt>
                <c:pt idx="32">
                  <c:v>0.92620293206685678</c:v>
                </c:pt>
                <c:pt idx="33">
                  <c:v>0.92683545736339612</c:v>
                </c:pt>
                <c:pt idx="34">
                  <c:v>0.9274253539704933</c:v>
                </c:pt>
                <c:pt idx="35">
                  <c:v>0.92797676036420818</c:v>
                </c:pt>
                <c:pt idx="36">
                  <c:v>0.92849329935882752</c:v>
                </c:pt>
                <c:pt idx="37">
                  <c:v>0.92897815557392482</c:v>
                </c:pt>
                <c:pt idx="38">
                  <c:v>0.92943413940803188</c:v>
                </c:pt>
                <c:pt idx="39">
                  <c:v>0.92986374017232565</c:v>
                </c:pt>
                <c:pt idx="40">
                  <c:v>0.93026917045990998</c:v>
                </c:pt>
                <c:pt idx="41">
                  <c:v>0.93065240338577837</c:v>
                </c:pt>
                <c:pt idx="42">
                  <c:v>0.93101520399417703</c:v>
                </c:pt>
                <c:pt idx="43">
                  <c:v>0.93135915586824913</c:v>
                </c:pt>
                <c:pt idx="44">
                  <c:v>0.93168568377285388</c:v>
                </c:pt>
                <c:pt idx="45">
                  <c:v>0.93199607300147314</c:v>
                </c:pt>
                <c:pt idx="46">
                  <c:v>0.93229148597188205</c:v>
                </c:pt>
                <c:pt idx="47">
                  <c:v>0.93257297651506055</c:v>
                </c:pt>
                <c:pt idx="48">
                  <c:v>0.93284150222183382</c:v>
                </c:pt>
                <c:pt idx="49">
                  <c:v>0.93309793514754491</c:v>
                </c:pt>
                <c:pt idx="50">
                  <c:v>0.93334307112327941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66624"/>
        <c:axId val="112297472"/>
      </c:scatterChart>
      <c:valAx>
        <c:axId val="112266624"/>
        <c:scaling>
          <c:orientation val="minMax"/>
          <c:max val="50000"/>
        </c:scaling>
        <c:delete val="0"/>
        <c:axPos val="b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Value of ceiling ratio</a:t>
                </a:r>
              </a:p>
            </c:rich>
          </c:tx>
          <c:layout>
            <c:manualLayout>
              <c:xMode val="edge"/>
              <c:yMode val="edge"/>
              <c:x val="0.40227507755946235"/>
              <c:y val="0.915254237288135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£&quot;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297472"/>
        <c:crosses val="autoZero"/>
        <c:crossBetween val="midCat"/>
      </c:valAx>
      <c:valAx>
        <c:axId val="1122974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Probability cost-effective</a:t>
                </a:r>
              </a:p>
            </c:rich>
          </c:tx>
          <c:layout>
            <c:manualLayout>
              <c:xMode val="edge"/>
              <c:yMode val="edge"/>
              <c:x val="1.1375387797311275E-2"/>
              <c:y val="0.2067796610169491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2666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911059721464488"/>
          <c:y val="0.60280510698874512"/>
          <c:w val="0.22435717251992929"/>
          <c:h val="0.16953102896036304"/>
        </c:manualLayout>
      </c:layout>
      <c:overlay val="1"/>
      <c:spPr>
        <a:ln>
          <a:solidFill>
            <a:srgbClr val="000080"/>
          </a:solidFill>
        </a:ln>
      </c:spPr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37849017580145"/>
          <c:y val="4.2372881355932222E-2"/>
          <c:w val="0.88728024819027917"/>
          <c:h val="0.7457627118644067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Bootstrapping!$AI$18:$AI$48</c:f>
              <c:numCache>
                <c:formatCode>General</c:formatCode>
                <c:ptCount val="31"/>
                <c:pt idx="0">
                  <c:v>-10000</c:v>
                </c:pt>
                <c:pt idx="1">
                  <c:v>-9000</c:v>
                </c:pt>
                <c:pt idx="2">
                  <c:v>-8000</c:v>
                </c:pt>
                <c:pt idx="3">
                  <c:v>-7000</c:v>
                </c:pt>
                <c:pt idx="4">
                  <c:v>-6000</c:v>
                </c:pt>
                <c:pt idx="5">
                  <c:v>-5000</c:v>
                </c:pt>
                <c:pt idx="6">
                  <c:v>-4000</c:v>
                </c:pt>
                <c:pt idx="7">
                  <c:v>-3000</c:v>
                </c:pt>
                <c:pt idx="8">
                  <c:v>-2000</c:v>
                </c:pt>
                <c:pt idx="9">
                  <c:v>-1000</c:v>
                </c:pt>
                <c:pt idx="10">
                  <c:v>0</c:v>
                </c:pt>
                <c:pt idx="11">
                  <c:v>1000</c:v>
                </c:pt>
                <c:pt idx="12">
                  <c:v>2000</c:v>
                </c:pt>
                <c:pt idx="13">
                  <c:v>3000</c:v>
                </c:pt>
                <c:pt idx="14">
                  <c:v>4000</c:v>
                </c:pt>
                <c:pt idx="15">
                  <c:v>5000</c:v>
                </c:pt>
                <c:pt idx="16">
                  <c:v>6000</c:v>
                </c:pt>
                <c:pt idx="17">
                  <c:v>7000</c:v>
                </c:pt>
                <c:pt idx="18">
                  <c:v>8000</c:v>
                </c:pt>
                <c:pt idx="19">
                  <c:v>9000</c:v>
                </c:pt>
                <c:pt idx="20">
                  <c:v>10000</c:v>
                </c:pt>
                <c:pt idx="21">
                  <c:v>11000</c:v>
                </c:pt>
                <c:pt idx="22">
                  <c:v>12000</c:v>
                </c:pt>
                <c:pt idx="23">
                  <c:v>13000</c:v>
                </c:pt>
                <c:pt idx="24">
                  <c:v>14000</c:v>
                </c:pt>
                <c:pt idx="25">
                  <c:v>15000</c:v>
                </c:pt>
                <c:pt idx="26">
                  <c:v>16000</c:v>
                </c:pt>
                <c:pt idx="27">
                  <c:v>17000</c:v>
                </c:pt>
                <c:pt idx="28">
                  <c:v>18000</c:v>
                </c:pt>
                <c:pt idx="29">
                  <c:v>19000</c:v>
                </c:pt>
                <c:pt idx="30">
                  <c:v>20000</c:v>
                </c:pt>
              </c:numCache>
            </c:numRef>
          </c:cat>
          <c:val>
            <c:numRef>
              <c:f>Bootstrapping!$AJ$18:$AJ$48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8</c:v>
                </c:pt>
                <c:pt idx="5">
                  <c:v>13</c:v>
                </c:pt>
                <c:pt idx="6">
                  <c:v>14</c:v>
                </c:pt>
                <c:pt idx="7">
                  <c:v>38</c:v>
                </c:pt>
                <c:pt idx="8">
                  <c:v>30</c:v>
                </c:pt>
                <c:pt idx="9">
                  <c:v>52</c:v>
                </c:pt>
                <c:pt idx="10">
                  <c:v>66</c:v>
                </c:pt>
                <c:pt idx="11">
                  <c:v>80</c:v>
                </c:pt>
                <c:pt idx="12">
                  <c:v>104</c:v>
                </c:pt>
                <c:pt idx="13">
                  <c:v>109</c:v>
                </c:pt>
                <c:pt idx="14">
                  <c:v>118</c:v>
                </c:pt>
                <c:pt idx="15">
                  <c:v>108</c:v>
                </c:pt>
                <c:pt idx="16">
                  <c:v>73</c:v>
                </c:pt>
                <c:pt idx="17">
                  <c:v>65</c:v>
                </c:pt>
                <c:pt idx="18">
                  <c:v>56</c:v>
                </c:pt>
                <c:pt idx="19">
                  <c:v>30</c:v>
                </c:pt>
                <c:pt idx="20">
                  <c:v>18</c:v>
                </c:pt>
                <c:pt idx="21">
                  <c:v>12</c:v>
                </c:pt>
                <c:pt idx="22">
                  <c:v>2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12373760"/>
        <c:axId val="112375680"/>
      </c:barChart>
      <c:catAx>
        <c:axId val="112373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Net benefit (£)</a:t>
                </a:r>
              </a:p>
            </c:rich>
          </c:tx>
          <c:layout>
            <c:manualLayout>
              <c:xMode val="edge"/>
              <c:yMode val="edge"/>
              <c:x val="0.46432264736297846"/>
              <c:y val="0.915254237288135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3756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123756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Frequency</a:t>
                </a:r>
              </a:p>
            </c:rich>
          </c:tx>
          <c:layout>
            <c:manualLayout>
              <c:xMode val="edge"/>
              <c:yMode val="edge"/>
              <c:x val="1.1375387797311275E-2"/>
              <c:y val="0.311864406779661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3737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68" workbookViewId="0"/>
  </sheetViews>
  <pageMargins left="0.75" right="0.75" top="1" bottom="1" header="0.5" footer="0.5"/>
  <pageSetup orientation="landscape" horizontalDpi="4294967292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68" workbookViewId="0"/>
  </sheetViews>
  <pageMargins left="0.75" right="0.75" top="1" bottom="1" header="0.5" footer="0.5"/>
  <headerFooter alignWithMargins="0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4"/>
  <sheetViews>
    <sheetView workbookViewId="0"/>
  </sheetViews>
  <pageMargins left="0.75" right="0.75" top="1" bottom="1" header="0.5" footer="0.5"/>
  <headerFooter alignWithMargins="0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21"/>
  <sheetViews>
    <sheetView tabSelected="1" zoomScale="68" workbookViewId="0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228599</xdr:colOff>
      <xdr:row>0</xdr:row>
      <xdr:rowOff>209550</xdr:rowOff>
    </xdr:from>
    <xdr:to>
      <xdr:col>15</xdr:col>
      <xdr:colOff>219075</xdr:colOff>
      <xdr:row>12</xdr:row>
      <xdr:rowOff>9525</xdr:rowOff>
    </xdr:to>
    <xdr:sp macro="" textlink="">
      <xdr:nvSpPr>
        <xdr:cNvPr id="3074" name="Text Box 2"/>
        <xdr:cNvSpPr txBox="1">
          <a:spLocks noChangeArrowheads="1"/>
        </xdr:cNvSpPr>
      </xdr:nvSpPr>
      <xdr:spPr bwMode="auto">
        <a:xfrm>
          <a:off x="5105399" y="209550"/>
          <a:ext cx="4257676" cy="1885950"/>
        </a:xfrm>
        <a:prstGeom prst="rect">
          <a:avLst/>
        </a:prstGeom>
        <a:solidFill>
          <a:srgbClr val="C0C0C0"/>
        </a:solidFill>
        <a:ln w="57150" cmpd="thickThin">
          <a:solidFill>
            <a:srgbClr val="00008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en-GB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sheet uses information from the Costs and Outcomes exercises, and gives the discounted total costs and discounted QALYs in clinical trial comparing a Treatment Group with a Control Group.  The trial recruited 100 patients in each arm, and the cost/effect pairs for each of the patients in each of the arms is listed.</a:t>
          </a:r>
        </a:p>
        <a:p>
          <a:pPr algn="l" rtl="0">
            <a:defRPr sz="1000"/>
          </a:pPr>
          <a:endParaRPr lang="en-GB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Bootstrap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</xdr:row>
          <xdr:rowOff>0</xdr:rowOff>
        </xdr:from>
        <xdr:to>
          <xdr:col>30</xdr:col>
          <xdr:colOff>133350</xdr:colOff>
          <xdr:row>3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CEA Curve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86507" cy="584106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14890" cy="609319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6518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4"/>
  <sheetViews>
    <sheetView topLeftCell="A5" workbookViewId="0">
      <selection activeCell="B5" sqref="B5:D54"/>
    </sheetView>
  </sheetViews>
  <sheetFormatPr defaultRowHeight="12.75" x14ac:dyDescent="0.2"/>
  <sheetData>
    <row r="1" spans="1:12" s="3" customFormat="1" ht="21" customHeight="1" x14ac:dyDescent="0.25">
      <c r="A1" s="3" t="s">
        <v>0</v>
      </c>
    </row>
    <row r="3" spans="1:12" ht="15.75" x14ac:dyDescent="0.25">
      <c r="B3" s="31" t="s">
        <v>1</v>
      </c>
      <c r="C3" s="30"/>
      <c r="D3" s="30"/>
      <c r="F3" s="33" t="s">
        <v>5</v>
      </c>
      <c r="G3" s="32"/>
      <c r="H3" s="32"/>
    </row>
    <row r="4" spans="1:12" x14ac:dyDescent="0.2">
      <c r="B4" s="1" t="s">
        <v>2</v>
      </c>
      <c r="C4" s="1" t="s">
        <v>3</v>
      </c>
      <c r="D4" s="1" t="s">
        <v>4</v>
      </c>
      <c r="F4" s="1" t="s">
        <v>2</v>
      </c>
      <c r="G4" s="1" t="s">
        <v>3</v>
      </c>
      <c r="H4" s="1" t="s">
        <v>4</v>
      </c>
    </row>
    <row r="5" spans="1:12" x14ac:dyDescent="0.2">
      <c r="B5">
        <v>1</v>
      </c>
      <c r="C5" s="34">
        <v>5.5230222229378008</v>
      </c>
      <c r="D5" s="5">
        <v>3641.7574384520349</v>
      </c>
      <c r="F5">
        <v>101</v>
      </c>
      <c r="G5" s="34">
        <v>8.4486795295195058</v>
      </c>
      <c r="H5" s="5">
        <v>7674.2425512401314</v>
      </c>
      <c r="I5" s="6"/>
      <c r="K5" s="16"/>
      <c r="L5" s="17"/>
    </row>
    <row r="6" spans="1:12" x14ac:dyDescent="0.2">
      <c r="B6">
        <v>2</v>
      </c>
      <c r="C6" s="34">
        <v>5.1919646630865142</v>
      </c>
      <c r="D6" s="5">
        <v>12121.525911710989</v>
      </c>
      <c r="F6">
        <v>102</v>
      </c>
      <c r="G6" s="34">
        <v>5.6135498806623119</v>
      </c>
      <c r="H6" s="5">
        <v>7706.612045518862</v>
      </c>
      <c r="I6" s="6"/>
      <c r="K6" s="16"/>
      <c r="L6" s="17"/>
    </row>
    <row r="7" spans="1:12" x14ac:dyDescent="0.2">
      <c r="B7">
        <v>3</v>
      </c>
      <c r="C7" s="34">
        <v>11.051414633832911</v>
      </c>
      <c r="D7" s="5">
        <v>5786.2548009459551</v>
      </c>
      <c r="F7">
        <v>103</v>
      </c>
      <c r="G7" s="34">
        <v>3.1263016140702451</v>
      </c>
      <c r="H7" s="5">
        <v>6530.9439895774494</v>
      </c>
      <c r="I7" s="6"/>
      <c r="K7" s="16"/>
      <c r="L7" s="17"/>
    </row>
    <row r="8" spans="1:12" x14ac:dyDescent="0.2">
      <c r="B8">
        <v>4</v>
      </c>
      <c r="C8" s="34">
        <v>9.5786366212729313</v>
      </c>
      <c r="D8" s="5">
        <v>7900.4873298371031</v>
      </c>
      <c r="F8">
        <v>104</v>
      </c>
      <c r="G8" s="34">
        <v>9.1368287826519747</v>
      </c>
      <c r="H8" s="5">
        <v>18328.785524133895</v>
      </c>
      <c r="I8" s="6"/>
      <c r="K8" s="16"/>
      <c r="L8" s="17"/>
    </row>
    <row r="9" spans="1:12" x14ac:dyDescent="0.2">
      <c r="B9">
        <v>5</v>
      </c>
      <c r="C9" s="34">
        <v>7.5310069563682553</v>
      </c>
      <c r="D9" s="5">
        <v>13883.478772580404</v>
      </c>
      <c r="F9">
        <v>105</v>
      </c>
      <c r="G9" s="34">
        <v>4.9495945917755577</v>
      </c>
      <c r="H9" s="5">
        <v>5949.4747580031508</v>
      </c>
      <c r="I9" s="6"/>
      <c r="K9" s="16"/>
      <c r="L9" s="17"/>
    </row>
    <row r="10" spans="1:12" x14ac:dyDescent="0.2">
      <c r="B10">
        <v>6</v>
      </c>
      <c r="C10" s="34">
        <v>6.9245256956464782</v>
      </c>
      <c r="D10" s="5">
        <v>13344.619043650619</v>
      </c>
      <c r="F10">
        <v>106</v>
      </c>
      <c r="G10" s="34">
        <v>4.5853215109917471</v>
      </c>
      <c r="H10" s="5">
        <v>6029.6450313752912</v>
      </c>
      <c r="I10" s="6"/>
      <c r="K10" s="16"/>
      <c r="L10" s="17"/>
    </row>
    <row r="11" spans="1:12" x14ac:dyDescent="0.2">
      <c r="B11">
        <v>7</v>
      </c>
      <c r="C11" s="34">
        <v>6.9295998689004641</v>
      </c>
      <c r="D11" s="5">
        <v>5326.9273592200743</v>
      </c>
      <c r="F11">
        <v>107</v>
      </c>
      <c r="G11" s="34">
        <v>1.0783183246014647</v>
      </c>
      <c r="H11" s="5">
        <v>6136.0462522919515</v>
      </c>
      <c r="I11" s="6"/>
      <c r="K11" s="16"/>
      <c r="L11" s="17"/>
    </row>
    <row r="12" spans="1:12" x14ac:dyDescent="0.2">
      <c r="B12">
        <v>8</v>
      </c>
      <c r="C12" s="34">
        <v>3.1157328900940082</v>
      </c>
      <c r="D12" s="5">
        <v>4004.521686170754</v>
      </c>
      <c r="F12">
        <v>108</v>
      </c>
      <c r="G12" s="34">
        <v>6.3549480621204992</v>
      </c>
      <c r="H12" s="5">
        <v>6291.6709165529246</v>
      </c>
      <c r="I12" s="6"/>
      <c r="K12" s="16"/>
      <c r="L12" s="17"/>
    </row>
    <row r="13" spans="1:12" x14ac:dyDescent="0.2">
      <c r="B13">
        <v>9</v>
      </c>
      <c r="C13" s="34">
        <v>11.711420822686083</v>
      </c>
      <c r="D13" s="5">
        <v>6014.4187771436564</v>
      </c>
      <c r="F13">
        <v>109</v>
      </c>
      <c r="G13" s="34">
        <v>9.6472873740787062</v>
      </c>
      <c r="H13" s="5">
        <v>13825.65313678408</v>
      </c>
      <c r="I13" s="6"/>
      <c r="K13" s="16"/>
      <c r="L13" s="17"/>
    </row>
    <row r="14" spans="1:12" x14ac:dyDescent="0.2">
      <c r="B14">
        <v>10</v>
      </c>
      <c r="C14" s="34">
        <v>6.1180992616600012</v>
      </c>
      <c r="D14" s="5">
        <v>9322.0321734028512</v>
      </c>
      <c r="F14">
        <v>110</v>
      </c>
      <c r="G14" s="34">
        <v>7.6391003260933426</v>
      </c>
      <c r="H14" s="5">
        <v>7567.6423426894135</v>
      </c>
      <c r="I14" s="6"/>
      <c r="K14" s="16"/>
      <c r="L14" s="17"/>
    </row>
    <row r="15" spans="1:12" x14ac:dyDescent="0.2">
      <c r="B15">
        <v>11</v>
      </c>
      <c r="C15" s="34">
        <v>4.8890164803129901</v>
      </c>
      <c r="D15" s="5">
        <v>3230.1907857596816</v>
      </c>
      <c r="F15">
        <v>111</v>
      </c>
      <c r="G15" s="34">
        <v>5.7500603637393732</v>
      </c>
      <c r="H15" s="5">
        <v>7055.212383303272</v>
      </c>
      <c r="I15" s="6"/>
      <c r="K15" s="16"/>
      <c r="L15" s="17"/>
    </row>
    <row r="16" spans="1:12" x14ac:dyDescent="0.2">
      <c r="B16">
        <v>12</v>
      </c>
      <c r="C16" s="34">
        <v>3.7696169751314508</v>
      </c>
      <c r="D16" s="5">
        <v>2868.1762034873132</v>
      </c>
      <c r="F16">
        <v>112</v>
      </c>
      <c r="G16" s="34">
        <v>3.8196163491952349</v>
      </c>
      <c r="H16" s="5">
        <v>6913.0308390458849</v>
      </c>
      <c r="I16" s="6"/>
      <c r="K16" s="16"/>
      <c r="L16" s="17"/>
    </row>
    <row r="17" spans="2:12" x14ac:dyDescent="0.2">
      <c r="B17">
        <v>13</v>
      </c>
      <c r="C17" s="34">
        <v>8.5325856270218168</v>
      </c>
      <c r="D17" s="5">
        <v>5451.7889418183131</v>
      </c>
      <c r="F17">
        <v>113</v>
      </c>
      <c r="G17" s="34">
        <v>13.197781054869752</v>
      </c>
      <c r="H17" s="5">
        <v>12882.237819428197</v>
      </c>
      <c r="I17" s="6"/>
      <c r="K17" s="16"/>
      <c r="L17" s="17"/>
    </row>
    <row r="18" spans="2:12" x14ac:dyDescent="0.2">
      <c r="B18">
        <v>14</v>
      </c>
      <c r="C18" s="34">
        <v>6.3183526617630488</v>
      </c>
      <c r="D18" s="5">
        <v>7685.2876759782257</v>
      </c>
      <c r="F18">
        <v>114</v>
      </c>
      <c r="G18" s="34">
        <v>2.6726811534058359</v>
      </c>
      <c r="H18" s="5">
        <v>13839.593254837855</v>
      </c>
      <c r="I18" s="6"/>
      <c r="K18" s="16"/>
      <c r="L18" s="17"/>
    </row>
    <row r="19" spans="2:12" x14ac:dyDescent="0.2">
      <c r="B19">
        <v>15</v>
      </c>
      <c r="C19" s="34">
        <v>3.9034690704966</v>
      </c>
      <c r="D19" s="5">
        <v>3228.510418855466</v>
      </c>
      <c r="F19">
        <v>115</v>
      </c>
      <c r="G19" s="34">
        <v>8.2341033909470696</v>
      </c>
      <c r="H19" s="5">
        <v>15783.230279664196</v>
      </c>
      <c r="I19" s="6"/>
      <c r="K19" s="16"/>
      <c r="L19" s="17"/>
    </row>
    <row r="20" spans="2:12" x14ac:dyDescent="0.2">
      <c r="B20">
        <v>16</v>
      </c>
      <c r="C20" s="34">
        <v>4.1997952983587261</v>
      </c>
      <c r="D20" s="5">
        <v>4520.6827977691773</v>
      </c>
      <c r="F20">
        <v>116</v>
      </c>
      <c r="G20" s="34">
        <v>3.5647898776376379</v>
      </c>
      <c r="H20" s="5">
        <v>5259.1371601328665</v>
      </c>
      <c r="I20" s="6"/>
      <c r="K20" s="16"/>
      <c r="L20" s="17"/>
    </row>
    <row r="21" spans="2:12" x14ac:dyDescent="0.2">
      <c r="B21">
        <v>17</v>
      </c>
      <c r="C21" s="34">
        <v>2.3804591266808512</v>
      </c>
      <c r="D21" s="5">
        <v>1547.3076696579021</v>
      </c>
      <c r="F21">
        <v>117</v>
      </c>
      <c r="G21" s="34">
        <v>9.9693945714417964</v>
      </c>
      <c r="H21" s="5">
        <v>9842.2889756341883</v>
      </c>
      <c r="I21" s="6"/>
      <c r="K21" s="16"/>
      <c r="L21" s="17"/>
    </row>
    <row r="22" spans="2:12" x14ac:dyDescent="0.2">
      <c r="B22">
        <v>18</v>
      </c>
      <c r="C22" s="34">
        <v>5.1040899232915473</v>
      </c>
      <c r="D22" s="5">
        <v>2879.7711988053347</v>
      </c>
      <c r="F22">
        <v>118</v>
      </c>
      <c r="G22" s="34">
        <v>9.0286165711156023</v>
      </c>
      <c r="H22" s="5">
        <v>15933.189685440435</v>
      </c>
      <c r="I22" s="6"/>
      <c r="K22" s="16"/>
      <c r="L22" s="17"/>
    </row>
    <row r="23" spans="2:12" x14ac:dyDescent="0.2">
      <c r="B23">
        <v>19</v>
      </c>
      <c r="C23" s="34">
        <v>4.5487748338420486</v>
      </c>
      <c r="D23" s="5">
        <v>3546.4025970283678</v>
      </c>
      <c r="F23">
        <v>119</v>
      </c>
      <c r="G23" s="34">
        <v>13.630870919775116</v>
      </c>
      <c r="H23" s="5">
        <v>17970.13463327743</v>
      </c>
      <c r="I23" s="6"/>
      <c r="K23" s="16"/>
      <c r="L23" s="17"/>
    </row>
    <row r="24" spans="2:12" x14ac:dyDescent="0.2">
      <c r="B24">
        <v>20</v>
      </c>
      <c r="C24" s="34">
        <v>9.5915602530958797</v>
      </c>
      <c r="D24" s="5">
        <v>5646.9808024567637</v>
      </c>
      <c r="F24">
        <v>120</v>
      </c>
      <c r="G24" s="34">
        <v>10.776690243020884</v>
      </c>
      <c r="H24" s="5">
        <v>20972.192961268287</v>
      </c>
      <c r="I24" s="6"/>
      <c r="K24" s="16"/>
      <c r="L24" s="17"/>
    </row>
    <row r="25" spans="2:12" x14ac:dyDescent="0.2">
      <c r="B25">
        <v>21</v>
      </c>
      <c r="C25" s="34">
        <v>0.28730140064589299</v>
      </c>
      <c r="D25" s="5">
        <v>5738.2983934390068</v>
      </c>
      <c r="F25">
        <v>121</v>
      </c>
      <c r="G25" s="34">
        <v>4.9242675132508475</v>
      </c>
      <c r="H25" s="5">
        <v>5379.4470391750665</v>
      </c>
      <c r="I25" s="6"/>
      <c r="K25" s="16"/>
      <c r="L25" s="17"/>
    </row>
    <row r="26" spans="2:12" x14ac:dyDescent="0.2">
      <c r="B26">
        <v>22</v>
      </c>
      <c r="C26" s="34">
        <v>2.9395774234965528</v>
      </c>
      <c r="D26" s="5">
        <v>1482.4737602283785</v>
      </c>
      <c r="F26">
        <v>122</v>
      </c>
      <c r="G26" s="34">
        <v>1.5514953192979193</v>
      </c>
      <c r="H26" s="5">
        <v>9871.2068825291681</v>
      </c>
      <c r="I26" s="6"/>
    </row>
    <row r="27" spans="2:12" x14ac:dyDescent="0.2">
      <c r="B27">
        <v>23</v>
      </c>
      <c r="C27" s="34">
        <v>4.3028129417414434</v>
      </c>
      <c r="D27" s="5">
        <v>3009.2105111134483</v>
      </c>
      <c r="F27">
        <v>123</v>
      </c>
      <c r="G27" s="34">
        <v>4.8447275495681374</v>
      </c>
      <c r="H27" s="5">
        <v>12813.828462325819</v>
      </c>
      <c r="I27" s="6"/>
    </row>
    <row r="28" spans="2:12" x14ac:dyDescent="0.2">
      <c r="B28">
        <v>24</v>
      </c>
      <c r="C28" s="34">
        <v>11.653288106542895</v>
      </c>
      <c r="D28" s="5">
        <v>7932.2800402011826</v>
      </c>
      <c r="F28">
        <v>124</v>
      </c>
      <c r="G28" s="34">
        <v>1.2932610804296996</v>
      </c>
      <c r="H28" s="5">
        <v>2254.8598376145496</v>
      </c>
      <c r="I28" s="6"/>
    </row>
    <row r="29" spans="2:12" x14ac:dyDescent="0.2">
      <c r="B29">
        <v>25</v>
      </c>
      <c r="C29" s="34">
        <v>1.9036650870239149</v>
      </c>
      <c r="D29" s="5">
        <v>16030.089965584813</v>
      </c>
      <c r="F29">
        <v>125</v>
      </c>
      <c r="G29" s="34">
        <v>4.7620607571642326</v>
      </c>
      <c r="H29" s="5">
        <v>6267.3571986046873</v>
      </c>
      <c r="I29" s="6"/>
    </row>
    <row r="30" spans="2:12" x14ac:dyDescent="0.2">
      <c r="B30">
        <v>26</v>
      </c>
      <c r="C30" s="34">
        <v>5.1525255897525506</v>
      </c>
      <c r="D30" s="5">
        <v>3217.5851790241977</v>
      </c>
      <c r="F30">
        <v>126</v>
      </c>
      <c r="G30" s="34">
        <v>11.214378348220773</v>
      </c>
      <c r="H30" s="5">
        <v>16389.357648229594</v>
      </c>
      <c r="I30" s="6"/>
    </row>
    <row r="31" spans="2:12" x14ac:dyDescent="0.2">
      <c r="B31">
        <v>27</v>
      </c>
      <c r="C31" s="34">
        <v>5.8440592010313779</v>
      </c>
      <c r="D31" s="5">
        <v>3219.0176474616469</v>
      </c>
      <c r="F31">
        <v>127</v>
      </c>
      <c r="G31" s="34">
        <v>5.8625038404747096</v>
      </c>
      <c r="H31" s="5">
        <v>9938.7644492985546</v>
      </c>
      <c r="I31" s="6"/>
    </row>
    <row r="32" spans="2:12" x14ac:dyDescent="0.2">
      <c r="B32">
        <v>28</v>
      </c>
      <c r="C32" s="34">
        <v>11.321050050792836</v>
      </c>
      <c r="D32" s="5">
        <v>6238.8722271655597</v>
      </c>
      <c r="F32">
        <v>128</v>
      </c>
      <c r="G32" s="34">
        <v>8.018817186743636</v>
      </c>
      <c r="H32" s="5">
        <v>13424.814908151546</v>
      </c>
      <c r="I32" s="6"/>
    </row>
    <row r="33" spans="2:9" x14ac:dyDescent="0.2">
      <c r="B33">
        <v>29</v>
      </c>
      <c r="C33" s="34">
        <v>9.6700977608401093</v>
      </c>
      <c r="D33" s="5">
        <v>5240.3827577613456</v>
      </c>
      <c r="F33">
        <v>129</v>
      </c>
      <c r="G33" s="34">
        <v>-0.54777190984754087</v>
      </c>
      <c r="H33" s="5">
        <v>7050.9204931595659</v>
      </c>
      <c r="I33" s="6"/>
    </row>
    <row r="34" spans="2:9" x14ac:dyDescent="0.2">
      <c r="B34">
        <v>30</v>
      </c>
      <c r="C34" s="34">
        <v>6.5010231063650092</v>
      </c>
      <c r="D34" s="5">
        <v>3169.3103583302163</v>
      </c>
      <c r="F34">
        <v>130</v>
      </c>
      <c r="G34" s="34">
        <v>7.0911589424121502</v>
      </c>
      <c r="H34" s="5">
        <v>6601.4757734658779</v>
      </c>
      <c r="I34" s="6"/>
    </row>
    <row r="35" spans="2:9" x14ac:dyDescent="0.2">
      <c r="B35">
        <v>31</v>
      </c>
      <c r="C35" s="34">
        <v>3.0286900313727401</v>
      </c>
      <c r="D35" s="5">
        <v>6941.8348275230155</v>
      </c>
      <c r="F35">
        <v>131</v>
      </c>
      <c r="G35" s="34">
        <v>5.7788967061002046</v>
      </c>
      <c r="H35" s="5">
        <v>9044.4459153021289</v>
      </c>
      <c r="I35" s="6"/>
    </row>
    <row r="36" spans="2:9" x14ac:dyDescent="0.2">
      <c r="B36">
        <v>32</v>
      </c>
      <c r="C36" s="34">
        <v>2.0781199271286472</v>
      </c>
      <c r="D36" s="5">
        <v>1198.1531341399686</v>
      </c>
      <c r="F36">
        <v>132</v>
      </c>
      <c r="G36" s="34">
        <v>8.9838356864513536</v>
      </c>
      <c r="H36" s="5">
        <v>14670.617442142542</v>
      </c>
      <c r="I36" s="6"/>
    </row>
    <row r="37" spans="2:9" x14ac:dyDescent="0.2">
      <c r="B37">
        <v>33</v>
      </c>
      <c r="C37" s="34">
        <v>9.7925363145080251</v>
      </c>
      <c r="D37" s="5">
        <v>5209.20742636657</v>
      </c>
      <c r="F37">
        <v>133</v>
      </c>
      <c r="G37" s="34">
        <v>14.262082433239351</v>
      </c>
      <c r="H37" s="5">
        <v>13960.901743330987</v>
      </c>
      <c r="I37" s="6"/>
    </row>
    <row r="38" spans="2:9" x14ac:dyDescent="0.2">
      <c r="B38">
        <v>34</v>
      </c>
      <c r="C38" s="34">
        <v>6.4271455137348639</v>
      </c>
      <c r="D38" s="5">
        <v>6911.3667119870233</v>
      </c>
      <c r="F38">
        <v>134</v>
      </c>
      <c r="G38" s="34">
        <v>8.1768027408037547</v>
      </c>
      <c r="H38" s="5">
        <v>10218.555084335361</v>
      </c>
      <c r="I38" s="6"/>
    </row>
    <row r="39" spans="2:9" x14ac:dyDescent="0.2">
      <c r="B39">
        <v>35</v>
      </c>
      <c r="C39" s="34">
        <v>3.8029388332634952</v>
      </c>
      <c r="D39" s="5">
        <v>2782.0325658680358</v>
      </c>
      <c r="F39">
        <v>135</v>
      </c>
      <c r="G39" s="34">
        <v>9.5463149403149625</v>
      </c>
      <c r="H39" s="5">
        <v>11034.97705802153</v>
      </c>
      <c r="I39" s="6"/>
    </row>
    <row r="40" spans="2:9" x14ac:dyDescent="0.2">
      <c r="B40">
        <v>36</v>
      </c>
      <c r="C40" s="34">
        <v>10.12371956978861</v>
      </c>
      <c r="D40" s="5">
        <v>7571.0441966944963</v>
      </c>
      <c r="F40">
        <v>136</v>
      </c>
      <c r="G40" s="34">
        <v>6.4306106184020146</v>
      </c>
      <c r="H40" s="5">
        <v>6628.6815629440734</v>
      </c>
      <c r="I40" s="6"/>
    </row>
    <row r="41" spans="2:9" x14ac:dyDescent="0.2">
      <c r="B41">
        <v>37</v>
      </c>
      <c r="C41" s="34">
        <v>7.166424794919191</v>
      </c>
      <c r="D41" s="5">
        <v>5545.6060821818564</v>
      </c>
      <c r="F41">
        <v>137</v>
      </c>
      <c r="G41" s="34">
        <v>0.82936118236748424</v>
      </c>
      <c r="H41" s="5">
        <v>3030.4287878664127</v>
      </c>
      <c r="I41" s="6"/>
    </row>
    <row r="42" spans="2:9" x14ac:dyDescent="0.2">
      <c r="B42">
        <v>38</v>
      </c>
      <c r="C42" s="34">
        <v>8.5633725581160238</v>
      </c>
      <c r="D42" s="5">
        <v>3994.5465030110922</v>
      </c>
      <c r="F42">
        <v>138</v>
      </c>
      <c r="G42" s="34">
        <v>13.831868439621624</v>
      </c>
      <c r="H42" s="5">
        <v>13091.205779087431</v>
      </c>
      <c r="I42" s="6"/>
    </row>
    <row r="43" spans="2:9" x14ac:dyDescent="0.2">
      <c r="B43">
        <v>39</v>
      </c>
      <c r="C43" s="34">
        <v>0.52728268787334431</v>
      </c>
      <c r="D43" s="5">
        <v>11384.432571411606</v>
      </c>
      <c r="F43">
        <v>139</v>
      </c>
      <c r="G43" s="34">
        <v>12.061027786969371</v>
      </c>
      <c r="H43" s="5">
        <v>36909.61325616765</v>
      </c>
      <c r="I43" s="6"/>
    </row>
    <row r="44" spans="2:9" x14ac:dyDescent="0.2">
      <c r="B44">
        <v>40</v>
      </c>
      <c r="C44" s="34">
        <v>3.0389350020857511</v>
      </c>
      <c r="D44" s="5">
        <v>2514.2031509741892</v>
      </c>
      <c r="F44">
        <v>140</v>
      </c>
      <c r="G44" s="34">
        <v>4.5103596199229772</v>
      </c>
      <c r="H44" s="5">
        <v>6376.9405190324496</v>
      </c>
      <c r="I44" s="6"/>
    </row>
    <row r="45" spans="2:9" x14ac:dyDescent="0.2">
      <c r="B45">
        <v>41</v>
      </c>
      <c r="C45" s="34">
        <v>7.9411881104487101</v>
      </c>
      <c r="D45" s="5">
        <v>14326.88676069452</v>
      </c>
      <c r="F45">
        <v>141</v>
      </c>
      <c r="G45" s="34">
        <v>10.279561770903793</v>
      </c>
      <c r="H45" s="5">
        <v>10257.108135735336</v>
      </c>
      <c r="I45" s="6"/>
    </row>
    <row r="46" spans="2:9" x14ac:dyDescent="0.2">
      <c r="B46">
        <v>42</v>
      </c>
      <c r="C46" s="34">
        <v>12.236518163684371</v>
      </c>
      <c r="D46" s="5">
        <v>7825.657381783948</v>
      </c>
      <c r="F46">
        <v>142</v>
      </c>
      <c r="G46" s="34">
        <v>8.681236067051076</v>
      </c>
      <c r="H46" s="5">
        <v>8968.7355160541174</v>
      </c>
      <c r="I46" s="6"/>
    </row>
    <row r="47" spans="2:9" x14ac:dyDescent="0.2">
      <c r="B47">
        <v>43</v>
      </c>
      <c r="C47" s="34">
        <v>3.5947629533543473</v>
      </c>
      <c r="D47" s="5">
        <v>2863.2315321034957</v>
      </c>
      <c r="F47">
        <v>143</v>
      </c>
      <c r="G47" s="34">
        <v>13.520069774223522</v>
      </c>
      <c r="H47" s="5">
        <v>13868.58686526778</v>
      </c>
      <c r="I47" s="6"/>
    </row>
    <row r="48" spans="2:9" x14ac:dyDescent="0.2">
      <c r="B48">
        <v>44</v>
      </c>
      <c r="C48" s="34">
        <v>1.6685108258472681</v>
      </c>
      <c r="D48" s="5">
        <v>602.25129584288857</v>
      </c>
      <c r="F48">
        <v>144</v>
      </c>
      <c r="G48" s="34">
        <v>7.8859323315056349</v>
      </c>
      <c r="H48" s="5">
        <v>12466.149879986684</v>
      </c>
      <c r="I48" s="6"/>
    </row>
    <row r="49" spans="2:9" x14ac:dyDescent="0.2">
      <c r="B49">
        <v>45</v>
      </c>
      <c r="C49" s="34">
        <v>5.2658437278400312</v>
      </c>
      <c r="D49" s="5">
        <v>5607.4193936362153</v>
      </c>
      <c r="F49">
        <v>145</v>
      </c>
      <c r="G49" s="34">
        <v>7.2615433229172321</v>
      </c>
      <c r="H49" s="5">
        <v>9557.0197498230445</v>
      </c>
      <c r="I49" s="6"/>
    </row>
    <row r="50" spans="2:9" x14ac:dyDescent="0.2">
      <c r="B50">
        <v>46</v>
      </c>
      <c r="C50" s="34">
        <v>0.41333468425225467</v>
      </c>
      <c r="D50" s="5">
        <v>2915.8103564257872</v>
      </c>
      <c r="F50">
        <v>146</v>
      </c>
      <c r="G50" s="34">
        <v>6.0660305798288423</v>
      </c>
      <c r="H50" s="5">
        <v>5980.894830754145</v>
      </c>
      <c r="I50" s="6"/>
    </row>
    <row r="51" spans="2:9" x14ac:dyDescent="0.2">
      <c r="B51">
        <v>47</v>
      </c>
      <c r="C51" s="34">
        <v>8.078396591818171</v>
      </c>
      <c r="D51" s="5">
        <v>4134.2422690551421</v>
      </c>
      <c r="F51">
        <v>147</v>
      </c>
      <c r="G51" s="34">
        <v>12.136946526092006</v>
      </c>
      <c r="H51" s="5">
        <v>12653.078039947584</v>
      </c>
      <c r="I51" s="6"/>
    </row>
    <row r="52" spans="2:9" x14ac:dyDescent="0.2">
      <c r="B52">
        <v>48</v>
      </c>
      <c r="C52" s="34">
        <v>9.4943707713147845</v>
      </c>
      <c r="D52" s="5">
        <v>5666.3726412140259</v>
      </c>
      <c r="F52">
        <v>148</v>
      </c>
      <c r="G52" s="34">
        <v>0.83913410236726871</v>
      </c>
      <c r="H52" s="5">
        <v>2774.8563919978606</v>
      </c>
      <c r="I52" s="6"/>
    </row>
    <row r="53" spans="2:9" x14ac:dyDescent="0.2">
      <c r="B53">
        <v>49</v>
      </c>
      <c r="C53" s="34">
        <v>0.6142652573618721</v>
      </c>
      <c r="D53" s="5">
        <v>347.93008219028383</v>
      </c>
      <c r="F53">
        <v>149</v>
      </c>
      <c r="G53" s="34">
        <v>12.143761707957653</v>
      </c>
      <c r="H53" s="5">
        <v>11829.126795409478</v>
      </c>
      <c r="I53" s="6"/>
    </row>
    <row r="54" spans="2:9" x14ac:dyDescent="0.2">
      <c r="B54">
        <v>50</v>
      </c>
      <c r="C54" s="34">
        <v>7.1365385198688571</v>
      </c>
      <c r="D54" s="5">
        <v>5198.5565806135983</v>
      </c>
      <c r="F54">
        <v>150</v>
      </c>
      <c r="G54" s="34">
        <v>6.0049740413370554</v>
      </c>
      <c r="H54" s="5">
        <v>9379.3806111566773</v>
      </c>
      <c r="I54" s="6"/>
    </row>
    <row r="55" spans="2:9" x14ac:dyDescent="0.2">
      <c r="B55">
        <v>51</v>
      </c>
      <c r="C55" s="34">
        <v>9.3299434462895405</v>
      </c>
      <c r="D55" s="5">
        <v>12358.138658835098</v>
      </c>
      <c r="F55">
        <v>151</v>
      </c>
      <c r="G55" s="34">
        <v>8.6927177360316286</v>
      </c>
      <c r="H55" s="5">
        <v>12546.619338955159</v>
      </c>
    </row>
    <row r="56" spans="2:9" x14ac:dyDescent="0.2">
      <c r="B56">
        <v>52</v>
      </c>
      <c r="C56" s="34">
        <v>7.2130757536574528</v>
      </c>
      <c r="D56" s="5">
        <v>3873.6188236322341</v>
      </c>
      <c r="F56">
        <v>152</v>
      </c>
      <c r="G56" s="34">
        <v>6.6291311419083945</v>
      </c>
      <c r="H56" s="5">
        <v>7874.3463358184927</v>
      </c>
    </row>
    <row r="57" spans="2:9" x14ac:dyDescent="0.2">
      <c r="B57">
        <v>53</v>
      </c>
      <c r="C57" s="34">
        <v>1.4811863849776941</v>
      </c>
      <c r="D57" s="5">
        <v>1227.6615437135929</v>
      </c>
      <c r="F57">
        <v>153</v>
      </c>
      <c r="G57" s="34">
        <v>9.5900746570098363</v>
      </c>
      <c r="H57" s="5">
        <v>20578.188752411486</v>
      </c>
    </row>
    <row r="58" spans="2:9" x14ac:dyDescent="0.2">
      <c r="B58">
        <v>54</v>
      </c>
      <c r="C58" s="34">
        <v>5.4543160134070146</v>
      </c>
      <c r="D58" s="5">
        <v>4426.2361922328437</v>
      </c>
      <c r="F58">
        <v>154</v>
      </c>
      <c r="G58" s="34">
        <v>14.352477681135197</v>
      </c>
      <c r="H58" s="5">
        <v>14355.009331620193</v>
      </c>
    </row>
    <row r="59" spans="2:9" x14ac:dyDescent="0.2">
      <c r="B59">
        <v>55</v>
      </c>
      <c r="C59" s="34">
        <v>6.0594326784440202</v>
      </c>
      <c r="D59" s="5">
        <v>8149.1107594597288</v>
      </c>
      <c r="F59">
        <v>155</v>
      </c>
      <c r="G59" s="34">
        <v>9.0302136480258692</v>
      </c>
      <c r="H59" s="5">
        <v>10450.964895636245</v>
      </c>
    </row>
    <row r="60" spans="2:9" x14ac:dyDescent="0.2">
      <c r="B60">
        <v>56</v>
      </c>
      <c r="C60" s="34">
        <v>8.5218979084368645</v>
      </c>
      <c r="D60" s="5">
        <v>5569.1318465909117</v>
      </c>
      <c r="F60">
        <v>156</v>
      </c>
      <c r="G60" s="34">
        <v>6.8941840992429047</v>
      </c>
      <c r="H60" s="5">
        <v>6688.9246244221822</v>
      </c>
    </row>
    <row r="61" spans="2:9" x14ac:dyDescent="0.2">
      <c r="B61">
        <v>57</v>
      </c>
      <c r="C61" s="34">
        <v>6.1886942813581767</v>
      </c>
      <c r="D61" s="5">
        <v>19103.854266864706</v>
      </c>
      <c r="F61">
        <v>157</v>
      </c>
      <c r="G61" s="34">
        <v>4.7677875830079914</v>
      </c>
      <c r="H61" s="5">
        <v>6677.8176051740083</v>
      </c>
    </row>
    <row r="62" spans="2:9" x14ac:dyDescent="0.2">
      <c r="B62">
        <v>58</v>
      </c>
      <c r="C62" s="34">
        <v>8.9721494695581026</v>
      </c>
      <c r="D62" s="5">
        <v>5369.0937987413363</v>
      </c>
      <c r="F62">
        <v>158</v>
      </c>
      <c r="G62" s="34">
        <v>6.7875509279457855</v>
      </c>
      <c r="H62" s="5">
        <v>9897.9658623455998</v>
      </c>
    </row>
    <row r="63" spans="2:9" x14ac:dyDescent="0.2">
      <c r="B63">
        <v>59</v>
      </c>
      <c r="C63" s="34">
        <v>5.11194005981615</v>
      </c>
      <c r="D63" s="5">
        <v>9440.8540851041307</v>
      </c>
      <c r="F63">
        <v>159</v>
      </c>
      <c r="G63" s="34">
        <v>10.007653010449244</v>
      </c>
      <c r="H63" s="5">
        <v>9993.6802355301843</v>
      </c>
    </row>
    <row r="64" spans="2:9" x14ac:dyDescent="0.2">
      <c r="B64">
        <v>60</v>
      </c>
      <c r="C64" s="34">
        <v>8.556658275049541</v>
      </c>
      <c r="D64" s="5">
        <v>5474.3029521704211</v>
      </c>
      <c r="F64">
        <v>160</v>
      </c>
      <c r="G64" s="34">
        <v>4.9599054994955765</v>
      </c>
      <c r="H64" s="5">
        <v>8413.9772192203091</v>
      </c>
    </row>
    <row r="65" spans="2:8" x14ac:dyDescent="0.2">
      <c r="B65">
        <v>61</v>
      </c>
      <c r="C65" s="34">
        <v>6.4335804859150372</v>
      </c>
      <c r="D65" s="5">
        <v>4568.0479762931027</v>
      </c>
      <c r="F65">
        <v>161</v>
      </c>
      <c r="G65" s="34">
        <v>3.9458151424140384</v>
      </c>
      <c r="H65" s="5">
        <v>5347.5177179801294</v>
      </c>
    </row>
    <row r="66" spans="2:8" x14ac:dyDescent="0.2">
      <c r="B66">
        <v>62</v>
      </c>
      <c r="C66" s="34">
        <v>8.200095034189804</v>
      </c>
      <c r="D66" s="5">
        <v>4486.2026034909113</v>
      </c>
      <c r="F66">
        <v>162</v>
      </c>
      <c r="G66" s="34">
        <v>8.6992515166331383</v>
      </c>
      <c r="H66" s="5">
        <v>8758.4354975872939</v>
      </c>
    </row>
    <row r="67" spans="2:8" x14ac:dyDescent="0.2">
      <c r="B67">
        <v>63</v>
      </c>
      <c r="C67" s="34">
        <v>5.9127506213803507</v>
      </c>
      <c r="D67" s="5">
        <v>5913.8960900245584</v>
      </c>
      <c r="F67">
        <v>163</v>
      </c>
      <c r="G67" s="34">
        <v>6.2120762495952908</v>
      </c>
      <c r="H67" s="5">
        <v>7872.8021587178819</v>
      </c>
    </row>
    <row r="68" spans="2:8" x14ac:dyDescent="0.2">
      <c r="B68">
        <v>64</v>
      </c>
      <c r="C68" s="34">
        <v>5.487554346629711</v>
      </c>
      <c r="D68" s="5">
        <v>14027.9265615529</v>
      </c>
      <c r="F68">
        <v>164</v>
      </c>
      <c r="G68" s="34">
        <v>13.473532769882912</v>
      </c>
      <c r="H68" s="5">
        <v>13098.033942563619</v>
      </c>
    </row>
    <row r="69" spans="2:8" x14ac:dyDescent="0.2">
      <c r="B69">
        <v>65</v>
      </c>
      <c r="C69" s="34">
        <v>7.0004381063863086</v>
      </c>
      <c r="D69" s="5">
        <v>4841.2815909688816</v>
      </c>
      <c r="F69">
        <v>165</v>
      </c>
      <c r="G69" s="34">
        <v>13.938144354711699</v>
      </c>
      <c r="H69" s="5">
        <v>13338.147569751027</v>
      </c>
    </row>
    <row r="70" spans="2:8" x14ac:dyDescent="0.2">
      <c r="B70">
        <v>66</v>
      </c>
      <c r="C70" s="34">
        <v>4.5890909370440784</v>
      </c>
      <c r="D70" s="5">
        <v>3985.5859304932392</v>
      </c>
      <c r="F70">
        <v>166</v>
      </c>
      <c r="G70" s="34">
        <v>10.124085710941417</v>
      </c>
      <c r="H70" s="5">
        <v>12918.658640600344</v>
      </c>
    </row>
    <row r="71" spans="2:8" x14ac:dyDescent="0.2">
      <c r="B71">
        <v>67</v>
      </c>
      <c r="C71" s="34">
        <v>4.6681324737924665</v>
      </c>
      <c r="D71" s="5">
        <v>6670.6381850420603</v>
      </c>
      <c r="F71">
        <v>167</v>
      </c>
      <c r="G71" s="34">
        <v>3.9877010321967221</v>
      </c>
      <c r="H71" s="5">
        <v>6747.1824289220895</v>
      </c>
    </row>
    <row r="72" spans="2:8" x14ac:dyDescent="0.2">
      <c r="B72">
        <v>68</v>
      </c>
      <c r="C72" s="34">
        <v>-1.634983337737407</v>
      </c>
      <c r="D72" s="5">
        <v>5032.9000505152562</v>
      </c>
      <c r="F72">
        <v>168</v>
      </c>
      <c r="G72" s="34">
        <v>0.36194893791251592</v>
      </c>
      <c r="H72" s="5">
        <v>4850.1512476503631</v>
      </c>
    </row>
    <row r="73" spans="2:8" x14ac:dyDescent="0.2">
      <c r="B73">
        <v>69</v>
      </c>
      <c r="C73" s="34">
        <v>10.890164504274921</v>
      </c>
      <c r="D73" s="5">
        <v>9305.2259917958236</v>
      </c>
      <c r="F73">
        <v>169</v>
      </c>
      <c r="G73" s="34">
        <v>10.267770747788992</v>
      </c>
      <c r="H73" s="5">
        <v>10235.818361728061</v>
      </c>
    </row>
    <row r="74" spans="2:8" x14ac:dyDescent="0.2">
      <c r="B74">
        <v>70</v>
      </c>
      <c r="C74" s="34">
        <v>5.0987030855427982</v>
      </c>
      <c r="D74" s="5">
        <v>3069.3455650077635</v>
      </c>
      <c r="F74">
        <v>170</v>
      </c>
      <c r="G74" s="34">
        <v>8.5837698651383771</v>
      </c>
      <c r="H74" s="5">
        <v>8227.6748324089549</v>
      </c>
    </row>
    <row r="75" spans="2:8" x14ac:dyDescent="0.2">
      <c r="B75">
        <v>71</v>
      </c>
      <c r="C75" s="34">
        <v>10.563077248224687</v>
      </c>
      <c r="D75" s="5">
        <v>5517.405808613772</v>
      </c>
      <c r="F75">
        <v>171</v>
      </c>
      <c r="G75" s="34">
        <v>11.126572109243085</v>
      </c>
      <c r="H75" s="5">
        <v>13769.325166504534</v>
      </c>
    </row>
    <row r="76" spans="2:8" x14ac:dyDescent="0.2">
      <c r="B76">
        <v>72</v>
      </c>
      <c r="C76" s="34">
        <v>12.268723354377038</v>
      </c>
      <c r="D76" s="5">
        <v>6182.6732466834192</v>
      </c>
      <c r="F76">
        <v>172</v>
      </c>
      <c r="G76" s="34">
        <v>14.708431587240057</v>
      </c>
      <c r="H76" s="5">
        <v>14345.705499339969</v>
      </c>
    </row>
    <row r="77" spans="2:8" x14ac:dyDescent="0.2">
      <c r="B77">
        <v>73</v>
      </c>
      <c r="C77" s="34">
        <v>9.5126527732621575</v>
      </c>
      <c r="D77" s="5">
        <v>4768.1402481577888</v>
      </c>
      <c r="F77">
        <v>173</v>
      </c>
      <c r="G77" s="34">
        <v>5.4255364269539497</v>
      </c>
      <c r="H77" s="5">
        <v>9668.6228816033909</v>
      </c>
    </row>
    <row r="78" spans="2:8" x14ac:dyDescent="0.2">
      <c r="B78">
        <v>74</v>
      </c>
      <c r="C78" s="34">
        <v>5.1000716478753443</v>
      </c>
      <c r="D78" s="5">
        <v>3148.5436205703631</v>
      </c>
      <c r="F78">
        <v>174</v>
      </c>
      <c r="G78" s="34">
        <v>12.822125181777842</v>
      </c>
      <c r="H78" s="5">
        <v>12538.797167065097</v>
      </c>
    </row>
    <row r="79" spans="2:8" x14ac:dyDescent="0.2">
      <c r="B79">
        <v>75</v>
      </c>
      <c r="C79" s="34">
        <v>5.7277818048669413</v>
      </c>
      <c r="D79" s="5">
        <v>3356.8887545489042</v>
      </c>
      <c r="F79">
        <v>175</v>
      </c>
      <c r="G79" s="34">
        <v>5.1862925489276623</v>
      </c>
      <c r="H79" s="5">
        <v>7339.102737667672</v>
      </c>
    </row>
    <row r="80" spans="2:8" x14ac:dyDescent="0.2">
      <c r="B80">
        <v>76</v>
      </c>
      <c r="C80" s="34">
        <v>3.7457441294888283</v>
      </c>
      <c r="D80" s="5">
        <v>1971.1625068195901</v>
      </c>
      <c r="F80">
        <v>176</v>
      </c>
      <c r="G80" s="34">
        <v>3.8401089650958711</v>
      </c>
      <c r="H80" s="5">
        <v>4931.3006483768168</v>
      </c>
    </row>
    <row r="81" spans="2:8" x14ac:dyDescent="0.2">
      <c r="B81">
        <v>77</v>
      </c>
      <c r="C81" s="34">
        <v>11.324641211559015</v>
      </c>
      <c r="D81" s="5">
        <v>7634.6497425745356</v>
      </c>
      <c r="F81">
        <v>177</v>
      </c>
      <c r="G81" s="34">
        <v>2.1396817346653152</v>
      </c>
      <c r="H81" s="5">
        <v>11003.815217742205</v>
      </c>
    </row>
    <row r="82" spans="2:8" x14ac:dyDescent="0.2">
      <c r="B82">
        <v>78</v>
      </c>
      <c r="C82" s="34">
        <v>4.3523933298869295</v>
      </c>
      <c r="D82" s="5">
        <v>2980.6625251791288</v>
      </c>
      <c r="F82">
        <v>178</v>
      </c>
      <c r="G82" s="34">
        <v>5.6182774859069955</v>
      </c>
      <c r="H82" s="5">
        <v>7311.8574149302749</v>
      </c>
    </row>
    <row r="83" spans="2:8" x14ac:dyDescent="0.2">
      <c r="B83">
        <v>79</v>
      </c>
      <c r="C83" s="34">
        <v>10.875013528448807</v>
      </c>
      <c r="D83" s="5">
        <v>11109.678764112685</v>
      </c>
      <c r="F83">
        <v>179</v>
      </c>
      <c r="G83" s="34">
        <v>8.6751946655806869</v>
      </c>
      <c r="H83" s="5">
        <v>8539.9214385549567</v>
      </c>
    </row>
    <row r="84" spans="2:8" x14ac:dyDescent="0.2">
      <c r="B84">
        <v>80</v>
      </c>
      <c r="C84" s="34">
        <v>7.6720232858929309</v>
      </c>
      <c r="D84" s="5">
        <v>5023.0276701199582</v>
      </c>
      <c r="F84">
        <v>180</v>
      </c>
      <c r="G84" s="34">
        <v>3.9008440943011879</v>
      </c>
      <c r="H84" s="5">
        <v>5155.0095336507793</v>
      </c>
    </row>
    <row r="85" spans="2:8" x14ac:dyDescent="0.2">
      <c r="B85">
        <v>81</v>
      </c>
      <c r="C85" s="34">
        <v>10.672960849566044</v>
      </c>
      <c r="D85" s="5">
        <v>9763.9967311552518</v>
      </c>
      <c r="F85">
        <v>181</v>
      </c>
      <c r="G85" s="34">
        <v>5.6893061701626291</v>
      </c>
      <c r="H85" s="5">
        <v>5706.3551660487556</v>
      </c>
    </row>
    <row r="86" spans="2:8" x14ac:dyDescent="0.2">
      <c r="B86">
        <v>82</v>
      </c>
      <c r="C86" s="34">
        <v>3.4716013057436403</v>
      </c>
      <c r="D86" s="5">
        <v>1677.7465345623355</v>
      </c>
      <c r="F86">
        <v>182</v>
      </c>
      <c r="G86" s="34">
        <v>6.8797872066389179</v>
      </c>
      <c r="H86" s="5">
        <v>6729.9170293805901</v>
      </c>
    </row>
    <row r="87" spans="2:8" x14ac:dyDescent="0.2">
      <c r="B87">
        <v>83</v>
      </c>
      <c r="C87" s="34">
        <v>10.070398192997285</v>
      </c>
      <c r="D87" s="5">
        <v>7454.4426672932641</v>
      </c>
      <c r="F87">
        <v>183</v>
      </c>
      <c r="G87" s="34">
        <v>4.2867214370266726</v>
      </c>
      <c r="H87" s="5">
        <v>5057.2115051134315</v>
      </c>
    </row>
    <row r="88" spans="2:8" x14ac:dyDescent="0.2">
      <c r="B88">
        <v>84</v>
      </c>
      <c r="C88" s="34">
        <v>14.149249843265443</v>
      </c>
      <c r="D88" s="5">
        <v>7425.3468987903034</v>
      </c>
      <c r="F88">
        <v>184</v>
      </c>
      <c r="G88" s="34">
        <v>13.746491650811786</v>
      </c>
      <c r="H88" s="5">
        <v>14159.687276564517</v>
      </c>
    </row>
    <row r="89" spans="2:8" x14ac:dyDescent="0.2">
      <c r="B89">
        <v>85</v>
      </c>
      <c r="C89" s="34">
        <v>10.948090740498266</v>
      </c>
      <c r="D89" s="5">
        <v>9027.9218998747128</v>
      </c>
      <c r="F89">
        <v>185</v>
      </c>
      <c r="G89" s="34">
        <v>4.3880452107411001</v>
      </c>
      <c r="H89" s="5">
        <v>6599.7752016007407</v>
      </c>
    </row>
    <row r="90" spans="2:8" x14ac:dyDescent="0.2">
      <c r="B90">
        <v>86</v>
      </c>
      <c r="C90" s="34">
        <v>4.2069542364304411</v>
      </c>
      <c r="D90" s="5">
        <v>8743.5025245260731</v>
      </c>
      <c r="F90">
        <v>186</v>
      </c>
      <c r="G90" s="34">
        <v>0.42522840947802132</v>
      </c>
      <c r="H90" s="5">
        <v>4934.8983672670574</v>
      </c>
    </row>
    <row r="91" spans="2:8" x14ac:dyDescent="0.2">
      <c r="B91">
        <v>87</v>
      </c>
      <c r="C91" s="34">
        <v>6.4890227275573649</v>
      </c>
      <c r="D91" s="5">
        <v>9353.7826836702734</v>
      </c>
      <c r="F91">
        <v>187</v>
      </c>
      <c r="G91" s="34">
        <v>6.7844969821088341</v>
      </c>
      <c r="H91" s="5">
        <v>8045.0357068033563</v>
      </c>
    </row>
    <row r="92" spans="2:8" x14ac:dyDescent="0.2">
      <c r="B92">
        <v>88</v>
      </c>
      <c r="C92" s="34">
        <v>0.62931492176215387</v>
      </c>
      <c r="D92" s="5">
        <v>3964.2959787645282</v>
      </c>
      <c r="F92">
        <v>188</v>
      </c>
      <c r="G92" s="34">
        <v>5.7583633342603848</v>
      </c>
      <c r="H92" s="5">
        <v>8471.1062642191937</v>
      </c>
    </row>
    <row r="93" spans="2:8" x14ac:dyDescent="0.2">
      <c r="B93">
        <v>89</v>
      </c>
      <c r="C93" s="34">
        <v>10.629234487620304</v>
      </c>
      <c r="D93" s="5">
        <v>7358.8127252886152</v>
      </c>
      <c r="F93">
        <v>189</v>
      </c>
      <c r="G93" s="34">
        <v>6.5783863718503444</v>
      </c>
      <c r="H93" s="5">
        <v>7607.3842817706518</v>
      </c>
    </row>
    <row r="94" spans="2:8" x14ac:dyDescent="0.2">
      <c r="B94">
        <v>90</v>
      </c>
      <c r="C94" s="34">
        <v>3.7268421887327379</v>
      </c>
      <c r="D94" s="5">
        <v>2838.2041594188881</v>
      </c>
      <c r="F94">
        <v>190</v>
      </c>
      <c r="G94" s="34">
        <v>7.2824680559788755</v>
      </c>
      <c r="H94" s="5">
        <v>7263.2445755410354</v>
      </c>
    </row>
    <row r="95" spans="2:8" x14ac:dyDescent="0.2">
      <c r="B95">
        <v>91</v>
      </c>
      <c r="C95" s="34">
        <v>8.1165809269660354</v>
      </c>
      <c r="D95" s="5">
        <v>115200.02655662232</v>
      </c>
      <c r="F95">
        <v>191</v>
      </c>
      <c r="G95" s="34">
        <v>6.3676505309324494</v>
      </c>
      <c r="H95" s="5">
        <v>6437.7926291620597</v>
      </c>
    </row>
    <row r="96" spans="2:8" x14ac:dyDescent="0.2">
      <c r="B96">
        <v>92</v>
      </c>
      <c r="C96" s="34">
        <v>5.3925770713520773</v>
      </c>
      <c r="D96" s="5">
        <v>14707.58675871268</v>
      </c>
      <c r="F96">
        <v>192</v>
      </c>
      <c r="G96" s="34">
        <v>5.475083985294809</v>
      </c>
      <c r="H96" s="5">
        <v>6326.3809850316402</v>
      </c>
    </row>
    <row r="97" spans="2:8" x14ac:dyDescent="0.2">
      <c r="B97">
        <v>93</v>
      </c>
      <c r="C97" s="34">
        <v>10.677305853582503</v>
      </c>
      <c r="D97" s="5">
        <v>6598.5076173051566</v>
      </c>
      <c r="F97">
        <v>193</v>
      </c>
      <c r="G97" s="34">
        <v>6.3415313611741908</v>
      </c>
      <c r="H97" s="5">
        <v>8331.847268803027</v>
      </c>
    </row>
    <row r="98" spans="2:8" x14ac:dyDescent="0.2">
      <c r="B98">
        <v>94</v>
      </c>
      <c r="C98" s="34">
        <v>6.0363700869362384</v>
      </c>
      <c r="D98" s="5">
        <v>7500.0210888805523</v>
      </c>
      <c r="F98">
        <v>194</v>
      </c>
      <c r="G98" s="34">
        <v>5.6876624527104056</v>
      </c>
      <c r="H98" s="5">
        <v>6866.5153594941958</v>
      </c>
    </row>
    <row r="99" spans="2:8" x14ac:dyDescent="0.2">
      <c r="B99">
        <v>95</v>
      </c>
      <c r="C99" s="34">
        <v>0.41208377176804351</v>
      </c>
      <c r="D99" s="5">
        <v>936.69917305127171</v>
      </c>
      <c r="F99">
        <v>195</v>
      </c>
      <c r="G99" s="34">
        <v>5.177889150290313</v>
      </c>
      <c r="H99" s="5">
        <v>8633.0328871896327</v>
      </c>
    </row>
    <row r="100" spans="2:8" x14ac:dyDescent="0.2">
      <c r="B100">
        <v>96</v>
      </c>
      <c r="C100" s="34">
        <v>2.8831788314381996</v>
      </c>
      <c r="D100" s="5">
        <v>5197.4054467773885</v>
      </c>
      <c r="F100">
        <v>196</v>
      </c>
      <c r="G100" s="34">
        <v>7.5684831866174864</v>
      </c>
      <c r="H100" s="5">
        <v>13351.104313723808</v>
      </c>
    </row>
    <row r="101" spans="2:8" x14ac:dyDescent="0.2">
      <c r="B101">
        <v>97</v>
      </c>
      <c r="C101" s="34">
        <v>11.625662938529095</v>
      </c>
      <c r="D101" s="5">
        <v>6231.841874232573</v>
      </c>
      <c r="F101">
        <v>197</v>
      </c>
      <c r="G101" s="34">
        <v>8.6556339226075369</v>
      </c>
      <c r="H101" s="5">
        <v>10863.093471953716</v>
      </c>
    </row>
    <row r="102" spans="2:8" x14ac:dyDescent="0.2">
      <c r="B102">
        <v>98</v>
      </c>
      <c r="C102" s="34">
        <v>4.9401155185063335</v>
      </c>
      <c r="D102" s="5">
        <v>8692.0511302212963</v>
      </c>
      <c r="F102">
        <v>198</v>
      </c>
      <c r="G102" s="34">
        <v>7.525936333997592</v>
      </c>
      <c r="H102" s="5">
        <v>8810.7391949038883</v>
      </c>
    </row>
    <row r="103" spans="2:8" x14ac:dyDescent="0.2">
      <c r="B103">
        <v>99</v>
      </c>
      <c r="C103" s="34">
        <v>8.2080085572306576</v>
      </c>
      <c r="D103" s="5">
        <v>4141.773199232397</v>
      </c>
      <c r="F103">
        <v>199</v>
      </c>
      <c r="G103" s="34">
        <v>8.5309817148283091</v>
      </c>
      <c r="H103" s="5">
        <v>14064.62142629152</v>
      </c>
    </row>
    <row r="104" spans="2:8" x14ac:dyDescent="0.2">
      <c r="B104">
        <v>100</v>
      </c>
      <c r="C104" s="34">
        <v>4.5831588303784203</v>
      </c>
      <c r="D104" s="5">
        <v>3620.3411528704773</v>
      </c>
      <c r="F104">
        <v>200</v>
      </c>
      <c r="G104" s="34">
        <v>0.87465481266400336</v>
      </c>
      <c r="H104" s="5">
        <v>1231.1721264412508</v>
      </c>
    </row>
  </sheetData>
  <phoneticPr fontId="0" type="noConversion"/>
  <pageMargins left="0.75" right="0.75" top="1" bottom="1" header="0.5" footer="0.5"/>
  <pageSetup orientation="landscape" horizontalDpi="4294967292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3"/>
  <sheetViews>
    <sheetView workbookViewId="0">
      <selection activeCell="G27" sqref="G27"/>
    </sheetView>
  </sheetViews>
  <sheetFormatPr defaultRowHeight="12.75" x14ac:dyDescent="0.2"/>
  <cols>
    <col min="1" max="1" width="21.140625" customWidth="1"/>
    <col min="2" max="2" width="11" customWidth="1"/>
    <col min="3" max="3" width="10.42578125" customWidth="1"/>
    <col min="5" max="5" width="10" customWidth="1"/>
    <col min="6" max="6" width="11" customWidth="1"/>
  </cols>
  <sheetData>
    <row r="1" spans="1:6" ht="18" x14ac:dyDescent="0.25">
      <c r="A1" s="20" t="s">
        <v>13</v>
      </c>
    </row>
    <row r="3" spans="1:6" ht="15.75" x14ac:dyDescent="0.25">
      <c r="B3" s="31" t="s">
        <v>1</v>
      </c>
      <c r="C3" s="30"/>
      <c r="E3" s="33" t="s">
        <v>5</v>
      </c>
      <c r="F3" s="32"/>
    </row>
    <row r="4" spans="1:6" x14ac:dyDescent="0.2">
      <c r="B4" s="1" t="s">
        <v>3</v>
      </c>
      <c r="C4" s="1" t="s">
        <v>4</v>
      </c>
      <c r="E4" s="1" t="s">
        <v>3</v>
      </c>
      <c r="F4" s="1" t="s">
        <v>4</v>
      </c>
    </row>
    <row r="5" spans="1:6" x14ac:dyDescent="0.2">
      <c r="A5" s="15" t="s">
        <v>15</v>
      </c>
      <c r="B5" s="21">
        <f>AVERAGE('Raw data'!C5:C104)</f>
        <v>6.400270941164508</v>
      </c>
      <c r="C5" s="22">
        <f>AVERAGE('Raw data'!D5:D104)</f>
        <v>7097.8962184991869</v>
      </c>
      <c r="E5" s="21">
        <f>AVERAGE('Raw data'!G5:G104)</f>
        <v>7.1824344288913995</v>
      </c>
      <c r="F5" s="22">
        <f>AVERAGE('Raw data'!H5:H104)</f>
        <v>9781.5059053890091</v>
      </c>
    </row>
    <row r="6" spans="1:6" x14ac:dyDescent="0.2">
      <c r="A6" s="15" t="s">
        <v>16</v>
      </c>
      <c r="B6" s="21">
        <f>STDEV('Raw data'!C5:C104)</f>
        <v>3.3239077748285415</v>
      </c>
      <c r="C6" s="22">
        <f>STDEV('Raw data'!D5:D104)</f>
        <v>11492.594263676621</v>
      </c>
      <c r="E6" s="21">
        <f>STDEV('Raw data'!G5:G104)</f>
        <v>3.6228461365811202</v>
      </c>
      <c r="F6" s="22">
        <f>STDEV('Raw data'!H5:H104)</f>
        <v>4771.3847474695576</v>
      </c>
    </row>
    <row r="7" spans="1:6" x14ac:dyDescent="0.2">
      <c r="A7" s="15" t="s">
        <v>17</v>
      </c>
      <c r="B7" s="21">
        <f>B6/SQRT(100)</f>
        <v>0.33239077748285417</v>
      </c>
      <c r="C7" s="22">
        <f>C6/SQRT(100)</f>
        <v>1149.2594263676622</v>
      </c>
      <c r="E7" s="21">
        <f>E6/SQRT(100)</f>
        <v>0.36228461365811204</v>
      </c>
      <c r="F7" s="22">
        <f>F6/SQRT(100)</f>
        <v>477.13847474695575</v>
      </c>
    </row>
    <row r="8" spans="1:6" x14ac:dyDescent="0.2">
      <c r="A8" s="15"/>
      <c r="E8" s="4"/>
    </row>
    <row r="9" spans="1:6" ht="15.75" x14ac:dyDescent="0.25">
      <c r="B9" s="2" t="s">
        <v>14</v>
      </c>
    </row>
    <row r="10" spans="1:6" x14ac:dyDescent="0.2">
      <c r="B10" s="1" t="s">
        <v>3</v>
      </c>
      <c r="C10" s="1" t="s">
        <v>4</v>
      </c>
    </row>
    <row r="11" spans="1:6" x14ac:dyDescent="0.2">
      <c r="A11" s="15" t="s">
        <v>15</v>
      </c>
      <c r="B11" s="21">
        <f>E5-B5</f>
        <v>0.78216348772689148</v>
      </c>
      <c r="C11" s="22">
        <f>F5-C5</f>
        <v>2683.6096868898221</v>
      </c>
    </row>
    <row r="12" spans="1:6" x14ac:dyDescent="0.2">
      <c r="A12" s="15" t="s">
        <v>17</v>
      </c>
      <c r="B12" s="21">
        <f>SQRT(B7^2+E7^2)</f>
        <v>0.49166428612322838</v>
      </c>
      <c r="C12" s="22">
        <f>SQRT(C7^2+F7^2)</f>
        <v>1244.370665508786</v>
      </c>
    </row>
    <row r="13" spans="1:6" x14ac:dyDescent="0.2">
      <c r="A13" s="15" t="s">
        <v>18</v>
      </c>
      <c r="B13" s="21">
        <f>B11-NORMINV(0.975,0,1)*B12</f>
        <v>-0.18148080555923218</v>
      </c>
      <c r="C13" s="22">
        <f>C11-NORMINV(0.975,0,1)*C12</f>
        <v>244.68799907446373</v>
      </c>
    </row>
    <row r="14" spans="1:6" x14ac:dyDescent="0.2">
      <c r="A14" s="15" t="s">
        <v>19</v>
      </c>
      <c r="B14" s="21">
        <f>B11+NORMINV(0.975,0,1)*B12</f>
        <v>1.7458077810130153</v>
      </c>
      <c r="C14" s="22">
        <f>C11+NORMINV(0.975,0,1)*C12</f>
        <v>5122.5313747051805</v>
      </c>
    </row>
    <row r="16" spans="1:6" ht="15.75" x14ac:dyDescent="0.25">
      <c r="B16" s="2" t="s">
        <v>20</v>
      </c>
    </row>
    <row r="18" spans="1:2" x14ac:dyDescent="0.2">
      <c r="A18" s="15" t="s">
        <v>21</v>
      </c>
      <c r="B18" s="22">
        <f>C11/B11</f>
        <v>3431.0086433321976</v>
      </c>
    </row>
    <row r="21" spans="1:2" x14ac:dyDescent="0.2">
      <c r="A21" s="15" t="s">
        <v>45</v>
      </c>
      <c r="B21" s="28">
        <f>CORREL('Raw data'!C5:C104,'Raw data'!D5:D104)</f>
        <v>0.14609976863123622</v>
      </c>
    </row>
    <row r="22" spans="1:2" x14ac:dyDescent="0.2">
      <c r="A22" s="15" t="s">
        <v>46</v>
      </c>
      <c r="B22" s="28">
        <f>CORREL('Raw data'!G5:G104,'Raw data'!H5:H104)</f>
        <v>0.66803155857861263</v>
      </c>
    </row>
    <row r="23" spans="1:2" x14ac:dyDescent="0.2">
      <c r="A23" s="15" t="s">
        <v>47</v>
      </c>
      <c r="B23" s="28">
        <f>(B21*B7*C7+B22*E7*F7)/(B12*C12)</f>
        <v>0.27996557617402962</v>
      </c>
    </row>
  </sheetData>
  <phoneticPr fontId="0" type="noConversion"/>
  <pageMargins left="0.75" right="0.75" top="1" bottom="1" header="0.5" footer="0.5"/>
  <pageSetup orientation="landscape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R1007"/>
  <sheetViews>
    <sheetView workbookViewId="0">
      <selection activeCell="E3" sqref="E3"/>
    </sheetView>
  </sheetViews>
  <sheetFormatPr defaultColWidth="8.85546875" defaultRowHeight="12.75" x14ac:dyDescent="0.2"/>
  <cols>
    <col min="1" max="1" width="10.42578125" style="4" customWidth="1"/>
    <col min="2" max="2" width="9.7109375" style="14" customWidth="1"/>
    <col min="3" max="3" width="10" style="10" customWidth="1"/>
    <col min="4" max="4" width="3.28515625" style="4" customWidth="1"/>
    <col min="5" max="5" width="8.85546875" style="4" customWidth="1"/>
    <col min="6" max="6" width="9.7109375" style="14" customWidth="1"/>
    <col min="7" max="7" width="10" style="10" customWidth="1"/>
    <col min="8" max="8" width="3.5703125" style="4" customWidth="1"/>
    <col min="9" max="9" width="8.85546875" style="4" customWidth="1"/>
    <col min="10" max="10" width="3.85546875" style="4" customWidth="1"/>
    <col min="11" max="11" width="9.7109375" style="14" customWidth="1"/>
    <col min="12" max="12" width="10.7109375" style="10" customWidth="1"/>
    <col min="13" max="13" width="2.42578125" style="10" customWidth="1"/>
    <col min="14" max="14" width="2.42578125" style="4" customWidth="1"/>
    <col min="15" max="15" width="9.7109375" style="14" customWidth="1"/>
    <col min="16" max="16" width="10.28515625" style="10" customWidth="1"/>
    <col min="17" max="17" width="3.42578125" style="4" customWidth="1"/>
    <col min="18" max="19" width="8.85546875" style="4" customWidth="1"/>
    <col min="20" max="20" width="3.42578125" style="4" customWidth="1"/>
    <col min="21" max="21" width="10.5703125" style="4" customWidth="1"/>
    <col min="22" max="22" width="4.28515625" style="4" customWidth="1"/>
    <col min="23" max="23" width="15.7109375" style="4" customWidth="1"/>
    <col min="24" max="24" width="12.5703125" style="4" customWidth="1"/>
    <col min="25" max="25" width="8.85546875" style="4" customWidth="1"/>
    <col min="26" max="26" width="5.85546875" style="4" customWidth="1"/>
    <col min="27" max="27" width="8.85546875" style="4" customWidth="1"/>
    <col min="28" max="28" width="3.85546875" style="4" customWidth="1"/>
    <col min="29" max="30" width="8.85546875" style="4" customWidth="1"/>
    <col min="31" max="31" width="3.85546875" style="4" customWidth="1"/>
    <col min="32" max="32" width="9" style="4" customWidth="1"/>
    <col min="33" max="33" width="3.42578125" style="4" customWidth="1"/>
    <col min="34" max="34" width="16.28515625" style="4" customWidth="1"/>
    <col min="35" max="36" width="8.85546875" style="4" customWidth="1"/>
    <col min="37" max="37" width="5.5703125" style="4" customWidth="1"/>
    <col min="38" max="38" width="8.85546875" style="4" customWidth="1"/>
    <col min="39" max="39" width="4.140625" style="4" customWidth="1"/>
    <col min="40" max="44" width="9.140625" customWidth="1"/>
    <col min="45" max="16384" width="8.85546875" style="4"/>
  </cols>
  <sheetData>
    <row r="1" spans="1:39" s="3" customFormat="1" ht="18" x14ac:dyDescent="0.25">
      <c r="A1" s="3" t="s">
        <v>6</v>
      </c>
      <c r="B1" s="11"/>
      <c r="C1" s="8"/>
      <c r="F1" s="11"/>
      <c r="G1" s="8"/>
      <c r="K1" s="11"/>
      <c r="L1" s="8"/>
      <c r="M1" s="8"/>
      <c r="O1" s="11"/>
      <c r="P1" s="10"/>
    </row>
    <row r="2" spans="1:39" s="2" customFormat="1" ht="15.75" x14ac:dyDescent="0.25">
      <c r="B2" s="12"/>
      <c r="C2" s="7"/>
      <c r="F2" s="12"/>
      <c r="G2" s="7"/>
      <c r="K2" s="12"/>
      <c r="L2" s="7"/>
      <c r="M2" s="7"/>
      <c r="O2" s="12"/>
      <c r="P2" s="10"/>
      <c r="Z2" s="2" t="s">
        <v>35</v>
      </c>
      <c r="AA2" s="10">
        <v>50000</v>
      </c>
    </row>
    <row r="3" spans="1:39" s="2" customFormat="1" ht="15.75" x14ac:dyDescent="0.25">
      <c r="A3" s="2" t="s">
        <v>11</v>
      </c>
      <c r="B3" s="14"/>
      <c r="C3" s="10"/>
      <c r="D3" s="4"/>
      <c r="E3" s="4"/>
      <c r="F3" s="14"/>
      <c r="G3" s="10"/>
      <c r="I3" s="2" t="s">
        <v>7</v>
      </c>
      <c r="K3" s="14"/>
      <c r="L3" s="10"/>
      <c r="M3" s="10"/>
      <c r="N3" s="4"/>
      <c r="O3" s="14"/>
      <c r="P3" s="10"/>
      <c r="Z3" s="2" t="s">
        <v>36</v>
      </c>
      <c r="AA3" s="18">
        <f>SUM(AA8:AA1007)/1000</f>
        <v>0.92100000000000004</v>
      </c>
      <c r="AK3" s="2" t="s">
        <v>36</v>
      </c>
      <c r="AL3" s="18">
        <f>SUM(AL8:AL1007)/1000</f>
        <v>0.92100000000000004</v>
      </c>
      <c r="AM3" s="4"/>
    </row>
    <row r="4" spans="1:39" ht="15.75" x14ac:dyDescent="0.25">
      <c r="I4" s="2"/>
      <c r="J4" s="2"/>
      <c r="N4" s="2"/>
    </row>
    <row r="5" spans="1:39" ht="15.75" x14ac:dyDescent="0.25">
      <c r="A5" s="31" t="s">
        <v>1</v>
      </c>
      <c r="B5" s="30"/>
      <c r="C5" s="30"/>
      <c r="E5" s="33" t="s">
        <v>5</v>
      </c>
      <c r="F5" s="32"/>
      <c r="G5" s="32"/>
      <c r="I5" s="1" t="s">
        <v>9</v>
      </c>
      <c r="J5" s="1"/>
      <c r="K5" s="30" t="s">
        <v>8</v>
      </c>
      <c r="L5" s="30"/>
      <c r="O5" s="32" t="s">
        <v>5</v>
      </c>
      <c r="P5" s="32"/>
      <c r="Q5" s="1"/>
      <c r="R5" s="1" t="s">
        <v>22</v>
      </c>
      <c r="S5" s="1"/>
      <c r="AF5" s="1" t="s">
        <v>39</v>
      </c>
      <c r="AG5" s="1"/>
      <c r="AH5" s="1"/>
      <c r="AI5" s="1"/>
    </row>
    <row r="6" spans="1:39" x14ac:dyDescent="0.2">
      <c r="A6" s="1" t="s">
        <v>2</v>
      </c>
      <c r="B6" s="13" t="s">
        <v>3</v>
      </c>
      <c r="C6" s="9" t="s">
        <v>4</v>
      </c>
      <c r="E6" s="1" t="s">
        <v>2</v>
      </c>
      <c r="F6" s="13" t="s">
        <v>3</v>
      </c>
      <c r="G6" s="9" t="s">
        <v>4</v>
      </c>
      <c r="I6" s="1" t="s">
        <v>10</v>
      </c>
      <c r="J6" s="1"/>
      <c r="K6" s="13" t="s">
        <v>3</v>
      </c>
      <c r="L6" s="9" t="s">
        <v>4</v>
      </c>
      <c r="M6" s="9"/>
      <c r="O6" s="13" t="s">
        <v>3</v>
      </c>
      <c r="P6" s="9" t="s">
        <v>4</v>
      </c>
      <c r="Q6" s="1"/>
      <c r="R6" s="1" t="s">
        <v>3</v>
      </c>
      <c r="S6" s="1" t="s">
        <v>4</v>
      </c>
      <c r="U6" s="1" t="s">
        <v>20</v>
      </c>
      <c r="W6" s="1" t="s">
        <v>23</v>
      </c>
      <c r="AA6" s="1" t="s">
        <v>34</v>
      </c>
      <c r="AC6" s="1" t="s">
        <v>35</v>
      </c>
      <c r="AD6" s="1" t="s">
        <v>36</v>
      </c>
      <c r="AF6" s="1" t="s">
        <v>37</v>
      </c>
      <c r="AG6" s="1"/>
      <c r="AH6" s="1" t="s">
        <v>40</v>
      </c>
      <c r="AI6" s="1"/>
      <c r="AL6" s="1" t="s">
        <v>34</v>
      </c>
    </row>
    <row r="7" spans="1:39" x14ac:dyDescent="0.2">
      <c r="Q7" s="1"/>
    </row>
    <row r="8" spans="1:39" x14ac:dyDescent="0.2">
      <c r="A8" s="18">
        <f ca="1">INT(RAND()*100)+1</f>
        <v>65</v>
      </c>
      <c r="B8" s="24">
        <f t="shared" ref="B8:B39" ca="1" si="0">VLOOKUP(A8,control,2,FALSE)</f>
        <v>7.0004381063863086</v>
      </c>
      <c r="C8" s="23">
        <f t="shared" ref="C8:C39" ca="1" si="1">VLOOKUP(A8,control,3,FALSE)</f>
        <v>4841.2815909688816</v>
      </c>
      <c r="E8" s="18">
        <f ca="1">INT(RAND()*100)+101</f>
        <v>144</v>
      </c>
      <c r="F8" s="24">
        <f t="shared" ref="F8:F39" ca="1" si="2">VLOOKUP(E8,treatment,2,FALSE)</f>
        <v>7.8859323315056349</v>
      </c>
      <c r="G8" s="23">
        <f t="shared" ref="G8:G39" ca="1" si="3">VLOOKUP(E8,treatment,3,FALSE)</f>
        <v>12466.149879986684</v>
      </c>
      <c r="I8" s="4">
        <v>1</v>
      </c>
      <c r="K8" s="14">
        <v>6.1440677215256381</v>
      </c>
      <c r="L8" s="10">
        <v>5869.0621862306489</v>
      </c>
      <c r="O8" s="14">
        <v>6.8782527976097008</v>
      </c>
      <c r="P8" s="10">
        <v>9095.1687768249722</v>
      </c>
      <c r="R8" s="19">
        <f t="shared" ref="R8:R71" si="4">O8-K8</f>
        <v>0.73418507608406269</v>
      </c>
      <c r="S8" s="23">
        <f t="shared" ref="S8:S71" si="5">P8-L8</f>
        <v>3226.1065905943233</v>
      </c>
      <c r="U8" s="23">
        <f t="shared" ref="U8:U71" si="6">S8/R8</f>
        <v>4394.1326181696186</v>
      </c>
      <c r="W8" s="25" t="s">
        <v>15</v>
      </c>
      <c r="X8" s="23">
        <f>AVERAGE($U$8:$U$1007)</f>
        <v>6297.3495499856153</v>
      </c>
      <c r="AA8" s="18">
        <f t="shared" ref="AA8:AA71" si="7">IF(R8&lt;0,IF(U8&lt;Rc_,0,1),IF(U8&lt;Rc_,1,0))</f>
        <v>1</v>
      </c>
      <c r="AC8" s="10">
        <v>0</v>
      </c>
      <c r="AD8" s="4">
        <v>2.4E-2</v>
      </c>
      <c r="AF8" s="23">
        <f t="shared" ref="AF8:AF71" si="8">R8*Rc_-S8</f>
        <v>33483.147213608812</v>
      </c>
      <c r="AH8" s="25" t="s">
        <v>15</v>
      </c>
      <c r="AI8" s="23">
        <f>AVERAGE($AF$8:$AF$1007)</f>
        <v>35067.302805339321</v>
      </c>
      <c r="AL8" s="18">
        <f t="shared" ref="AL8:AL71" si="9">IF(AF8&gt;0,1,0)</f>
        <v>1</v>
      </c>
    </row>
    <row r="9" spans="1:39" x14ac:dyDescent="0.2">
      <c r="A9" s="18">
        <f t="shared" ref="A9:A72" ca="1" si="10">INT(RAND()*100)+1</f>
        <v>34</v>
      </c>
      <c r="B9" s="24">
        <f t="shared" ca="1" si="0"/>
        <v>6.4271455137348639</v>
      </c>
      <c r="C9" s="23">
        <f t="shared" ca="1" si="1"/>
        <v>6911.3667119870233</v>
      </c>
      <c r="E9" s="18">
        <f t="shared" ref="E9:E72" ca="1" si="11">INT(RAND()*100)+101</f>
        <v>129</v>
      </c>
      <c r="F9" s="24">
        <f t="shared" ca="1" si="2"/>
        <v>-0.54777190984754087</v>
      </c>
      <c r="G9" s="23">
        <f t="shared" ca="1" si="3"/>
        <v>7050.9204931595659</v>
      </c>
      <c r="I9" s="4">
        <v>2</v>
      </c>
      <c r="K9" s="14">
        <v>5.7388849631796033</v>
      </c>
      <c r="L9" s="10">
        <v>5934.3451253858047</v>
      </c>
      <c r="O9" s="14">
        <v>7.3112916445495504</v>
      </c>
      <c r="P9" s="10">
        <v>9762.16358532296</v>
      </c>
      <c r="R9" s="19">
        <f t="shared" si="4"/>
        <v>1.5724066813699471</v>
      </c>
      <c r="S9" s="23">
        <f t="shared" si="5"/>
        <v>3827.8184599371552</v>
      </c>
      <c r="U9" s="23">
        <f t="shared" si="6"/>
        <v>2434.3692412971677</v>
      </c>
      <c r="W9" s="25" t="s">
        <v>24</v>
      </c>
      <c r="X9" s="23">
        <f>STDEV($U$8:$U$1007)</f>
        <v>98188.978585790814</v>
      </c>
      <c r="AA9" s="18">
        <f t="shared" si="7"/>
        <v>1</v>
      </c>
      <c r="AC9" s="10">
        <v>1000</v>
      </c>
      <c r="AD9" s="4">
        <v>6.8000000000000005E-2</v>
      </c>
      <c r="AF9" s="23">
        <f t="shared" si="8"/>
        <v>74792.515608560192</v>
      </c>
      <c r="AH9" s="25" t="s">
        <v>24</v>
      </c>
      <c r="AI9" s="23">
        <f>STDEV($AF$8:$AF$1007)</f>
        <v>24069.548139574152</v>
      </c>
      <c r="AL9" s="18">
        <f t="shared" si="9"/>
        <v>1</v>
      </c>
    </row>
    <row r="10" spans="1:39" x14ac:dyDescent="0.2">
      <c r="A10" s="18">
        <f t="shared" ca="1" si="10"/>
        <v>19</v>
      </c>
      <c r="B10" s="24">
        <f t="shared" ca="1" si="0"/>
        <v>4.5487748338420486</v>
      </c>
      <c r="C10" s="23">
        <f t="shared" ca="1" si="1"/>
        <v>3546.4025970283678</v>
      </c>
      <c r="E10" s="18">
        <f t="shared" ca="1" si="11"/>
        <v>152</v>
      </c>
      <c r="F10" s="24">
        <f t="shared" ca="1" si="2"/>
        <v>6.6291311419083945</v>
      </c>
      <c r="G10" s="23">
        <f t="shared" ca="1" si="3"/>
        <v>7874.3463358184927</v>
      </c>
      <c r="I10" s="4">
        <v>3</v>
      </c>
      <c r="K10" s="14">
        <v>6.3805260759968947</v>
      </c>
      <c r="L10" s="10">
        <v>7412.3984628313628</v>
      </c>
      <c r="O10" s="14">
        <v>7.3257712404639044</v>
      </c>
      <c r="P10" s="10">
        <v>9414.0038210402545</v>
      </c>
      <c r="R10" s="19">
        <f t="shared" si="4"/>
        <v>0.94524516446700968</v>
      </c>
      <c r="S10" s="23">
        <f t="shared" si="5"/>
        <v>2001.6053582088916</v>
      </c>
      <c r="U10" s="23">
        <f t="shared" si="6"/>
        <v>2117.5515447757157</v>
      </c>
      <c r="W10" s="25" t="s">
        <v>25</v>
      </c>
      <c r="X10" s="23">
        <f>MEDIAN($U$8:$U$1007)</f>
        <v>3219.9180590964161</v>
      </c>
      <c r="AA10" s="18">
        <f t="shared" si="7"/>
        <v>1</v>
      </c>
      <c r="AC10" s="10">
        <v>2000</v>
      </c>
      <c r="AD10" s="4">
        <v>0.193</v>
      </c>
      <c r="AF10" s="23">
        <f t="shared" si="8"/>
        <v>45260.652865141594</v>
      </c>
      <c r="AH10" s="25" t="s">
        <v>25</v>
      </c>
      <c r="AI10" s="23">
        <f>MEDIAN($AF$8:$AF$1007)</f>
        <v>35048.809023178263</v>
      </c>
      <c r="AL10" s="18">
        <f t="shared" si="9"/>
        <v>1</v>
      </c>
    </row>
    <row r="11" spans="1:39" x14ac:dyDescent="0.2">
      <c r="A11" s="18">
        <f t="shared" ca="1" si="10"/>
        <v>56</v>
      </c>
      <c r="B11" s="24">
        <f t="shared" ca="1" si="0"/>
        <v>8.5218979084368645</v>
      </c>
      <c r="C11" s="23">
        <f t="shared" ca="1" si="1"/>
        <v>5569.1318465909117</v>
      </c>
      <c r="E11" s="18">
        <f t="shared" ca="1" si="11"/>
        <v>105</v>
      </c>
      <c r="F11" s="24">
        <f t="shared" ca="1" si="2"/>
        <v>4.9495945917755577</v>
      </c>
      <c r="G11" s="23">
        <f t="shared" ca="1" si="3"/>
        <v>5949.4747580031508</v>
      </c>
      <c r="I11" s="4">
        <v>4</v>
      </c>
      <c r="K11" s="14">
        <v>6.5187430331491107</v>
      </c>
      <c r="L11" s="10">
        <v>8213.1860961286275</v>
      </c>
      <c r="O11" s="14">
        <v>7.2480644225430275</v>
      </c>
      <c r="P11" s="10">
        <v>9821.38375146418</v>
      </c>
      <c r="R11" s="19">
        <f t="shared" si="4"/>
        <v>0.72932138939391677</v>
      </c>
      <c r="S11" s="23">
        <f t="shared" si="5"/>
        <v>1608.1976553355526</v>
      </c>
      <c r="U11" s="23">
        <f t="shared" si="6"/>
        <v>2205.0603187053139</v>
      </c>
      <c r="W11" s="25" t="s">
        <v>26</v>
      </c>
      <c r="X11" s="23">
        <f>PERCENTILE($U$8:$U$1007, 0.025)</f>
        <v>-18120.442929977209</v>
      </c>
      <c r="AA11" s="18">
        <f t="shared" si="7"/>
        <v>1</v>
      </c>
      <c r="AC11" s="10">
        <v>3000</v>
      </c>
      <c r="AD11" s="4">
        <v>0.39400000000000002</v>
      </c>
      <c r="AF11" s="23">
        <f t="shared" si="8"/>
        <v>34857.871814360289</v>
      </c>
      <c r="AH11" s="25" t="s">
        <v>26</v>
      </c>
      <c r="AI11" s="23">
        <f>PERCENTILE($AF$8:$AF$1007,0.025)</f>
        <v>-12475.790097978715</v>
      </c>
      <c r="AL11" s="18">
        <f t="shared" si="9"/>
        <v>1</v>
      </c>
    </row>
    <row r="12" spans="1:39" x14ac:dyDescent="0.2">
      <c r="A12" s="18">
        <f t="shared" ca="1" si="10"/>
        <v>30</v>
      </c>
      <c r="B12" s="24">
        <f t="shared" ca="1" si="0"/>
        <v>6.5010231063650092</v>
      </c>
      <c r="C12" s="23">
        <f t="shared" ca="1" si="1"/>
        <v>3169.3103583302163</v>
      </c>
      <c r="E12" s="18">
        <f t="shared" ca="1" si="11"/>
        <v>152</v>
      </c>
      <c r="F12" s="24">
        <f t="shared" ca="1" si="2"/>
        <v>6.6291311419083945</v>
      </c>
      <c r="G12" s="23">
        <f t="shared" ca="1" si="3"/>
        <v>7874.3463358184927</v>
      </c>
      <c r="I12" s="4">
        <v>5</v>
      </c>
      <c r="K12" s="14">
        <v>6.8037832884124327</v>
      </c>
      <c r="L12" s="10">
        <v>6482.4496396991653</v>
      </c>
      <c r="O12" s="14">
        <v>6.8305225150142928</v>
      </c>
      <c r="P12" s="10">
        <v>9774.937340252698</v>
      </c>
      <c r="R12" s="19">
        <f t="shared" si="4"/>
        <v>2.6739226601860011E-2</v>
      </c>
      <c r="S12" s="23">
        <f t="shared" si="5"/>
        <v>3292.4877005535327</v>
      </c>
      <c r="U12" s="23">
        <f t="shared" si="6"/>
        <v>123133.24351439931</v>
      </c>
      <c r="W12" s="25" t="s">
        <v>27</v>
      </c>
      <c r="X12" s="23">
        <f>PERCENTILE($U$8:$U$1007,0.975)</f>
        <v>20819.993962673601</v>
      </c>
      <c r="AA12" s="18">
        <f t="shared" si="7"/>
        <v>0</v>
      </c>
      <c r="AC12" s="10">
        <v>4000</v>
      </c>
      <c r="AD12" s="4">
        <v>0.54800000000000004</v>
      </c>
      <c r="AF12" s="23">
        <f t="shared" si="8"/>
        <v>-1955.5263704605322</v>
      </c>
      <c r="AH12" s="25" t="s">
        <v>27</v>
      </c>
      <c r="AI12" s="23">
        <f>PERCENTILE($AF$8:$AF$1007,0.975)</f>
        <v>80161.966983371152</v>
      </c>
      <c r="AL12" s="18">
        <f t="shared" si="9"/>
        <v>0</v>
      </c>
    </row>
    <row r="13" spans="1:39" x14ac:dyDescent="0.2">
      <c r="A13" s="18">
        <f t="shared" ca="1" si="10"/>
        <v>50</v>
      </c>
      <c r="B13" s="24">
        <f t="shared" ca="1" si="0"/>
        <v>7.1365385198688571</v>
      </c>
      <c r="C13" s="23">
        <f t="shared" ca="1" si="1"/>
        <v>5198.5565806135983</v>
      </c>
      <c r="E13" s="18">
        <f t="shared" ca="1" si="11"/>
        <v>196</v>
      </c>
      <c r="F13" s="24">
        <f t="shared" ca="1" si="2"/>
        <v>7.5684831866174864</v>
      </c>
      <c r="G13" s="23">
        <f t="shared" ca="1" si="3"/>
        <v>13351.104313723808</v>
      </c>
      <c r="I13" s="4">
        <v>6</v>
      </c>
      <c r="K13" s="14">
        <v>6.6058395384396764</v>
      </c>
      <c r="L13" s="10">
        <v>6360.9277608385146</v>
      </c>
      <c r="O13" s="14">
        <v>7.7330604961000304</v>
      </c>
      <c r="P13" s="10">
        <v>10470.788033265686</v>
      </c>
      <c r="R13" s="19">
        <f t="shared" si="4"/>
        <v>1.127220957660354</v>
      </c>
      <c r="S13" s="23">
        <f t="shared" si="5"/>
        <v>4109.8602724271714</v>
      </c>
      <c r="U13" s="23">
        <f t="shared" si="6"/>
        <v>3646.0112318684592</v>
      </c>
      <c r="W13" s="25" t="s">
        <v>32</v>
      </c>
      <c r="X13" s="23">
        <f>MIN($U$8:$U$1007)</f>
        <v>-1074126.2554710994</v>
      </c>
      <c r="AA13" s="18">
        <f t="shared" si="7"/>
        <v>1</v>
      </c>
      <c r="AC13" s="10">
        <v>5000</v>
      </c>
      <c r="AD13" s="4">
        <v>0.67400000000000004</v>
      </c>
      <c r="AF13" s="23">
        <f t="shared" si="8"/>
        <v>52251.187610590532</v>
      </c>
      <c r="AH13" s="25" t="s">
        <v>32</v>
      </c>
      <c r="AI13" s="23">
        <f>MIN($AF$8:$AF$1007)</f>
        <v>-38465.992234095094</v>
      </c>
      <c r="AL13" s="18">
        <f t="shared" si="9"/>
        <v>1</v>
      </c>
    </row>
    <row r="14" spans="1:39" x14ac:dyDescent="0.2">
      <c r="A14" s="18">
        <f t="shared" ca="1" si="10"/>
        <v>98</v>
      </c>
      <c r="B14" s="24">
        <f t="shared" ca="1" si="0"/>
        <v>4.9401155185063335</v>
      </c>
      <c r="C14" s="23">
        <f t="shared" ca="1" si="1"/>
        <v>8692.0511302212963</v>
      </c>
      <c r="E14" s="18">
        <f t="shared" ca="1" si="11"/>
        <v>117</v>
      </c>
      <c r="F14" s="24">
        <f t="shared" ca="1" si="2"/>
        <v>9.9693945714417964</v>
      </c>
      <c r="G14" s="23">
        <f t="shared" ca="1" si="3"/>
        <v>9842.2889756341883</v>
      </c>
      <c r="I14" s="4">
        <v>7</v>
      </c>
      <c r="K14" s="14">
        <v>6.0678381264943777</v>
      </c>
      <c r="L14" s="10">
        <v>5544.2246949210612</v>
      </c>
      <c r="O14" s="14">
        <v>6.9653570579221489</v>
      </c>
      <c r="P14" s="10">
        <v>9387.8999991932415</v>
      </c>
      <c r="R14" s="19">
        <f t="shared" si="4"/>
        <v>0.89751893142777117</v>
      </c>
      <c r="S14" s="23">
        <f t="shared" si="5"/>
        <v>3843.6753042721803</v>
      </c>
      <c r="U14" s="23">
        <f t="shared" si="6"/>
        <v>4282.5562444211291</v>
      </c>
      <c r="W14" s="25" t="s">
        <v>33</v>
      </c>
      <c r="X14" s="23">
        <f>MAX($U$8:$U$1007)</f>
        <v>1927417.6311013221</v>
      </c>
      <c r="AA14" s="18">
        <f t="shared" si="7"/>
        <v>1</v>
      </c>
      <c r="AC14" s="10">
        <v>6000</v>
      </c>
      <c r="AD14" s="4">
        <v>0.74399999999999999</v>
      </c>
      <c r="AF14" s="23">
        <f t="shared" si="8"/>
        <v>41032.271267116375</v>
      </c>
      <c r="AH14" s="25" t="s">
        <v>33</v>
      </c>
      <c r="AI14" s="23">
        <f>MAX($AF$8:$AF$1007)</f>
        <v>136557.74218326074</v>
      </c>
      <c r="AL14" s="18">
        <f t="shared" si="9"/>
        <v>1</v>
      </c>
    </row>
    <row r="15" spans="1:39" x14ac:dyDescent="0.2">
      <c r="A15" s="18">
        <f t="shared" ca="1" si="10"/>
        <v>16</v>
      </c>
      <c r="B15" s="24">
        <f t="shared" ca="1" si="0"/>
        <v>4.1997952983587261</v>
      </c>
      <c r="C15" s="23">
        <f t="shared" ca="1" si="1"/>
        <v>4520.6827977691773</v>
      </c>
      <c r="E15" s="18">
        <f t="shared" ca="1" si="11"/>
        <v>165</v>
      </c>
      <c r="F15" s="24">
        <f t="shared" ca="1" si="2"/>
        <v>13.938144354711699</v>
      </c>
      <c r="G15" s="23">
        <f t="shared" ca="1" si="3"/>
        <v>13338.147569751027</v>
      </c>
      <c r="I15" s="4">
        <v>8</v>
      </c>
      <c r="K15" s="14">
        <v>6.0524758066069797</v>
      </c>
      <c r="L15" s="10">
        <v>5917.3947015546355</v>
      </c>
      <c r="O15" s="14">
        <v>7.5314271135119313</v>
      </c>
      <c r="P15" s="10">
        <v>10582.042097238858</v>
      </c>
      <c r="R15" s="19">
        <f t="shared" si="4"/>
        <v>1.4789513069049516</v>
      </c>
      <c r="S15" s="23">
        <f t="shared" si="5"/>
        <v>4664.6473956842228</v>
      </c>
      <c r="U15" s="23">
        <f t="shared" si="6"/>
        <v>3154.0236476385953</v>
      </c>
      <c r="AA15" s="18">
        <f t="shared" si="7"/>
        <v>1</v>
      </c>
      <c r="AC15" s="10">
        <v>7000</v>
      </c>
      <c r="AD15" s="4">
        <v>0.78900000000000003</v>
      </c>
      <c r="AF15" s="23">
        <f t="shared" si="8"/>
        <v>69282.917949563358</v>
      </c>
      <c r="AL15" s="18">
        <f t="shared" si="9"/>
        <v>1</v>
      </c>
    </row>
    <row r="16" spans="1:39" ht="13.5" thickBot="1" x14ac:dyDescent="0.25">
      <c r="A16" s="18">
        <f t="shared" ca="1" si="10"/>
        <v>28</v>
      </c>
      <c r="B16" s="24">
        <f t="shared" ca="1" si="0"/>
        <v>11.321050050792836</v>
      </c>
      <c r="C16" s="23">
        <f t="shared" ca="1" si="1"/>
        <v>6238.8722271655597</v>
      </c>
      <c r="E16" s="18">
        <f t="shared" ca="1" si="11"/>
        <v>163</v>
      </c>
      <c r="F16" s="24">
        <f t="shared" ca="1" si="2"/>
        <v>6.2120762495952908</v>
      </c>
      <c r="G16" s="23">
        <f t="shared" ca="1" si="3"/>
        <v>7872.8021587178819</v>
      </c>
      <c r="I16" s="4">
        <v>9</v>
      </c>
      <c r="K16" s="14">
        <v>7.4385006297569021</v>
      </c>
      <c r="L16" s="10">
        <v>7125.1307151340698</v>
      </c>
      <c r="O16" s="14">
        <v>7.3306946243051412</v>
      </c>
      <c r="P16" s="10">
        <v>9239.3454477779651</v>
      </c>
      <c r="R16" s="19">
        <f t="shared" si="4"/>
        <v>-0.10780600545176089</v>
      </c>
      <c r="S16" s="23">
        <f t="shared" si="5"/>
        <v>2114.2147326438953</v>
      </c>
      <c r="U16" s="23">
        <f t="shared" si="6"/>
        <v>-19611.289035191334</v>
      </c>
      <c r="AA16" s="18">
        <f t="shared" si="7"/>
        <v>0</v>
      </c>
      <c r="AC16" s="10">
        <v>8000</v>
      </c>
      <c r="AD16" s="4">
        <v>0.81499999999999995</v>
      </c>
      <c r="AF16" s="23">
        <f t="shared" si="8"/>
        <v>-7504.5150052319395</v>
      </c>
      <c r="AL16" s="18">
        <f t="shared" si="9"/>
        <v>0</v>
      </c>
    </row>
    <row r="17" spans="1:38" x14ac:dyDescent="0.2">
      <c r="A17" s="18">
        <f t="shared" ca="1" si="10"/>
        <v>91</v>
      </c>
      <c r="B17" s="24">
        <f t="shared" ca="1" si="0"/>
        <v>8.1165809269660354</v>
      </c>
      <c r="C17" s="23">
        <f t="shared" ca="1" si="1"/>
        <v>115200.02655662232</v>
      </c>
      <c r="E17" s="18">
        <f t="shared" ca="1" si="11"/>
        <v>148</v>
      </c>
      <c r="F17" s="24">
        <f t="shared" ca="1" si="2"/>
        <v>0.83913410236726871</v>
      </c>
      <c r="G17" s="23">
        <f t="shared" ca="1" si="3"/>
        <v>2774.8563919978606</v>
      </c>
      <c r="I17" s="4">
        <v>10</v>
      </c>
      <c r="K17" s="14">
        <v>7.3199625006465077</v>
      </c>
      <c r="L17" s="10">
        <v>6208.2700516514378</v>
      </c>
      <c r="O17" s="14">
        <v>6.7953807010639959</v>
      </c>
      <c r="P17" s="10">
        <v>9549.5896950486585</v>
      </c>
      <c r="R17" s="19">
        <f t="shared" si="4"/>
        <v>-0.52458179958251172</v>
      </c>
      <c r="S17" s="23">
        <f t="shared" si="5"/>
        <v>3341.3196433972207</v>
      </c>
      <c r="U17" s="23">
        <f t="shared" si="6"/>
        <v>-6369.4921288851592</v>
      </c>
      <c r="W17" s="1" t="s">
        <v>28</v>
      </c>
      <c r="X17" s="27" t="s">
        <v>29</v>
      </c>
      <c r="Y17" s="27" t="s">
        <v>31</v>
      </c>
      <c r="AA17" s="18">
        <f t="shared" si="7"/>
        <v>0</v>
      </c>
      <c r="AC17" s="10">
        <v>9000</v>
      </c>
      <c r="AD17" s="4">
        <v>0.83</v>
      </c>
      <c r="AF17" s="23">
        <f t="shared" si="8"/>
        <v>-29570.409622522806</v>
      </c>
      <c r="AH17" s="1" t="s">
        <v>42</v>
      </c>
      <c r="AI17" s="27" t="s">
        <v>29</v>
      </c>
      <c r="AJ17" s="27" t="s">
        <v>31</v>
      </c>
      <c r="AL17" s="18">
        <f t="shared" si="9"/>
        <v>0</v>
      </c>
    </row>
    <row r="18" spans="1:38" x14ac:dyDescent="0.2">
      <c r="A18" s="18">
        <f t="shared" ca="1" si="10"/>
        <v>30</v>
      </c>
      <c r="B18" s="24">
        <f t="shared" ca="1" si="0"/>
        <v>6.5010231063650092</v>
      </c>
      <c r="C18" s="23">
        <f t="shared" ca="1" si="1"/>
        <v>3169.3103583302163</v>
      </c>
      <c r="E18" s="18">
        <f t="shared" ca="1" si="11"/>
        <v>151</v>
      </c>
      <c r="F18" s="24">
        <f t="shared" ca="1" si="2"/>
        <v>8.6927177360316286</v>
      </c>
      <c r="G18" s="23">
        <f t="shared" ca="1" si="3"/>
        <v>12546.619338955159</v>
      </c>
      <c r="I18" s="4">
        <v>11</v>
      </c>
      <c r="K18" s="14">
        <v>5.8573528523420313</v>
      </c>
      <c r="L18" s="10">
        <v>5146.7530783763023</v>
      </c>
      <c r="O18" s="14">
        <v>6.8854862955329983</v>
      </c>
      <c r="P18" s="10">
        <v>10499.415141134734</v>
      </c>
      <c r="R18" s="19">
        <f t="shared" si="4"/>
        <v>1.028133443190967</v>
      </c>
      <c r="S18" s="23">
        <f t="shared" si="5"/>
        <v>5352.6620627584316</v>
      </c>
      <c r="U18" s="23">
        <f t="shared" si="6"/>
        <v>5206.1939023650848</v>
      </c>
      <c r="W18" s="10">
        <v>-20000</v>
      </c>
      <c r="X18" s="10">
        <v>-20000</v>
      </c>
      <c r="Y18" s="17">
        <v>25</v>
      </c>
      <c r="AA18" s="18">
        <f t="shared" si="7"/>
        <v>1</v>
      </c>
      <c r="AC18" s="10">
        <v>10000</v>
      </c>
      <c r="AD18" s="4">
        <v>0.84599999999999997</v>
      </c>
      <c r="AF18" s="23">
        <f t="shared" si="8"/>
        <v>46054.010096789912</v>
      </c>
      <c r="AH18" s="4">
        <v>-10000</v>
      </c>
      <c r="AI18" s="16">
        <v>-10000</v>
      </c>
      <c r="AJ18" s="17">
        <v>0</v>
      </c>
      <c r="AL18" s="18">
        <f t="shared" si="9"/>
        <v>1</v>
      </c>
    </row>
    <row r="19" spans="1:38" x14ac:dyDescent="0.2">
      <c r="A19" s="18">
        <f t="shared" ca="1" si="10"/>
        <v>76</v>
      </c>
      <c r="B19" s="24">
        <f t="shared" ca="1" si="0"/>
        <v>3.7457441294888283</v>
      </c>
      <c r="C19" s="23">
        <f t="shared" ca="1" si="1"/>
        <v>1971.1625068195901</v>
      </c>
      <c r="E19" s="18">
        <f t="shared" ca="1" si="11"/>
        <v>183</v>
      </c>
      <c r="F19" s="24">
        <f t="shared" ca="1" si="2"/>
        <v>4.2867214370266726</v>
      </c>
      <c r="G19" s="23">
        <f t="shared" ca="1" si="3"/>
        <v>5057.2115051134315</v>
      </c>
      <c r="I19" s="4">
        <v>12</v>
      </c>
      <c r="K19" s="14">
        <v>6.2387482226838067</v>
      </c>
      <c r="L19" s="10">
        <v>6184.1626365094062</v>
      </c>
      <c r="O19" s="14">
        <v>7.0716659880306159</v>
      </c>
      <c r="P19" s="10">
        <v>10112.687572088686</v>
      </c>
      <c r="R19" s="19">
        <f t="shared" si="4"/>
        <v>0.83291776534680917</v>
      </c>
      <c r="S19" s="23">
        <f t="shared" si="5"/>
        <v>3928.5249355792794</v>
      </c>
      <c r="U19" s="23">
        <f t="shared" si="6"/>
        <v>4716.5819952747979</v>
      </c>
      <c r="W19" s="10">
        <v>-18000</v>
      </c>
      <c r="X19" s="10">
        <v>-18000</v>
      </c>
      <c r="Y19" s="17">
        <v>1</v>
      </c>
      <c r="AA19" s="18">
        <f t="shared" si="7"/>
        <v>1</v>
      </c>
      <c r="AC19" s="10">
        <v>11000</v>
      </c>
      <c r="AD19" s="4">
        <v>0.86199999999999999</v>
      </c>
      <c r="AF19" s="23">
        <f t="shared" si="8"/>
        <v>37717.363331761182</v>
      </c>
      <c r="AH19" s="4">
        <v>-9000</v>
      </c>
      <c r="AI19" s="16">
        <v>-9000</v>
      </c>
      <c r="AJ19" s="17">
        <v>0</v>
      </c>
      <c r="AL19" s="18">
        <f t="shared" si="9"/>
        <v>1</v>
      </c>
    </row>
    <row r="20" spans="1:38" x14ac:dyDescent="0.2">
      <c r="A20" s="18">
        <f t="shared" ca="1" si="10"/>
        <v>19</v>
      </c>
      <c r="B20" s="24">
        <f t="shared" ca="1" si="0"/>
        <v>4.5487748338420486</v>
      </c>
      <c r="C20" s="23">
        <f t="shared" ca="1" si="1"/>
        <v>3546.4025970283678</v>
      </c>
      <c r="E20" s="18">
        <f t="shared" ca="1" si="11"/>
        <v>169</v>
      </c>
      <c r="F20" s="24">
        <f t="shared" ca="1" si="2"/>
        <v>10.267770747788992</v>
      </c>
      <c r="G20" s="23">
        <f t="shared" ca="1" si="3"/>
        <v>10235.818361728061</v>
      </c>
      <c r="I20" s="4">
        <v>13</v>
      </c>
      <c r="K20" s="14">
        <v>6.2217082706603719</v>
      </c>
      <c r="L20" s="10">
        <v>8168.5026513273979</v>
      </c>
      <c r="O20" s="14">
        <v>6.9560556921732246</v>
      </c>
      <c r="P20" s="10">
        <v>9992.300841691429</v>
      </c>
      <c r="R20" s="19">
        <f t="shared" si="4"/>
        <v>0.7343474215128527</v>
      </c>
      <c r="S20" s="23">
        <f t="shared" si="5"/>
        <v>1823.7981903640311</v>
      </c>
      <c r="U20" s="23">
        <f t="shared" si="6"/>
        <v>2483.5631431874112</v>
      </c>
      <c r="W20" s="10">
        <v>-16000</v>
      </c>
      <c r="X20" s="10">
        <v>-16000</v>
      </c>
      <c r="Y20" s="17">
        <v>2</v>
      </c>
      <c r="AA20" s="18">
        <f t="shared" si="7"/>
        <v>1</v>
      </c>
      <c r="AC20" s="10">
        <v>12000</v>
      </c>
      <c r="AD20" s="4">
        <v>0.873</v>
      </c>
      <c r="AF20" s="23">
        <f t="shared" si="8"/>
        <v>34893.572885278605</v>
      </c>
      <c r="AH20" s="4">
        <v>-8000</v>
      </c>
      <c r="AI20" s="16">
        <v>-8000</v>
      </c>
      <c r="AJ20" s="17">
        <v>2</v>
      </c>
      <c r="AL20" s="18">
        <f t="shared" si="9"/>
        <v>1</v>
      </c>
    </row>
    <row r="21" spans="1:38" x14ac:dyDescent="0.2">
      <c r="A21" s="18">
        <f t="shared" ca="1" si="10"/>
        <v>89</v>
      </c>
      <c r="B21" s="24">
        <f t="shared" ca="1" si="0"/>
        <v>10.629234487620304</v>
      </c>
      <c r="C21" s="23">
        <f t="shared" ca="1" si="1"/>
        <v>7358.8127252886152</v>
      </c>
      <c r="E21" s="18">
        <f t="shared" ca="1" si="11"/>
        <v>170</v>
      </c>
      <c r="F21" s="24">
        <f t="shared" ca="1" si="2"/>
        <v>8.5837698651383771</v>
      </c>
      <c r="G21" s="23">
        <f t="shared" ca="1" si="3"/>
        <v>8227.6748324089549</v>
      </c>
      <c r="I21" s="4">
        <v>14</v>
      </c>
      <c r="K21" s="14">
        <v>6.2240422210644093</v>
      </c>
      <c r="L21" s="10">
        <v>8214.7591840431924</v>
      </c>
      <c r="O21" s="14">
        <v>7.3776517118691869</v>
      </c>
      <c r="P21" s="10">
        <v>9865.9829871694601</v>
      </c>
      <c r="R21" s="19">
        <f t="shared" si="4"/>
        <v>1.1536094908047776</v>
      </c>
      <c r="S21" s="23">
        <f t="shared" si="5"/>
        <v>1651.2238031262677</v>
      </c>
      <c r="U21" s="23">
        <f t="shared" si="6"/>
        <v>1431.3542115316216</v>
      </c>
      <c r="W21" s="10">
        <v>-14000</v>
      </c>
      <c r="X21" s="10">
        <v>-14000</v>
      </c>
      <c r="Y21" s="17">
        <v>0</v>
      </c>
      <c r="AA21" s="18">
        <f t="shared" si="7"/>
        <v>1</v>
      </c>
      <c r="AC21" s="10">
        <v>13000</v>
      </c>
      <c r="AD21" s="4">
        <v>0.879</v>
      </c>
      <c r="AF21" s="23">
        <f t="shared" si="8"/>
        <v>56029.250737112612</v>
      </c>
      <c r="AH21" s="4">
        <v>-7000</v>
      </c>
      <c r="AI21" s="16">
        <v>-7000</v>
      </c>
      <c r="AJ21" s="17">
        <v>0</v>
      </c>
      <c r="AL21" s="18">
        <f t="shared" si="9"/>
        <v>1</v>
      </c>
    </row>
    <row r="22" spans="1:38" x14ac:dyDescent="0.2">
      <c r="A22" s="18">
        <f t="shared" ca="1" si="10"/>
        <v>96</v>
      </c>
      <c r="B22" s="24">
        <f t="shared" ca="1" si="0"/>
        <v>2.8831788314381996</v>
      </c>
      <c r="C22" s="23">
        <f t="shared" ca="1" si="1"/>
        <v>5197.4054467773885</v>
      </c>
      <c r="E22" s="18">
        <f t="shared" ca="1" si="11"/>
        <v>123</v>
      </c>
      <c r="F22" s="24">
        <f t="shared" ca="1" si="2"/>
        <v>4.8447275495681374</v>
      </c>
      <c r="G22" s="23">
        <f t="shared" ca="1" si="3"/>
        <v>12813.828462325819</v>
      </c>
      <c r="I22" s="4">
        <v>15</v>
      </c>
      <c r="K22" s="14">
        <v>6.3490245847194569</v>
      </c>
      <c r="L22" s="10">
        <v>7153.7614934797793</v>
      </c>
      <c r="O22" s="14">
        <v>6.9910106590944103</v>
      </c>
      <c r="P22" s="10">
        <v>10319.635074080656</v>
      </c>
      <c r="R22" s="19">
        <f t="shared" si="4"/>
        <v>0.64198607437495347</v>
      </c>
      <c r="S22" s="23">
        <f t="shared" si="5"/>
        <v>3165.8735806008763</v>
      </c>
      <c r="U22" s="23">
        <f t="shared" si="6"/>
        <v>4931.3742259646588</v>
      </c>
      <c r="W22" s="10">
        <v>-12000</v>
      </c>
      <c r="X22" s="10">
        <v>-12000</v>
      </c>
      <c r="Y22" s="17">
        <v>1</v>
      </c>
      <c r="AA22" s="18">
        <f t="shared" si="7"/>
        <v>1</v>
      </c>
      <c r="AC22" s="10">
        <v>14000</v>
      </c>
      <c r="AD22" s="4">
        <v>0.88900000000000001</v>
      </c>
      <c r="AF22" s="23">
        <f t="shared" si="8"/>
        <v>28933.430138146796</v>
      </c>
      <c r="AH22" s="4">
        <v>-6000</v>
      </c>
      <c r="AI22" s="16">
        <v>-6000</v>
      </c>
      <c r="AJ22" s="17">
        <v>8</v>
      </c>
      <c r="AL22" s="18">
        <f t="shared" si="9"/>
        <v>1</v>
      </c>
    </row>
    <row r="23" spans="1:38" x14ac:dyDescent="0.2">
      <c r="A23" s="18">
        <f t="shared" ca="1" si="10"/>
        <v>41</v>
      </c>
      <c r="B23" s="24">
        <f t="shared" ca="1" si="0"/>
        <v>7.9411881104487101</v>
      </c>
      <c r="C23" s="23">
        <f t="shared" ca="1" si="1"/>
        <v>14326.88676069452</v>
      </c>
      <c r="E23" s="18">
        <f t="shared" ca="1" si="11"/>
        <v>137</v>
      </c>
      <c r="F23" s="24">
        <f t="shared" ca="1" si="2"/>
        <v>0.82936118236748424</v>
      </c>
      <c r="G23" s="23">
        <f t="shared" ca="1" si="3"/>
        <v>3030.4287878664127</v>
      </c>
      <c r="I23" s="4">
        <v>16</v>
      </c>
      <c r="K23" s="14">
        <v>6.5912110729190969</v>
      </c>
      <c r="L23" s="10">
        <v>7070.7610043800505</v>
      </c>
      <c r="O23" s="14">
        <v>7.518980393230593</v>
      </c>
      <c r="P23" s="10">
        <v>9984.496531016237</v>
      </c>
      <c r="R23" s="19">
        <f t="shared" si="4"/>
        <v>0.92776932031149606</v>
      </c>
      <c r="S23" s="23">
        <f t="shared" si="5"/>
        <v>2913.7355266361865</v>
      </c>
      <c r="U23" s="23">
        <f t="shared" si="6"/>
        <v>3140.581891259249</v>
      </c>
      <c r="W23" s="10">
        <v>-10000</v>
      </c>
      <c r="X23" s="10">
        <v>-10000</v>
      </c>
      <c r="Y23" s="17">
        <v>0</v>
      </c>
      <c r="AA23" s="18">
        <f t="shared" si="7"/>
        <v>1</v>
      </c>
      <c r="AC23" s="10">
        <v>15000</v>
      </c>
      <c r="AD23" s="4">
        <v>0.89300000000000002</v>
      </c>
      <c r="AF23" s="23">
        <f t="shared" si="8"/>
        <v>43474.730488938621</v>
      </c>
      <c r="AH23" s="4">
        <v>-5000</v>
      </c>
      <c r="AI23" s="16">
        <v>-5000</v>
      </c>
      <c r="AJ23" s="17">
        <v>13</v>
      </c>
      <c r="AL23" s="18">
        <f t="shared" si="9"/>
        <v>1</v>
      </c>
    </row>
    <row r="24" spans="1:38" x14ac:dyDescent="0.2">
      <c r="A24" s="18">
        <f t="shared" ca="1" si="10"/>
        <v>14</v>
      </c>
      <c r="B24" s="24">
        <f t="shared" ca="1" si="0"/>
        <v>6.3183526617630488</v>
      </c>
      <c r="C24" s="23">
        <f t="shared" ca="1" si="1"/>
        <v>7685.2876759782257</v>
      </c>
      <c r="E24" s="18">
        <f t="shared" ca="1" si="11"/>
        <v>144</v>
      </c>
      <c r="F24" s="24">
        <f t="shared" ca="1" si="2"/>
        <v>7.8859323315056349</v>
      </c>
      <c r="G24" s="23">
        <f t="shared" ca="1" si="3"/>
        <v>12466.149879986684</v>
      </c>
      <c r="I24" s="4">
        <v>17</v>
      </c>
      <c r="K24" s="14">
        <v>5.861674145692195</v>
      </c>
      <c r="L24" s="10">
        <v>6139.5476938987276</v>
      </c>
      <c r="O24" s="14">
        <v>6.8569857863587886</v>
      </c>
      <c r="P24" s="10">
        <v>9773.2255299546978</v>
      </c>
      <c r="R24" s="19">
        <f t="shared" si="4"/>
        <v>0.99531164066659361</v>
      </c>
      <c r="S24" s="23">
        <f t="shared" si="5"/>
        <v>3633.6778360559701</v>
      </c>
      <c r="U24" s="23">
        <f t="shared" si="6"/>
        <v>3650.794070510794</v>
      </c>
      <c r="W24" s="10">
        <v>-8000</v>
      </c>
      <c r="X24" s="10">
        <v>-8000</v>
      </c>
      <c r="Y24" s="17">
        <v>2</v>
      </c>
      <c r="AA24" s="18">
        <f t="shared" si="7"/>
        <v>1</v>
      </c>
      <c r="AC24" s="10">
        <v>16000</v>
      </c>
      <c r="AD24" s="4">
        <v>0.89700000000000002</v>
      </c>
      <c r="AF24" s="23">
        <f t="shared" si="8"/>
        <v>46131.90419727371</v>
      </c>
      <c r="AH24" s="4">
        <v>-4000</v>
      </c>
      <c r="AI24" s="16">
        <v>-4000</v>
      </c>
      <c r="AJ24" s="17">
        <v>14</v>
      </c>
      <c r="AL24" s="18">
        <f t="shared" si="9"/>
        <v>1</v>
      </c>
    </row>
    <row r="25" spans="1:38" x14ac:dyDescent="0.2">
      <c r="A25" s="18">
        <f t="shared" ca="1" si="10"/>
        <v>4</v>
      </c>
      <c r="B25" s="24">
        <f t="shared" ca="1" si="0"/>
        <v>9.5786366212729313</v>
      </c>
      <c r="C25" s="23">
        <f t="shared" ca="1" si="1"/>
        <v>7900.4873298371031</v>
      </c>
      <c r="E25" s="18">
        <f t="shared" ca="1" si="11"/>
        <v>106</v>
      </c>
      <c r="F25" s="24">
        <f t="shared" ca="1" si="2"/>
        <v>4.5853215109917471</v>
      </c>
      <c r="G25" s="23">
        <f t="shared" ca="1" si="3"/>
        <v>6029.6450313752912</v>
      </c>
      <c r="I25" s="4">
        <v>18</v>
      </c>
      <c r="K25" s="14">
        <v>6.4305842253602519</v>
      </c>
      <c r="L25" s="10">
        <v>6102.4741622290076</v>
      </c>
      <c r="O25" s="14">
        <v>6.8684623625796171</v>
      </c>
      <c r="P25" s="10">
        <v>9507.0075982227372</v>
      </c>
      <c r="R25" s="19">
        <f t="shared" si="4"/>
        <v>0.43787813721936519</v>
      </c>
      <c r="S25" s="23">
        <f t="shared" si="5"/>
        <v>3404.5334359937297</v>
      </c>
      <c r="U25" s="23">
        <f t="shared" si="6"/>
        <v>7775.0706112284151</v>
      </c>
      <c r="W25" s="10">
        <v>-6000</v>
      </c>
      <c r="X25" s="10">
        <v>-6000</v>
      </c>
      <c r="Y25" s="17">
        <v>2</v>
      </c>
      <c r="AA25" s="18">
        <f t="shared" si="7"/>
        <v>1</v>
      </c>
      <c r="AC25" s="10">
        <v>17000</v>
      </c>
      <c r="AD25" s="4">
        <v>0.89700000000000002</v>
      </c>
      <c r="AF25" s="23">
        <f t="shared" si="8"/>
        <v>18489.373424974528</v>
      </c>
      <c r="AH25" s="4">
        <v>-3000</v>
      </c>
      <c r="AI25" s="16">
        <v>-3000</v>
      </c>
      <c r="AJ25" s="17">
        <v>38</v>
      </c>
      <c r="AL25" s="18">
        <f t="shared" si="9"/>
        <v>1</v>
      </c>
    </row>
    <row r="26" spans="1:38" x14ac:dyDescent="0.2">
      <c r="A26" s="18">
        <f t="shared" ca="1" si="10"/>
        <v>52</v>
      </c>
      <c r="B26" s="24">
        <f t="shared" ca="1" si="0"/>
        <v>7.2130757536574528</v>
      </c>
      <c r="C26" s="23">
        <f t="shared" ca="1" si="1"/>
        <v>3873.6188236322341</v>
      </c>
      <c r="E26" s="18">
        <f t="shared" ca="1" si="11"/>
        <v>110</v>
      </c>
      <c r="F26" s="24">
        <f t="shared" ca="1" si="2"/>
        <v>7.6391003260933426</v>
      </c>
      <c r="G26" s="23">
        <f t="shared" ca="1" si="3"/>
        <v>7567.6423426894135</v>
      </c>
      <c r="I26" s="4">
        <v>19</v>
      </c>
      <c r="K26" s="14">
        <v>6.8480703664309432</v>
      </c>
      <c r="L26" s="10">
        <v>7429.4150087864709</v>
      </c>
      <c r="O26" s="14">
        <v>7.1849378196462359</v>
      </c>
      <c r="P26" s="10">
        <v>9714.4229947412623</v>
      </c>
      <c r="R26" s="19">
        <f t="shared" si="4"/>
        <v>0.33686745321529266</v>
      </c>
      <c r="S26" s="23">
        <f t="shared" si="5"/>
        <v>2285.0079859547914</v>
      </c>
      <c r="U26" s="23">
        <f t="shared" si="6"/>
        <v>6783.107017745755</v>
      </c>
      <c r="W26" s="10">
        <v>-4000</v>
      </c>
      <c r="X26" s="10">
        <v>-4000</v>
      </c>
      <c r="Y26" s="17">
        <v>4</v>
      </c>
      <c r="AA26" s="18">
        <f t="shared" si="7"/>
        <v>1</v>
      </c>
      <c r="AC26" s="10">
        <v>18000</v>
      </c>
      <c r="AD26" s="4">
        <v>0.9</v>
      </c>
      <c r="AF26" s="23">
        <f t="shared" si="8"/>
        <v>14558.36467480984</v>
      </c>
      <c r="AH26" s="4">
        <v>-2000</v>
      </c>
      <c r="AI26" s="16">
        <v>-2000</v>
      </c>
      <c r="AJ26" s="17">
        <v>30</v>
      </c>
      <c r="AL26" s="18">
        <f t="shared" si="9"/>
        <v>1</v>
      </c>
    </row>
    <row r="27" spans="1:38" x14ac:dyDescent="0.2">
      <c r="A27" s="18">
        <f t="shared" ca="1" si="10"/>
        <v>46</v>
      </c>
      <c r="B27" s="24">
        <f t="shared" ca="1" si="0"/>
        <v>0.41333468425225467</v>
      </c>
      <c r="C27" s="23">
        <f t="shared" ca="1" si="1"/>
        <v>2915.8103564257872</v>
      </c>
      <c r="E27" s="18">
        <f t="shared" ca="1" si="11"/>
        <v>133</v>
      </c>
      <c r="F27" s="24">
        <f t="shared" ca="1" si="2"/>
        <v>14.262082433239351</v>
      </c>
      <c r="G27" s="23">
        <f t="shared" ca="1" si="3"/>
        <v>13960.901743330987</v>
      </c>
      <c r="I27" s="4">
        <v>20</v>
      </c>
      <c r="K27" s="14">
        <v>5.693590956812649</v>
      </c>
      <c r="L27" s="10">
        <v>6587.6953507331446</v>
      </c>
      <c r="O27" s="14">
        <v>7.2803741943705669</v>
      </c>
      <c r="P27" s="10">
        <v>9637.9908287902672</v>
      </c>
      <c r="R27" s="19">
        <f t="shared" si="4"/>
        <v>1.5867832375579178</v>
      </c>
      <c r="S27" s="23">
        <f t="shared" si="5"/>
        <v>3050.2954780571226</v>
      </c>
      <c r="U27" s="23">
        <f t="shared" si="6"/>
        <v>1922.313902654764</v>
      </c>
      <c r="W27" s="10">
        <v>-2000</v>
      </c>
      <c r="X27" s="10">
        <v>-2000</v>
      </c>
      <c r="Y27" s="17">
        <v>6</v>
      </c>
      <c r="AA27" s="18">
        <f t="shared" si="7"/>
        <v>1</v>
      </c>
      <c r="AC27" s="10">
        <v>19000</v>
      </c>
      <c r="AD27" s="4">
        <v>0.90300000000000002</v>
      </c>
      <c r="AF27" s="23">
        <f t="shared" si="8"/>
        <v>76288.866399838778</v>
      </c>
      <c r="AH27" s="4">
        <v>-1000</v>
      </c>
      <c r="AI27" s="16">
        <v>-1000</v>
      </c>
      <c r="AJ27" s="17">
        <v>52</v>
      </c>
      <c r="AL27" s="18">
        <f t="shared" si="9"/>
        <v>1</v>
      </c>
    </row>
    <row r="28" spans="1:38" x14ac:dyDescent="0.2">
      <c r="A28" s="18">
        <f t="shared" ca="1" si="10"/>
        <v>21</v>
      </c>
      <c r="B28" s="24">
        <f t="shared" ca="1" si="0"/>
        <v>0.28730140064589299</v>
      </c>
      <c r="C28" s="23">
        <f t="shared" ca="1" si="1"/>
        <v>5738.2983934390068</v>
      </c>
      <c r="E28" s="18">
        <f t="shared" ca="1" si="11"/>
        <v>142</v>
      </c>
      <c r="F28" s="24">
        <f t="shared" ca="1" si="2"/>
        <v>8.681236067051076</v>
      </c>
      <c r="G28" s="23">
        <f t="shared" ca="1" si="3"/>
        <v>8968.7355160541174</v>
      </c>
      <c r="I28" s="4">
        <v>21</v>
      </c>
      <c r="K28" s="14">
        <v>6.0303936262089728</v>
      </c>
      <c r="L28" s="10">
        <v>5367.5774253392583</v>
      </c>
      <c r="O28" s="14">
        <v>7.6912137954776423</v>
      </c>
      <c r="P28" s="10">
        <v>10629.451982392104</v>
      </c>
      <c r="R28" s="19">
        <f t="shared" si="4"/>
        <v>1.6608201692686695</v>
      </c>
      <c r="S28" s="23">
        <f t="shared" si="5"/>
        <v>5261.8745570528454</v>
      </c>
      <c r="U28" s="23">
        <f t="shared" si="6"/>
        <v>3168.2385934474019</v>
      </c>
      <c r="W28" s="10">
        <v>0</v>
      </c>
      <c r="X28" s="10">
        <v>0</v>
      </c>
      <c r="Y28" s="17">
        <v>21</v>
      </c>
      <c r="AA28" s="18">
        <f t="shared" si="7"/>
        <v>1</v>
      </c>
      <c r="AC28" s="10">
        <v>20000</v>
      </c>
      <c r="AD28" s="4">
        <v>0.90600000000000003</v>
      </c>
      <c r="AF28" s="23">
        <f t="shared" si="8"/>
        <v>77779.133906380637</v>
      </c>
      <c r="AH28" s="4">
        <v>0</v>
      </c>
      <c r="AI28" s="16">
        <v>0</v>
      </c>
      <c r="AJ28" s="17">
        <v>66</v>
      </c>
      <c r="AL28" s="18">
        <f t="shared" si="9"/>
        <v>1</v>
      </c>
    </row>
    <row r="29" spans="1:38" x14ac:dyDescent="0.2">
      <c r="A29" s="18">
        <f t="shared" ca="1" si="10"/>
        <v>30</v>
      </c>
      <c r="B29" s="24">
        <f t="shared" ca="1" si="0"/>
        <v>6.5010231063650092</v>
      </c>
      <c r="C29" s="23">
        <f t="shared" ca="1" si="1"/>
        <v>3169.3103583302163</v>
      </c>
      <c r="E29" s="18">
        <f t="shared" ca="1" si="11"/>
        <v>164</v>
      </c>
      <c r="F29" s="24">
        <f t="shared" ca="1" si="2"/>
        <v>13.473532769882912</v>
      </c>
      <c r="G29" s="23">
        <f t="shared" ca="1" si="3"/>
        <v>13098.033942563619</v>
      </c>
      <c r="I29" s="4">
        <v>22</v>
      </c>
      <c r="K29" s="14">
        <v>6.6485191783145616</v>
      </c>
      <c r="L29" s="10">
        <v>7697.3636440800256</v>
      </c>
      <c r="O29" s="14">
        <v>6.7449507184693189</v>
      </c>
      <c r="P29" s="10">
        <v>9745.7590614836481</v>
      </c>
      <c r="R29" s="19">
        <f t="shared" si="4"/>
        <v>9.64315401547573E-2</v>
      </c>
      <c r="S29" s="23">
        <f t="shared" si="5"/>
        <v>2048.3954174036226</v>
      </c>
      <c r="U29" s="23">
        <f t="shared" si="6"/>
        <v>21241.965171522443</v>
      </c>
      <c r="W29" s="10">
        <v>2000</v>
      </c>
      <c r="X29" s="10">
        <v>2000</v>
      </c>
      <c r="Y29" s="17">
        <v>107</v>
      </c>
      <c r="AA29" s="18">
        <f t="shared" si="7"/>
        <v>1</v>
      </c>
      <c r="AC29" s="10">
        <v>21000</v>
      </c>
      <c r="AD29" s="4">
        <v>0.91</v>
      </c>
      <c r="AF29" s="23">
        <f t="shared" si="8"/>
        <v>2773.1815903342422</v>
      </c>
      <c r="AH29" s="4">
        <v>1000</v>
      </c>
      <c r="AI29" s="16">
        <v>1000</v>
      </c>
      <c r="AJ29" s="17">
        <v>80</v>
      </c>
      <c r="AL29" s="18">
        <f t="shared" si="9"/>
        <v>1</v>
      </c>
    </row>
    <row r="30" spans="1:38" x14ac:dyDescent="0.2">
      <c r="A30" s="18">
        <f t="shared" ca="1" si="10"/>
        <v>34</v>
      </c>
      <c r="B30" s="24">
        <f t="shared" ca="1" si="0"/>
        <v>6.4271455137348639</v>
      </c>
      <c r="C30" s="23">
        <f t="shared" ca="1" si="1"/>
        <v>6911.3667119870233</v>
      </c>
      <c r="E30" s="18">
        <f t="shared" ca="1" si="11"/>
        <v>150</v>
      </c>
      <c r="F30" s="24">
        <f t="shared" ca="1" si="2"/>
        <v>6.0049740413370554</v>
      </c>
      <c r="G30" s="23">
        <f t="shared" ca="1" si="3"/>
        <v>9379.3806111566773</v>
      </c>
      <c r="I30" s="4">
        <v>23</v>
      </c>
      <c r="K30" s="14">
        <v>6.4794202704624295</v>
      </c>
      <c r="L30" s="10">
        <v>6021.4538882114402</v>
      </c>
      <c r="O30" s="14">
        <v>7.1505035452574761</v>
      </c>
      <c r="P30" s="10">
        <v>10018.974567640142</v>
      </c>
      <c r="R30" s="19">
        <f t="shared" si="4"/>
        <v>0.67108327479504659</v>
      </c>
      <c r="S30" s="23">
        <f t="shared" si="5"/>
        <v>3997.5206794287014</v>
      </c>
      <c r="U30" s="23">
        <f t="shared" si="6"/>
        <v>5956.8176254274431</v>
      </c>
      <c r="W30" s="10">
        <v>4000</v>
      </c>
      <c r="X30" s="10">
        <v>4000</v>
      </c>
      <c r="Y30" s="17">
        <v>213</v>
      </c>
      <c r="AA30" s="18">
        <f t="shared" si="7"/>
        <v>1</v>
      </c>
      <c r="AC30" s="10">
        <v>22000</v>
      </c>
      <c r="AD30" s="4">
        <v>0.91200000000000003</v>
      </c>
      <c r="AF30" s="23">
        <f t="shared" si="8"/>
        <v>29556.643060323629</v>
      </c>
      <c r="AH30" s="4">
        <v>2000</v>
      </c>
      <c r="AI30" s="16">
        <v>2000</v>
      </c>
      <c r="AJ30" s="17">
        <v>104</v>
      </c>
      <c r="AL30" s="18">
        <f t="shared" si="9"/>
        <v>1</v>
      </c>
    </row>
    <row r="31" spans="1:38" x14ac:dyDescent="0.2">
      <c r="A31" s="18">
        <f t="shared" ca="1" si="10"/>
        <v>61</v>
      </c>
      <c r="B31" s="24">
        <f t="shared" ca="1" si="0"/>
        <v>6.4335804859150372</v>
      </c>
      <c r="C31" s="23">
        <f t="shared" ca="1" si="1"/>
        <v>4568.0479762931027</v>
      </c>
      <c r="E31" s="18">
        <f t="shared" ca="1" si="11"/>
        <v>196</v>
      </c>
      <c r="F31" s="24">
        <f t="shared" ca="1" si="2"/>
        <v>7.5684831866174864</v>
      </c>
      <c r="G31" s="23">
        <f t="shared" ca="1" si="3"/>
        <v>13351.104313723808</v>
      </c>
      <c r="I31" s="4">
        <v>24</v>
      </c>
      <c r="K31" s="14">
        <v>6.3122395524600767</v>
      </c>
      <c r="L31" s="10">
        <v>8183.0454005373285</v>
      </c>
      <c r="O31" s="14">
        <v>7.0908791342980866</v>
      </c>
      <c r="P31" s="10">
        <v>10156.55143539852</v>
      </c>
      <c r="R31" s="19">
        <f t="shared" si="4"/>
        <v>0.77863958183800985</v>
      </c>
      <c r="S31" s="23">
        <f t="shared" si="5"/>
        <v>1973.5060348611914</v>
      </c>
      <c r="U31" s="23">
        <f t="shared" si="6"/>
        <v>2534.5565276846723</v>
      </c>
      <c r="W31" s="10">
        <v>6000</v>
      </c>
      <c r="X31" s="10">
        <v>6000</v>
      </c>
      <c r="Y31" s="17">
        <v>192</v>
      </c>
      <c r="AA31" s="18">
        <f t="shared" si="7"/>
        <v>1</v>
      </c>
      <c r="AC31" s="10">
        <v>23000</v>
      </c>
      <c r="AD31" s="4">
        <v>0.91400000000000003</v>
      </c>
      <c r="AF31" s="23">
        <f t="shared" si="8"/>
        <v>36958.4730570393</v>
      </c>
      <c r="AH31" s="4">
        <v>3000</v>
      </c>
      <c r="AI31" s="16">
        <v>3000</v>
      </c>
      <c r="AJ31" s="17">
        <v>109</v>
      </c>
      <c r="AL31" s="18">
        <f t="shared" si="9"/>
        <v>1</v>
      </c>
    </row>
    <row r="32" spans="1:38" x14ac:dyDescent="0.2">
      <c r="A32" s="18">
        <f t="shared" ca="1" si="10"/>
        <v>100</v>
      </c>
      <c r="B32" s="24">
        <f t="shared" ca="1" si="0"/>
        <v>4.5831588303784203</v>
      </c>
      <c r="C32" s="23">
        <f t="shared" ca="1" si="1"/>
        <v>3620.3411528704773</v>
      </c>
      <c r="E32" s="18">
        <f t="shared" ca="1" si="11"/>
        <v>159</v>
      </c>
      <c r="F32" s="24">
        <f t="shared" ca="1" si="2"/>
        <v>10.007653010449244</v>
      </c>
      <c r="G32" s="23">
        <f t="shared" ca="1" si="3"/>
        <v>9993.6802355301843</v>
      </c>
      <c r="I32" s="4">
        <v>25</v>
      </c>
      <c r="K32" s="14">
        <v>6.364516318582421</v>
      </c>
      <c r="L32" s="10">
        <v>5622.0702496294116</v>
      </c>
      <c r="O32" s="14">
        <v>6.709740348511505</v>
      </c>
      <c r="P32" s="10">
        <v>9677.5698185981037</v>
      </c>
      <c r="R32" s="19">
        <f t="shared" si="4"/>
        <v>0.34522402992908408</v>
      </c>
      <c r="S32" s="23">
        <f t="shared" si="5"/>
        <v>4055.4995689686921</v>
      </c>
      <c r="U32" s="23">
        <f t="shared" si="6"/>
        <v>11747.442870074174</v>
      </c>
      <c r="W32" s="10">
        <v>8000</v>
      </c>
      <c r="X32" s="10">
        <v>8000</v>
      </c>
      <c r="Y32" s="17">
        <v>143</v>
      </c>
      <c r="AA32" s="18">
        <f t="shared" si="7"/>
        <v>1</v>
      </c>
      <c r="AC32" s="10">
        <v>24000</v>
      </c>
      <c r="AD32" s="4">
        <v>0.91600000000000004</v>
      </c>
      <c r="AF32" s="23">
        <f t="shared" si="8"/>
        <v>13205.701927485512</v>
      </c>
      <c r="AH32" s="4">
        <v>4000</v>
      </c>
      <c r="AI32" s="16">
        <v>4000</v>
      </c>
      <c r="AJ32" s="17">
        <v>118</v>
      </c>
      <c r="AL32" s="18">
        <f t="shared" si="9"/>
        <v>1</v>
      </c>
    </row>
    <row r="33" spans="1:38" x14ac:dyDescent="0.2">
      <c r="A33" s="18">
        <f t="shared" ca="1" si="10"/>
        <v>99</v>
      </c>
      <c r="B33" s="24">
        <f t="shared" ca="1" si="0"/>
        <v>8.2080085572306576</v>
      </c>
      <c r="C33" s="23">
        <f t="shared" ca="1" si="1"/>
        <v>4141.773199232397</v>
      </c>
      <c r="E33" s="18">
        <f t="shared" ca="1" si="11"/>
        <v>132</v>
      </c>
      <c r="F33" s="24">
        <f t="shared" ca="1" si="2"/>
        <v>8.9838356864513536</v>
      </c>
      <c r="G33" s="23">
        <f t="shared" ca="1" si="3"/>
        <v>14670.617442142542</v>
      </c>
      <c r="I33" s="4">
        <v>26</v>
      </c>
      <c r="K33" s="14">
        <v>6.1723042971203084</v>
      </c>
      <c r="L33" s="10">
        <v>5903.1923300533745</v>
      </c>
      <c r="O33" s="14">
        <v>6.6855542379878452</v>
      </c>
      <c r="P33" s="10">
        <v>9098.9550108726908</v>
      </c>
      <c r="R33" s="19">
        <f t="shared" si="4"/>
        <v>0.51324994086753684</v>
      </c>
      <c r="S33" s="23">
        <f t="shared" si="5"/>
        <v>3195.7626808193163</v>
      </c>
      <c r="U33" s="23">
        <f t="shared" si="6"/>
        <v>6226.5232323603932</v>
      </c>
      <c r="W33" s="10">
        <v>10000</v>
      </c>
      <c r="X33" s="10">
        <v>10000</v>
      </c>
      <c r="Y33" s="17">
        <v>92</v>
      </c>
      <c r="AA33" s="18">
        <f t="shared" si="7"/>
        <v>1</v>
      </c>
      <c r="AC33" s="10">
        <v>25000</v>
      </c>
      <c r="AD33" s="4">
        <v>0.91600000000000004</v>
      </c>
      <c r="AF33" s="23">
        <f t="shared" si="8"/>
        <v>22466.734362557527</v>
      </c>
      <c r="AH33" s="4">
        <v>5000</v>
      </c>
      <c r="AI33" s="16">
        <v>5000</v>
      </c>
      <c r="AJ33" s="17">
        <v>108</v>
      </c>
      <c r="AL33" s="18">
        <f t="shared" si="9"/>
        <v>1</v>
      </c>
    </row>
    <row r="34" spans="1:38" x14ac:dyDescent="0.2">
      <c r="A34" s="18">
        <f t="shared" ca="1" si="10"/>
        <v>53</v>
      </c>
      <c r="B34" s="24">
        <f t="shared" ca="1" si="0"/>
        <v>1.4811863849776941</v>
      </c>
      <c r="C34" s="23">
        <f t="shared" ca="1" si="1"/>
        <v>1227.6615437135929</v>
      </c>
      <c r="E34" s="18">
        <f t="shared" ca="1" si="11"/>
        <v>169</v>
      </c>
      <c r="F34" s="24">
        <f t="shared" ca="1" si="2"/>
        <v>10.267770747788992</v>
      </c>
      <c r="G34" s="23">
        <f t="shared" ca="1" si="3"/>
        <v>10235.818361728061</v>
      </c>
      <c r="I34" s="4">
        <v>27</v>
      </c>
      <c r="K34" s="14">
        <v>6.5826016788850668</v>
      </c>
      <c r="L34" s="10">
        <v>6221.6036911466872</v>
      </c>
      <c r="O34" s="14">
        <v>7.2084829448782992</v>
      </c>
      <c r="P34" s="10">
        <v>9868.2138564301476</v>
      </c>
      <c r="R34" s="19">
        <f t="shared" si="4"/>
        <v>0.62588126599323246</v>
      </c>
      <c r="S34" s="23">
        <f t="shared" si="5"/>
        <v>3646.6101652834604</v>
      </c>
      <c r="U34" s="23">
        <f t="shared" si="6"/>
        <v>5826.3609464273222</v>
      </c>
      <c r="W34" s="10">
        <v>12000</v>
      </c>
      <c r="X34" s="10">
        <v>12000</v>
      </c>
      <c r="Y34" s="17">
        <v>47</v>
      </c>
      <c r="AA34" s="18">
        <f t="shared" si="7"/>
        <v>1</v>
      </c>
      <c r="AC34" s="10">
        <v>26000</v>
      </c>
      <c r="AD34" s="4">
        <v>0.91700000000000004</v>
      </c>
      <c r="AF34" s="23">
        <f t="shared" si="8"/>
        <v>27647.453134378164</v>
      </c>
      <c r="AH34" s="4">
        <v>6000</v>
      </c>
      <c r="AI34" s="16">
        <v>6000</v>
      </c>
      <c r="AJ34" s="17">
        <v>73</v>
      </c>
      <c r="AL34" s="18">
        <f t="shared" si="9"/>
        <v>1</v>
      </c>
    </row>
    <row r="35" spans="1:38" x14ac:dyDescent="0.2">
      <c r="A35" s="18">
        <f t="shared" ca="1" si="10"/>
        <v>6</v>
      </c>
      <c r="B35" s="24">
        <f t="shared" ca="1" si="0"/>
        <v>6.9245256956464782</v>
      </c>
      <c r="C35" s="23">
        <f t="shared" ca="1" si="1"/>
        <v>13344.619043650619</v>
      </c>
      <c r="E35" s="18">
        <f t="shared" ca="1" si="11"/>
        <v>200</v>
      </c>
      <c r="F35" s="24">
        <f t="shared" ca="1" si="2"/>
        <v>0.87465481266400336</v>
      </c>
      <c r="G35" s="23">
        <f t="shared" ca="1" si="3"/>
        <v>1231.1721264412508</v>
      </c>
      <c r="I35" s="4">
        <v>28</v>
      </c>
      <c r="K35" s="14">
        <v>6.0847807099100093</v>
      </c>
      <c r="L35" s="10">
        <v>7617.3319451733332</v>
      </c>
      <c r="O35" s="14">
        <v>7.8051929024103162</v>
      </c>
      <c r="P35" s="10">
        <v>9993.0094496119073</v>
      </c>
      <c r="R35" s="19">
        <f t="shared" si="4"/>
        <v>1.7204121925003069</v>
      </c>
      <c r="S35" s="23">
        <f t="shared" si="5"/>
        <v>2375.677504438574</v>
      </c>
      <c r="U35" s="23">
        <f t="shared" si="6"/>
        <v>1380.8769286771667</v>
      </c>
      <c r="W35" s="10">
        <v>14000</v>
      </c>
      <c r="X35" s="10">
        <v>14000</v>
      </c>
      <c r="Y35" s="17">
        <v>30</v>
      </c>
      <c r="AA35" s="18">
        <f t="shared" si="7"/>
        <v>1</v>
      </c>
      <c r="AC35" s="10">
        <v>27000</v>
      </c>
      <c r="AD35" s="4">
        <v>0.91800000000000004</v>
      </c>
      <c r="AF35" s="23">
        <f t="shared" si="8"/>
        <v>83644.932120576777</v>
      </c>
      <c r="AH35" s="4">
        <v>7000</v>
      </c>
      <c r="AI35" s="16">
        <v>7000</v>
      </c>
      <c r="AJ35" s="17">
        <v>65</v>
      </c>
      <c r="AL35" s="18">
        <f t="shared" si="9"/>
        <v>1</v>
      </c>
    </row>
    <row r="36" spans="1:38" x14ac:dyDescent="0.2">
      <c r="A36" s="18">
        <f t="shared" ca="1" si="10"/>
        <v>86</v>
      </c>
      <c r="B36" s="24">
        <f t="shared" ca="1" si="0"/>
        <v>4.2069542364304411</v>
      </c>
      <c r="C36" s="23">
        <f t="shared" ca="1" si="1"/>
        <v>8743.5025245260731</v>
      </c>
      <c r="E36" s="18">
        <f t="shared" ca="1" si="11"/>
        <v>122</v>
      </c>
      <c r="F36" s="24">
        <f t="shared" ca="1" si="2"/>
        <v>1.5514953192979193</v>
      </c>
      <c r="G36" s="23">
        <f t="shared" ca="1" si="3"/>
        <v>9871.2068825291681</v>
      </c>
      <c r="I36" s="4">
        <v>29</v>
      </c>
      <c r="K36" s="14">
        <v>5.8481713673767795</v>
      </c>
      <c r="L36" s="10">
        <v>8950.9872878077222</v>
      </c>
      <c r="O36" s="14">
        <v>6.565418953964711</v>
      </c>
      <c r="P36" s="10">
        <v>8632.7839891200474</v>
      </c>
      <c r="R36" s="19">
        <f t="shared" si="4"/>
        <v>0.71724758658793153</v>
      </c>
      <c r="S36" s="23">
        <f t="shared" si="5"/>
        <v>-318.20329868767476</v>
      </c>
      <c r="U36" s="23">
        <f t="shared" si="6"/>
        <v>-443.64499042990417</v>
      </c>
      <c r="W36" s="10">
        <v>16000</v>
      </c>
      <c r="X36" s="10">
        <v>16000</v>
      </c>
      <c r="Y36" s="17">
        <v>15</v>
      </c>
      <c r="AA36" s="18">
        <f t="shared" si="7"/>
        <v>1</v>
      </c>
      <c r="AC36" s="10">
        <v>28000</v>
      </c>
      <c r="AD36" s="4">
        <v>0.91800000000000004</v>
      </c>
      <c r="AF36" s="23">
        <f t="shared" si="8"/>
        <v>36180.582628084252</v>
      </c>
      <c r="AH36" s="4">
        <v>8000</v>
      </c>
      <c r="AI36" s="16">
        <v>8000</v>
      </c>
      <c r="AJ36" s="17">
        <v>56</v>
      </c>
      <c r="AL36" s="18">
        <f t="shared" si="9"/>
        <v>1</v>
      </c>
    </row>
    <row r="37" spans="1:38" x14ac:dyDescent="0.2">
      <c r="A37" s="18">
        <f t="shared" ca="1" si="10"/>
        <v>71</v>
      </c>
      <c r="B37" s="24">
        <f t="shared" ca="1" si="0"/>
        <v>10.563077248224687</v>
      </c>
      <c r="C37" s="23">
        <f t="shared" ca="1" si="1"/>
        <v>5517.405808613772</v>
      </c>
      <c r="E37" s="18">
        <f t="shared" ca="1" si="11"/>
        <v>119</v>
      </c>
      <c r="F37" s="24">
        <f t="shared" ca="1" si="2"/>
        <v>13.630870919775116</v>
      </c>
      <c r="G37" s="23">
        <f t="shared" ca="1" si="3"/>
        <v>17970.13463327743</v>
      </c>
      <c r="I37" s="4">
        <v>30</v>
      </c>
      <c r="K37" s="14">
        <v>6.3685513040827049</v>
      </c>
      <c r="L37" s="10">
        <v>7111.6948586572198</v>
      </c>
      <c r="O37" s="14">
        <v>6.873776579318883</v>
      </c>
      <c r="P37" s="10">
        <v>9633.0536386342083</v>
      </c>
      <c r="R37" s="19">
        <f t="shared" si="4"/>
        <v>0.50522527523617811</v>
      </c>
      <c r="S37" s="23">
        <f t="shared" si="5"/>
        <v>2521.3587799769884</v>
      </c>
      <c r="U37" s="23">
        <f t="shared" si="6"/>
        <v>4990.5634249955656</v>
      </c>
      <c r="W37" s="10">
        <v>18000</v>
      </c>
      <c r="X37" s="10">
        <v>18000</v>
      </c>
      <c r="Y37" s="17">
        <v>14</v>
      </c>
      <c r="AA37" s="18">
        <f t="shared" si="7"/>
        <v>1</v>
      </c>
      <c r="AC37" s="10">
        <v>29000</v>
      </c>
      <c r="AD37" s="4">
        <v>0.91800000000000004</v>
      </c>
      <c r="AF37" s="23">
        <f t="shared" si="8"/>
        <v>22739.904981831918</v>
      </c>
      <c r="AH37" s="4">
        <v>9000</v>
      </c>
      <c r="AI37" s="16">
        <v>9000</v>
      </c>
      <c r="AJ37" s="17">
        <v>30</v>
      </c>
      <c r="AL37" s="18">
        <f t="shared" si="9"/>
        <v>1</v>
      </c>
    </row>
    <row r="38" spans="1:38" x14ac:dyDescent="0.2">
      <c r="A38" s="18">
        <f t="shared" ca="1" si="10"/>
        <v>17</v>
      </c>
      <c r="B38" s="24">
        <f t="shared" ca="1" si="0"/>
        <v>2.3804591266808512</v>
      </c>
      <c r="C38" s="23">
        <f t="shared" ca="1" si="1"/>
        <v>1547.3076696579021</v>
      </c>
      <c r="E38" s="18">
        <f t="shared" ca="1" si="11"/>
        <v>192</v>
      </c>
      <c r="F38" s="24">
        <f t="shared" ca="1" si="2"/>
        <v>5.475083985294809</v>
      </c>
      <c r="G38" s="23">
        <f t="shared" ca="1" si="3"/>
        <v>6326.3809850316402</v>
      </c>
      <c r="I38" s="4">
        <v>31</v>
      </c>
      <c r="K38" s="14">
        <v>6.1258659561043318</v>
      </c>
      <c r="L38" s="10">
        <v>6728.5048326987808</v>
      </c>
      <c r="O38" s="14">
        <v>7.0358044039101379</v>
      </c>
      <c r="P38" s="10">
        <v>9184.674355674957</v>
      </c>
      <c r="R38" s="19">
        <f t="shared" si="4"/>
        <v>0.90993844780580613</v>
      </c>
      <c r="S38" s="23">
        <f t="shared" si="5"/>
        <v>2456.1695229761763</v>
      </c>
      <c r="U38" s="23">
        <f t="shared" si="6"/>
        <v>2699.2699658959327</v>
      </c>
      <c r="W38" s="10">
        <v>20000</v>
      </c>
      <c r="X38" s="10">
        <v>20000</v>
      </c>
      <c r="Y38" s="17">
        <v>12</v>
      </c>
      <c r="AA38" s="18">
        <f t="shared" si="7"/>
        <v>1</v>
      </c>
      <c r="AC38" s="10">
        <v>30000</v>
      </c>
      <c r="AD38" s="4">
        <v>0.91900000000000004</v>
      </c>
      <c r="AF38" s="23">
        <f t="shared" si="8"/>
        <v>43040.752867314128</v>
      </c>
      <c r="AH38" s="4">
        <v>10000</v>
      </c>
      <c r="AI38" s="16">
        <v>10000</v>
      </c>
      <c r="AJ38" s="17">
        <v>18</v>
      </c>
      <c r="AL38" s="18">
        <f t="shared" si="9"/>
        <v>1</v>
      </c>
    </row>
    <row r="39" spans="1:38" x14ac:dyDescent="0.2">
      <c r="A39" s="18">
        <f t="shared" ca="1" si="10"/>
        <v>60</v>
      </c>
      <c r="B39" s="24">
        <f t="shared" ca="1" si="0"/>
        <v>8.556658275049541</v>
      </c>
      <c r="C39" s="23">
        <f t="shared" ca="1" si="1"/>
        <v>5474.3029521704211</v>
      </c>
      <c r="E39" s="18">
        <f t="shared" ca="1" si="11"/>
        <v>123</v>
      </c>
      <c r="F39" s="24">
        <f t="shared" ca="1" si="2"/>
        <v>4.8447275495681374</v>
      </c>
      <c r="G39" s="23">
        <f t="shared" ca="1" si="3"/>
        <v>12813.828462325819</v>
      </c>
      <c r="I39" s="4">
        <v>32</v>
      </c>
      <c r="K39" s="14">
        <v>6.0695199718057333</v>
      </c>
      <c r="L39" s="10">
        <v>5811.8745498149983</v>
      </c>
      <c r="O39" s="14">
        <v>8.1591870192395195</v>
      </c>
      <c r="P39" s="10">
        <v>10847.837053555013</v>
      </c>
      <c r="R39" s="19">
        <f t="shared" si="4"/>
        <v>2.0896670474337862</v>
      </c>
      <c r="S39" s="23">
        <f t="shared" si="5"/>
        <v>5035.9625037400147</v>
      </c>
      <c r="U39" s="23">
        <f t="shared" si="6"/>
        <v>2409.9353578477603</v>
      </c>
      <c r="W39" s="10">
        <v>22000</v>
      </c>
      <c r="X39" s="10">
        <v>22000</v>
      </c>
      <c r="Y39" s="17">
        <v>7</v>
      </c>
      <c r="AA39" s="18">
        <f t="shared" si="7"/>
        <v>1</v>
      </c>
      <c r="AC39" s="10">
        <v>31000</v>
      </c>
      <c r="AD39" s="4">
        <v>0.91900000000000004</v>
      </c>
      <c r="AF39" s="23">
        <f t="shared" si="8"/>
        <v>99447.3898679493</v>
      </c>
      <c r="AH39" s="4">
        <v>11000</v>
      </c>
      <c r="AI39" s="16">
        <v>11000</v>
      </c>
      <c r="AJ39" s="17">
        <v>12</v>
      </c>
      <c r="AL39" s="18">
        <f t="shared" si="9"/>
        <v>1</v>
      </c>
    </row>
    <row r="40" spans="1:38" x14ac:dyDescent="0.2">
      <c r="A40" s="18">
        <f t="shared" ca="1" si="10"/>
        <v>1</v>
      </c>
      <c r="B40" s="24">
        <f t="shared" ref="B40:B71" ca="1" si="12">VLOOKUP(A40,control,2,FALSE)</f>
        <v>5.5230222229378008</v>
      </c>
      <c r="C40" s="23">
        <f t="shared" ref="C40:C71" ca="1" si="13">VLOOKUP(A40,control,3,FALSE)</f>
        <v>3641.7574384520349</v>
      </c>
      <c r="E40" s="18">
        <f t="shared" ca="1" si="11"/>
        <v>157</v>
      </c>
      <c r="F40" s="24">
        <f t="shared" ref="F40:F71" ca="1" si="14">VLOOKUP(E40,treatment,2,FALSE)</f>
        <v>4.7677875830079914</v>
      </c>
      <c r="G40" s="23">
        <f t="shared" ref="G40:G71" ca="1" si="15">VLOOKUP(E40,treatment,3,FALSE)</f>
        <v>6677.8176051740083</v>
      </c>
      <c r="I40" s="4">
        <v>33</v>
      </c>
      <c r="K40" s="14">
        <v>6.8696144899309806</v>
      </c>
      <c r="L40" s="10">
        <v>6345.3180391977257</v>
      </c>
      <c r="O40" s="14">
        <v>7.1432272250349822</v>
      </c>
      <c r="P40" s="10">
        <v>9894.2409819512286</v>
      </c>
      <c r="R40" s="19">
        <f t="shared" si="4"/>
        <v>0.27361273510400164</v>
      </c>
      <c r="S40" s="23">
        <f t="shared" si="5"/>
        <v>3548.9229427535029</v>
      </c>
      <c r="U40" s="23">
        <f t="shared" si="6"/>
        <v>12970.605850654352</v>
      </c>
      <c r="W40" s="10">
        <v>24000</v>
      </c>
      <c r="X40" s="10">
        <v>24000</v>
      </c>
      <c r="Y40" s="17">
        <v>8</v>
      </c>
      <c r="AA40" s="18">
        <f t="shared" si="7"/>
        <v>1</v>
      </c>
      <c r="AC40" s="10">
        <v>32000</v>
      </c>
      <c r="AD40" s="4">
        <v>0.91900000000000004</v>
      </c>
      <c r="AF40" s="23">
        <f t="shared" si="8"/>
        <v>10131.713812446578</v>
      </c>
      <c r="AH40" s="4">
        <v>12000</v>
      </c>
      <c r="AI40" s="16">
        <v>12000</v>
      </c>
      <c r="AJ40" s="17">
        <v>2</v>
      </c>
      <c r="AL40" s="18">
        <f t="shared" si="9"/>
        <v>1</v>
      </c>
    </row>
    <row r="41" spans="1:38" x14ac:dyDescent="0.2">
      <c r="A41" s="18">
        <f t="shared" ca="1" si="10"/>
        <v>32</v>
      </c>
      <c r="B41" s="24">
        <f t="shared" ca="1" si="12"/>
        <v>2.0781199271286472</v>
      </c>
      <c r="C41" s="23">
        <f t="shared" ca="1" si="13"/>
        <v>1198.1531341399686</v>
      </c>
      <c r="E41" s="18">
        <f t="shared" ca="1" si="11"/>
        <v>187</v>
      </c>
      <c r="F41" s="24">
        <f t="shared" ca="1" si="14"/>
        <v>6.7844969821088341</v>
      </c>
      <c r="G41" s="23">
        <f t="shared" ca="1" si="15"/>
        <v>8045.0357068033563</v>
      </c>
      <c r="I41" s="4">
        <v>34</v>
      </c>
      <c r="K41" s="14">
        <v>6.591768944395894</v>
      </c>
      <c r="L41" s="10">
        <v>7382.3862286608501</v>
      </c>
      <c r="O41" s="14">
        <v>7.4318708157847126</v>
      </c>
      <c r="P41" s="10">
        <v>10045.030035686281</v>
      </c>
      <c r="R41" s="19">
        <f t="shared" si="4"/>
        <v>0.84010187138881864</v>
      </c>
      <c r="S41" s="23">
        <f t="shared" si="5"/>
        <v>2662.6438070254308</v>
      </c>
      <c r="U41" s="23">
        <f t="shared" si="6"/>
        <v>3169.4296819309161</v>
      </c>
      <c r="W41" s="10">
        <v>26000</v>
      </c>
      <c r="X41" s="10">
        <v>26000</v>
      </c>
      <c r="Y41" s="17">
        <v>3</v>
      </c>
      <c r="AA41" s="18">
        <f t="shared" si="7"/>
        <v>1</v>
      </c>
      <c r="AC41" s="10">
        <v>33000</v>
      </c>
      <c r="AD41" s="4">
        <v>0.91900000000000004</v>
      </c>
      <c r="AF41" s="23">
        <f t="shared" si="8"/>
        <v>39342.449762415505</v>
      </c>
      <c r="AH41" s="4">
        <v>13000</v>
      </c>
      <c r="AI41" s="16">
        <v>13000</v>
      </c>
      <c r="AJ41" s="17">
        <v>2</v>
      </c>
      <c r="AL41" s="18">
        <f t="shared" si="9"/>
        <v>1</v>
      </c>
    </row>
    <row r="42" spans="1:38" x14ac:dyDescent="0.2">
      <c r="A42" s="18">
        <f t="shared" ca="1" si="10"/>
        <v>82</v>
      </c>
      <c r="B42" s="24">
        <f t="shared" ca="1" si="12"/>
        <v>3.4716013057436403</v>
      </c>
      <c r="C42" s="23">
        <f t="shared" ca="1" si="13"/>
        <v>1677.7465345623355</v>
      </c>
      <c r="E42" s="18">
        <f t="shared" ca="1" si="11"/>
        <v>183</v>
      </c>
      <c r="F42" s="24">
        <f t="shared" ca="1" si="14"/>
        <v>4.2867214370266726</v>
      </c>
      <c r="G42" s="23">
        <f t="shared" ca="1" si="15"/>
        <v>5057.2115051134315</v>
      </c>
      <c r="I42" s="4">
        <v>35</v>
      </c>
      <c r="K42" s="14">
        <v>6.5476186518382304</v>
      </c>
      <c r="L42" s="10">
        <v>7551.4486520319297</v>
      </c>
      <c r="O42" s="14">
        <v>6.9181819946036827</v>
      </c>
      <c r="P42" s="10">
        <v>9866.0652256438207</v>
      </c>
      <c r="R42" s="19">
        <f t="shared" si="4"/>
        <v>0.37056334276545222</v>
      </c>
      <c r="S42" s="23">
        <f t="shared" si="5"/>
        <v>2314.616573611891</v>
      </c>
      <c r="U42" s="23">
        <f t="shared" si="6"/>
        <v>6246.2103141079597</v>
      </c>
      <c r="W42" s="10">
        <v>28000</v>
      </c>
      <c r="X42" s="10">
        <v>28000</v>
      </c>
      <c r="Y42" s="17">
        <v>4</v>
      </c>
      <c r="AA42" s="18">
        <f t="shared" si="7"/>
        <v>1</v>
      </c>
      <c r="AC42" s="10">
        <v>34000</v>
      </c>
      <c r="AD42" s="4">
        <v>0.91900000000000004</v>
      </c>
      <c r="AF42" s="23">
        <f t="shared" si="8"/>
        <v>16213.550564660722</v>
      </c>
      <c r="AH42" s="4">
        <v>14000</v>
      </c>
      <c r="AI42" s="16">
        <v>14000</v>
      </c>
      <c r="AJ42" s="17">
        <v>0</v>
      </c>
      <c r="AL42" s="18">
        <f t="shared" si="9"/>
        <v>1</v>
      </c>
    </row>
    <row r="43" spans="1:38" x14ac:dyDescent="0.2">
      <c r="A43" s="18">
        <f t="shared" ca="1" si="10"/>
        <v>47</v>
      </c>
      <c r="B43" s="24">
        <f t="shared" ca="1" si="12"/>
        <v>8.078396591818171</v>
      </c>
      <c r="C43" s="23">
        <f t="shared" ca="1" si="13"/>
        <v>4134.2422690551421</v>
      </c>
      <c r="E43" s="18">
        <f t="shared" ca="1" si="11"/>
        <v>142</v>
      </c>
      <c r="F43" s="24">
        <f t="shared" ca="1" si="14"/>
        <v>8.681236067051076</v>
      </c>
      <c r="G43" s="23">
        <f t="shared" ca="1" si="15"/>
        <v>8968.7355160541174</v>
      </c>
      <c r="I43" s="4">
        <v>36</v>
      </c>
      <c r="K43" s="14">
        <v>6.8121616508273171</v>
      </c>
      <c r="L43" s="10">
        <v>7636.6964254383383</v>
      </c>
      <c r="O43" s="14">
        <v>7.2339638269359003</v>
      </c>
      <c r="P43" s="10">
        <v>9425.9167041378241</v>
      </c>
      <c r="R43" s="19">
        <f t="shared" si="4"/>
        <v>0.42180217610858328</v>
      </c>
      <c r="S43" s="23">
        <f t="shared" si="5"/>
        <v>1789.2202786994858</v>
      </c>
      <c r="U43" s="23">
        <f t="shared" si="6"/>
        <v>4241.8469605972168</v>
      </c>
      <c r="W43" s="10">
        <v>30000</v>
      </c>
      <c r="X43" s="10">
        <v>30000</v>
      </c>
      <c r="Y43" s="17">
        <v>1</v>
      </c>
      <c r="AA43" s="18">
        <f t="shared" si="7"/>
        <v>1</v>
      </c>
      <c r="AC43" s="10">
        <v>35000</v>
      </c>
      <c r="AD43" s="4">
        <v>0.92</v>
      </c>
      <c r="AF43" s="23">
        <f t="shared" si="8"/>
        <v>19300.888526729679</v>
      </c>
      <c r="AH43" s="4">
        <v>15000</v>
      </c>
      <c r="AI43" s="16">
        <v>15000</v>
      </c>
      <c r="AJ43" s="17">
        <v>0</v>
      </c>
      <c r="AL43" s="18">
        <f t="shared" si="9"/>
        <v>1</v>
      </c>
    </row>
    <row r="44" spans="1:38" x14ac:dyDescent="0.2">
      <c r="A44" s="18">
        <f t="shared" ca="1" si="10"/>
        <v>95</v>
      </c>
      <c r="B44" s="24">
        <f t="shared" ca="1" si="12"/>
        <v>0.41208377176804351</v>
      </c>
      <c r="C44" s="23">
        <f t="shared" ca="1" si="13"/>
        <v>936.69917305127171</v>
      </c>
      <c r="E44" s="18">
        <f t="shared" ca="1" si="11"/>
        <v>194</v>
      </c>
      <c r="F44" s="24">
        <f t="shared" ca="1" si="14"/>
        <v>5.6876624527104056</v>
      </c>
      <c r="G44" s="23">
        <f t="shared" ca="1" si="15"/>
        <v>6866.5153594941958</v>
      </c>
      <c r="I44" s="4">
        <v>37</v>
      </c>
      <c r="K44" s="14">
        <v>5.9392594548137359</v>
      </c>
      <c r="L44" s="10">
        <v>8555.8896614402329</v>
      </c>
      <c r="O44" s="14">
        <v>7.1361932154083156</v>
      </c>
      <c r="P44" s="10">
        <v>9090.5193092227546</v>
      </c>
      <c r="R44" s="19">
        <f t="shared" si="4"/>
        <v>1.1969337605945798</v>
      </c>
      <c r="S44" s="23">
        <f t="shared" si="5"/>
        <v>534.62964778252172</v>
      </c>
      <c r="U44" s="23">
        <f t="shared" si="6"/>
        <v>446.66602729706875</v>
      </c>
      <c r="W44" s="10">
        <v>32000</v>
      </c>
      <c r="X44" s="10">
        <v>32000</v>
      </c>
      <c r="Y44" s="17">
        <v>4</v>
      </c>
      <c r="AA44" s="18">
        <f t="shared" si="7"/>
        <v>1</v>
      </c>
      <c r="AC44" s="10">
        <v>36000</v>
      </c>
      <c r="AD44" s="4">
        <v>0.92</v>
      </c>
      <c r="AF44" s="23">
        <f t="shared" si="8"/>
        <v>59312.058381946466</v>
      </c>
      <c r="AH44" s="4">
        <v>16000</v>
      </c>
      <c r="AI44" s="16">
        <v>16000</v>
      </c>
      <c r="AJ44" s="17">
        <v>0</v>
      </c>
      <c r="AL44" s="18">
        <f t="shared" si="9"/>
        <v>1</v>
      </c>
    </row>
    <row r="45" spans="1:38" x14ac:dyDescent="0.2">
      <c r="A45" s="18">
        <f t="shared" ca="1" si="10"/>
        <v>25</v>
      </c>
      <c r="B45" s="24">
        <f t="shared" ca="1" si="12"/>
        <v>1.9036650870239149</v>
      </c>
      <c r="C45" s="23">
        <f t="shared" ca="1" si="13"/>
        <v>16030.089965584813</v>
      </c>
      <c r="E45" s="18">
        <f t="shared" ca="1" si="11"/>
        <v>113</v>
      </c>
      <c r="F45" s="24">
        <f t="shared" ca="1" si="14"/>
        <v>13.197781054869752</v>
      </c>
      <c r="G45" s="23">
        <f t="shared" ca="1" si="15"/>
        <v>12882.237819428197</v>
      </c>
      <c r="I45" s="4">
        <v>38</v>
      </c>
      <c r="K45" s="14">
        <v>6.6029388230151609</v>
      </c>
      <c r="L45" s="10">
        <v>8379.3809737243118</v>
      </c>
      <c r="O45" s="14">
        <v>6.7029213643262606</v>
      </c>
      <c r="P45" s="10">
        <v>9765.8477396124217</v>
      </c>
      <c r="R45" s="19">
        <f t="shared" si="4"/>
        <v>9.9982541311099737E-2</v>
      </c>
      <c r="S45" s="23">
        <f t="shared" si="5"/>
        <v>1386.4667658881099</v>
      </c>
      <c r="U45" s="23">
        <f t="shared" si="6"/>
        <v>13867.088670751649</v>
      </c>
      <c r="W45" s="10">
        <v>34000</v>
      </c>
      <c r="X45" s="10">
        <v>34000</v>
      </c>
      <c r="Y45" s="17">
        <v>3</v>
      </c>
      <c r="AA45" s="18">
        <f t="shared" si="7"/>
        <v>1</v>
      </c>
      <c r="AC45" s="10">
        <v>37000</v>
      </c>
      <c r="AD45" s="4">
        <v>0.92</v>
      </c>
      <c r="AF45" s="23">
        <f t="shared" si="8"/>
        <v>3612.6602996668771</v>
      </c>
      <c r="AH45" s="4">
        <v>17000</v>
      </c>
      <c r="AI45" s="16">
        <v>17000</v>
      </c>
      <c r="AJ45" s="17">
        <v>0</v>
      </c>
      <c r="AL45" s="18">
        <f t="shared" si="9"/>
        <v>1</v>
      </c>
    </row>
    <row r="46" spans="1:38" x14ac:dyDescent="0.2">
      <c r="A46" s="18">
        <f t="shared" ca="1" si="10"/>
        <v>56</v>
      </c>
      <c r="B46" s="24">
        <f t="shared" ca="1" si="12"/>
        <v>8.5218979084368645</v>
      </c>
      <c r="C46" s="23">
        <f t="shared" ca="1" si="13"/>
        <v>5569.1318465909117</v>
      </c>
      <c r="E46" s="18">
        <f t="shared" ca="1" si="11"/>
        <v>114</v>
      </c>
      <c r="F46" s="24">
        <f t="shared" ca="1" si="14"/>
        <v>2.6726811534058359</v>
      </c>
      <c r="G46" s="23">
        <f t="shared" ca="1" si="15"/>
        <v>13839.593254837855</v>
      </c>
      <c r="I46" s="4">
        <v>39</v>
      </c>
      <c r="K46" s="14">
        <v>6.0055931818284742</v>
      </c>
      <c r="L46" s="10">
        <v>6923.5147482060074</v>
      </c>
      <c r="O46" s="14">
        <v>7.223857763500984</v>
      </c>
      <c r="P46" s="10">
        <v>9765.8876650677776</v>
      </c>
      <c r="R46" s="19">
        <f t="shared" si="4"/>
        <v>1.2182645816725097</v>
      </c>
      <c r="S46" s="23">
        <f t="shared" si="5"/>
        <v>2842.3729168617701</v>
      </c>
      <c r="U46" s="23">
        <f t="shared" si="6"/>
        <v>2333.132686956706</v>
      </c>
      <c r="W46" s="10">
        <v>36000</v>
      </c>
      <c r="X46" s="10">
        <v>36000</v>
      </c>
      <c r="Y46" s="17">
        <v>1</v>
      </c>
      <c r="AA46" s="18">
        <f t="shared" si="7"/>
        <v>1</v>
      </c>
      <c r="AC46" s="10">
        <v>38000</v>
      </c>
      <c r="AD46" s="4">
        <v>0.92</v>
      </c>
      <c r="AF46" s="23">
        <f t="shared" si="8"/>
        <v>58070.856166763711</v>
      </c>
      <c r="AH46" s="4">
        <v>18000</v>
      </c>
      <c r="AI46" s="16">
        <v>18000</v>
      </c>
      <c r="AJ46" s="17">
        <v>0</v>
      </c>
      <c r="AL46" s="18">
        <f t="shared" si="9"/>
        <v>1</v>
      </c>
    </row>
    <row r="47" spans="1:38" x14ac:dyDescent="0.2">
      <c r="A47" s="18">
        <f t="shared" ca="1" si="10"/>
        <v>88</v>
      </c>
      <c r="B47" s="24">
        <f t="shared" ca="1" si="12"/>
        <v>0.62931492176215387</v>
      </c>
      <c r="C47" s="23">
        <f t="shared" ca="1" si="13"/>
        <v>3964.2959787645282</v>
      </c>
      <c r="E47" s="18">
        <f t="shared" ca="1" si="11"/>
        <v>139</v>
      </c>
      <c r="F47" s="24">
        <f t="shared" ca="1" si="14"/>
        <v>12.061027786969371</v>
      </c>
      <c r="G47" s="23">
        <f t="shared" ca="1" si="15"/>
        <v>36909.61325616765</v>
      </c>
      <c r="I47" s="4">
        <v>40</v>
      </c>
      <c r="K47" s="14">
        <v>6.2466155133740084</v>
      </c>
      <c r="L47" s="10">
        <v>5866.4601206456018</v>
      </c>
      <c r="O47" s="14">
        <v>7.1137400272775615</v>
      </c>
      <c r="P47" s="10">
        <v>10144.622190325199</v>
      </c>
      <c r="R47" s="19">
        <f t="shared" si="4"/>
        <v>0.86712451390355305</v>
      </c>
      <c r="S47" s="23">
        <f t="shared" si="5"/>
        <v>4278.1620696795972</v>
      </c>
      <c r="U47" s="23">
        <f t="shared" si="6"/>
        <v>4933.7344303882073</v>
      </c>
      <c r="W47" s="10">
        <v>38000</v>
      </c>
      <c r="X47" s="10">
        <v>38000</v>
      </c>
      <c r="Y47" s="17">
        <v>4</v>
      </c>
      <c r="AA47" s="18">
        <f t="shared" si="7"/>
        <v>1</v>
      </c>
      <c r="AC47" s="10">
        <v>39000</v>
      </c>
      <c r="AD47" s="4">
        <v>0.92</v>
      </c>
      <c r="AF47" s="23">
        <f t="shared" si="8"/>
        <v>39078.063625498056</v>
      </c>
      <c r="AH47" s="4">
        <v>19000</v>
      </c>
      <c r="AI47" s="16">
        <v>19000</v>
      </c>
      <c r="AJ47" s="17">
        <v>0</v>
      </c>
      <c r="AL47" s="18">
        <f t="shared" si="9"/>
        <v>1</v>
      </c>
    </row>
    <row r="48" spans="1:38" x14ac:dyDescent="0.2">
      <c r="A48" s="18">
        <f t="shared" ca="1" si="10"/>
        <v>48</v>
      </c>
      <c r="B48" s="24">
        <f t="shared" ca="1" si="12"/>
        <v>9.4943707713147845</v>
      </c>
      <c r="C48" s="23">
        <f t="shared" ca="1" si="13"/>
        <v>5666.3726412140259</v>
      </c>
      <c r="E48" s="18">
        <f t="shared" ca="1" si="11"/>
        <v>166</v>
      </c>
      <c r="F48" s="24">
        <f t="shared" ca="1" si="14"/>
        <v>10.124085710941417</v>
      </c>
      <c r="G48" s="23">
        <f t="shared" ca="1" si="15"/>
        <v>12918.658640600344</v>
      </c>
      <c r="I48" s="4">
        <v>41</v>
      </c>
      <c r="K48" s="14">
        <v>5.7402520786917739</v>
      </c>
      <c r="L48" s="10">
        <v>8773.2474534337653</v>
      </c>
      <c r="O48" s="14">
        <v>7.1027958346026239</v>
      </c>
      <c r="P48" s="10">
        <v>9647.6897642100648</v>
      </c>
      <c r="R48" s="19">
        <f t="shared" si="4"/>
        <v>1.36254375591085</v>
      </c>
      <c r="S48" s="23">
        <f t="shared" si="5"/>
        <v>874.44231077629956</v>
      </c>
      <c r="U48" s="23">
        <f t="shared" si="6"/>
        <v>641.7719115315615</v>
      </c>
      <c r="W48" s="10">
        <v>40000</v>
      </c>
      <c r="X48" s="10">
        <v>40000</v>
      </c>
      <c r="Y48" s="17">
        <v>2</v>
      </c>
      <c r="AA48" s="18">
        <f t="shared" si="7"/>
        <v>1</v>
      </c>
      <c r="AC48" s="10">
        <v>40000</v>
      </c>
      <c r="AD48" s="4">
        <v>0.92</v>
      </c>
      <c r="AF48" s="23">
        <f t="shared" si="8"/>
        <v>67252.745484766201</v>
      </c>
      <c r="AH48" s="4">
        <v>20000</v>
      </c>
      <c r="AI48" s="16">
        <v>20000</v>
      </c>
      <c r="AJ48" s="17">
        <v>0</v>
      </c>
      <c r="AL48" s="18">
        <f t="shared" si="9"/>
        <v>1</v>
      </c>
    </row>
    <row r="49" spans="1:38" ht="13.5" thickBot="1" x14ac:dyDescent="0.25">
      <c r="A49" s="18">
        <f t="shared" ca="1" si="10"/>
        <v>77</v>
      </c>
      <c r="B49" s="24">
        <f t="shared" ca="1" si="12"/>
        <v>11.324641211559015</v>
      </c>
      <c r="C49" s="23">
        <f t="shared" ca="1" si="13"/>
        <v>7634.6497425745356</v>
      </c>
      <c r="E49" s="18">
        <f t="shared" ca="1" si="11"/>
        <v>167</v>
      </c>
      <c r="F49" s="24">
        <f t="shared" ca="1" si="14"/>
        <v>3.9877010321967221</v>
      </c>
      <c r="G49" s="23">
        <f t="shared" ca="1" si="15"/>
        <v>6747.1824289220895</v>
      </c>
      <c r="I49" s="4">
        <v>42</v>
      </c>
      <c r="K49" s="14">
        <v>6.3071343392003074</v>
      </c>
      <c r="L49" s="10">
        <v>6636.308907377882</v>
      </c>
      <c r="O49" s="14">
        <v>6.8984279610962345</v>
      </c>
      <c r="P49" s="10">
        <v>9266.2911355940578</v>
      </c>
      <c r="R49" s="19">
        <f t="shared" si="4"/>
        <v>0.59129362189592705</v>
      </c>
      <c r="S49" s="23">
        <f t="shared" si="5"/>
        <v>2629.9822282161758</v>
      </c>
      <c r="U49" s="23">
        <f t="shared" si="6"/>
        <v>4447.8447438404401</v>
      </c>
      <c r="W49" s="10">
        <v>42000</v>
      </c>
      <c r="X49" s="10">
        <v>42000</v>
      </c>
      <c r="Y49" s="17">
        <v>1</v>
      </c>
      <c r="AA49" s="18">
        <f t="shared" si="7"/>
        <v>1</v>
      </c>
      <c r="AC49" s="10">
        <v>41000</v>
      </c>
      <c r="AD49" s="4">
        <v>0.92</v>
      </c>
      <c r="AF49" s="23">
        <f t="shared" si="8"/>
        <v>26934.698866580176</v>
      </c>
      <c r="AI49" s="26" t="s">
        <v>30</v>
      </c>
      <c r="AJ49" s="26">
        <v>0</v>
      </c>
      <c r="AL49" s="18">
        <f t="shared" si="9"/>
        <v>1</v>
      </c>
    </row>
    <row r="50" spans="1:38" x14ac:dyDescent="0.2">
      <c r="A50" s="18">
        <f t="shared" ca="1" si="10"/>
        <v>70</v>
      </c>
      <c r="B50" s="24">
        <f t="shared" ca="1" si="12"/>
        <v>5.0987030855427982</v>
      </c>
      <c r="C50" s="23">
        <f t="shared" ca="1" si="13"/>
        <v>3069.3455650077635</v>
      </c>
      <c r="E50" s="18">
        <f t="shared" ca="1" si="11"/>
        <v>191</v>
      </c>
      <c r="F50" s="24">
        <f t="shared" ca="1" si="14"/>
        <v>6.3676505309324494</v>
      </c>
      <c r="G50" s="23">
        <f t="shared" ca="1" si="15"/>
        <v>6437.7926291620597</v>
      </c>
      <c r="I50" s="4">
        <v>43</v>
      </c>
      <c r="K50" s="14">
        <v>5.5794906697491875</v>
      </c>
      <c r="L50" s="10">
        <v>4771.9158040858956</v>
      </c>
      <c r="O50" s="14">
        <v>7.3434450621332825</v>
      </c>
      <c r="P50" s="10">
        <v>10133.629949351098</v>
      </c>
      <c r="R50" s="19">
        <f t="shared" si="4"/>
        <v>1.763954392384095</v>
      </c>
      <c r="S50" s="23">
        <f t="shared" si="5"/>
        <v>5361.7141452652022</v>
      </c>
      <c r="U50" s="23">
        <f t="shared" si="6"/>
        <v>3039.5990783063894</v>
      </c>
      <c r="W50" s="10">
        <v>44000</v>
      </c>
      <c r="X50" s="10">
        <v>44000</v>
      </c>
      <c r="Y50" s="17">
        <v>2</v>
      </c>
      <c r="AA50" s="18">
        <f t="shared" si="7"/>
        <v>1</v>
      </c>
      <c r="AC50" s="10">
        <v>42000</v>
      </c>
      <c r="AD50" s="4">
        <v>0.92</v>
      </c>
      <c r="AF50" s="23">
        <f t="shared" si="8"/>
        <v>82836.005473939556</v>
      </c>
      <c r="AI50" s="16"/>
      <c r="AJ50" s="17"/>
      <c r="AL50" s="18">
        <f t="shared" si="9"/>
        <v>1</v>
      </c>
    </row>
    <row r="51" spans="1:38" x14ac:dyDescent="0.2">
      <c r="A51" s="18">
        <f t="shared" ca="1" si="10"/>
        <v>2</v>
      </c>
      <c r="B51" s="24">
        <f t="shared" ca="1" si="12"/>
        <v>5.1919646630865142</v>
      </c>
      <c r="C51" s="23">
        <f t="shared" ca="1" si="13"/>
        <v>12121.525911710989</v>
      </c>
      <c r="E51" s="18">
        <f t="shared" ca="1" si="11"/>
        <v>171</v>
      </c>
      <c r="F51" s="24">
        <f t="shared" ca="1" si="14"/>
        <v>11.126572109243085</v>
      </c>
      <c r="G51" s="23">
        <f t="shared" ca="1" si="15"/>
        <v>13769.325166504534</v>
      </c>
      <c r="I51" s="4">
        <v>44</v>
      </c>
      <c r="K51" s="14">
        <v>6.7847355684014472</v>
      </c>
      <c r="L51" s="10">
        <v>7169.3907624774638</v>
      </c>
      <c r="O51" s="14">
        <v>7.6656945549505746</v>
      </c>
      <c r="P51" s="10">
        <v>9945.7475152142943</v>
      </c>
      <c r="R51" s="19">
        <f t="shared" si="4"/>
        <v>0.88095898654912741</v>
      </c>
      <c r="S51" s="23">
        <f t="shared" si="5"/>
        <v>2776.3567527368305</v>
      </c>
      <c r="U51" s="23">
        <f t="shared" si="6"/>
        <v>3151.5164668588172</v>
      </c>
      <c r="W51" s="10">
        <v>46000</v>
      </c>
      <c r="X51" s="10">
        <v>46000</v>
      </c>
      <c r="Y51" s="17">
        <v>1</v>
      </c>
      <c r="AA51" s="18">
        <f t="shared" si="7"/>
        <v>1</v>
      </c>
      <c r="AC51" s="10">
        <v>43000</v>
      </c>
      <c r="AD51" s="4">
        <v>0.92</v>
      </c>
      <c r="AF51" s="23">
        <f t="shared" si="8"/>
        <v>41271.592574719543</v>
      </c>
      <c r="AI51" s="16"/>
      <c r="AJ51" s="17"/>
      <c r="AL51" s="18">
        <f t="shared" si="9"/>
        <v>1</v>
      </c>
    </row>
    <row r="52" spans="1:38" x14ac:dyDescent="0.2">
      <c r="A52" s="18">
        <f t="shared" ca="1" si="10"/>
        <v>15</v>
      </c>
      <c r="B52" s="24">
        <f t="shared" ca="1" si="12"/>
        <v>3.9034690704966</v>
      </c>
      <c r="C52" s="23">
        <f t="shared" ca="1" si="13"/>
        <v>3228.510418855466</v>
      </c>
      <c r="E52" s="18">
        <f t="shared" ca="1" si="11"/>
        <v>115</v>
      </c>
      <c r="F52" s="24">
        <f t="shared" ca="1" si="14"/>
        <v>8.2341033909470696</v>
      </c>
      <c r="G52" s="23">
        <f t="shared" ca="1" si="15"/>
        <v>15783.230279664196</v>
      </c>
      <c r="I52" s="4">
        <v>45</v>
      </c>
      <c r="K52" s="14">
        <v>5.8486399757724152</v>
      </c>
      <c r="L52" s="10">
        <v>7378.6835875327906</v>
      </c>
      <c r="O52" s="14">
        <v>7.1629438127495852</v>
      </c>
      <c r="P52" s="10">
        <v>9448.2831868204739</v>
      </c>
      <c r="R52" s="19">
        <f t="shared" si="4"/>
        <v>1.31430383697717</v>
      </c>
      <c r="S52" s="23">
        <f t="shared" si="5"/>
        <v>2069.5995992876833</v>
      </c>
      <c r="U52" s="23">
        <f t="shared" si="6"/>
        <v>1574.6736341024873</v>
      </c>
      <c r="W52" s="10">
        <v>48000</v>
      </c>
      <c r="X52" s="10">
        <v>48000</v>
      </c>
      <c r="Y52" s="17">
        <v>2</v>
      </c>
      <c r="AA52" s="18">
        <f t="shared" si="7"/>
        <v>1</v>
      </c>
      <c r="AC52" s="10">
        <v>44000</v>
      </c>
      <c r="AD52" s="4">
        <v>0.92</v>
      </c>
      <c r="AF52" s="23">
        <f t="shared" si="8"/>
        <v>63645.592249570822</v>
      </c>
      <c r="AI52" s="16"/>
      <c r="AJ52" s="17"/>
      <c r="AL52" s="18">
        <f t="shared" si="9"/>
        <v>1</v>
      </c>
    </row>
    <row r="53" spans="1:38" x14ac:dyDescent="0.2">
      <c r="A53" s="18">
        <f t="shared" ca="1" si="10"/>
        <v>7</v>
      </c>
      <c r="B53" s="24">
        <f t="shared" ca="1" si="12"/>
        <v>6.9295998689004641</v>
      </c>
      <c r="C53" s="23">
        <f t="shared" ca="1" si="13"/>
        <v>5326.9273592200743</v>
      </c>
      <c r="E53" s="18">
        <f t="shared" ca="1" si="11"/>
        <v>197</v>
      </c>
      <c r="F53" s="24">
        <f t="shared" ca="1" si="14"/>
        <v>8.6556339226075369</v>
      </c>
      <c r="G53" s="23">
        <f t="shared" ca="1" si="15"/>
        <v>10863.093471953716</v>
      </c>
      <c r="I53" s="4">
        <v>46</v>
      </c>
      <c r="K53" s="14">
        <v>5.8249477954979021</v>
      </c>
      <c r="L53" s="10">
        <v>7179.7726961051858</v>
      </c>
      <c r="O53" s="14">
        <v>7.220295473609144</v>
      </c>
      <c r="P53" s="10">
        <v>9854.7636178007451</v>
      </c>
      <c r="R53" s="19">
        <f t="shared" si="4"/>
        <v>1.3953476781112419</v>
      </c>
      <c r="S53" s="23">
        <f t="shared" si="5"/>
        <v>2674.9909216955593</v>
      </c>
      <c r="U53" s="23">
        <f t="shared" si="6"/>
        <v>1917.0784197071634</v>
      </c>
      <c r="W53" s="10">
        <v>50000</v>
      </c>
      <c r="X53" s="10">
        <v>50000</v>
      </c>
      <c r="Y53" s="17">
        <v>1</v>
      </c>
      <c r="AA53" s="18">
        <f t="shared" si="7"/>
        <v>1</v>
      </c>
      <c r="AC53" s="10">
        <v>45000</v>
      </c>
      <c r="AD53" s="4">
        <v>0.92</v>
      </c>
      <c r="AF53" s="23">
        <f t="shared" si="8"/>
        <v>67092.392983866535</v>
      </c>
      <c r="AI53" s="16"/>
      <c r="AJ53" s="17"/>
      <c r="AL53" s="18">
        <f t="shared" si="9"/>
        <v>1</v>
      </c>
    </row>
    <row r="54" spans="1:38" x14ac:dyDescent="0.2">
      <c r="A54" s="18">
        <f t="shared" ca="1" si="10"/>
        <v>46</v>
      </c>
      <c r="B54" s="24">
        <f t="shared" ca="1" si="12"/>
        <v>0.41333468425225467</v>
      </c>
      <c r="C54" s="23">
        <f t="shared" ca="1" si="13"/>
        <v>2915.8103564257872</v>
      </c>
      <c r="E54" s="18">
        <f t="shared" ca="1" si="11"/>
        <v>176</v>
      </c>
      <c r="F54" s="24">
        <f t="shared" ca="1" si="14"/>
        <v>3.8401089650958711</v>
      </c>
      <c r="G54" s="23">
        <f t="shared" ca="1" si="15"/>
        <v>4931.3006483768168</v>
      </c>
      <c r="I54" s="4">
        <v>47</v>
      </c>
      <c r="K54" s="14">
        <v>5.8290491627471521</v>
      </c>
      <c r="L54" s="10">
        <v>6540.2144481235537</v>
      </c>
      <c r="O54" s="14">
        <v>6.992916773225919</v>
      </c>
      <c r="P54" s="10">
        <v>9459.9358417317508</v>
      </c>
      <c r="R54" s="19">
        <f t="shared" si="4"/>
        <v>1.1638676104787669</v>
      </c>
      <c r="S54" s="23">
        <f t="shared" si="5"/>
        <v>2919.7213936081971</v>
      </c>
      <c r="U54" s="23">
        <f t="shared" si="6"/>
        <v>2508.6370368251291</v>
      </c>
      <c r="W54" s="10">
        <v>52000</v>
      </c>
      <c r="X54" s="10">
        <v>52000</v>
      </c>
      <c r="Y54" s="17">
        <v>0</v>
      </c>
      <c r="AA54" s="18">
        <f t="shared" si="7"/>
        <v>1</v>
      </c>
      <c r="AC54" s="10">
        <v>46000</v>
      </c>
      <c r="AD54" s="4">
        <v>0.92</v>
      </c>
      <c r="AF54" s="23">
        <f t="shared" si="8"/>
        <v>55273.659130330147</v>
      </c>
      <c r="AI54" s="16"/>
      <c r="AJ54" s="17"/>
      <c r="AL54" s="18">
        <f t="shared" si="9"/>
        <v>1</v>
      </c>
    </row>
    <row r="55" spans="1:38" x14ac:dyDescent="0.2">
      <c r="A55" s="18">
        <f t="shared" ca="1" si="10"/>
        <v>75</v>
      </c>
      <c r="B55" s="24">
        <f t="shared" ca="1" si="12"/>
        <v>5.7277818048669413</v>
      </c>
      <c r="C55" s="23">
        <f t="shared" ca="1" si="13"/>
        <v>3356.8887545489042</v>
      </c>
      <c r="E55" s="18">
        <f t="shared" ca="1" si="11"/>
        <v>163</v>
      </c>
      <c r="F55" s="24">
        <f t="shared" ca="1" si="14"/>
        <v>6.2120762495952908</v>
      </c>
      <c r="G55" s="23">
        <f t="shared" ca="1" si="15"/>
        <v>7872.8021587178819</v>
      </c>
      <c r="I55" s="4">
        <v>48</v>
      </c>
      <c r="K55" s="14">
        <v>6.3707784624801738</v>
      </c>
      <c r="L55" s="10">
        <v>5950.886561399604</v>
      </c>
      <c r="O55" s="14">
        <v>7.24036968495595</v>
      </c>
      <c r="P55" s="10">
        <v>9200.9876140994347</v>
      </c>
      <c r="R55" s="19">
        <f t="shared" si="4"/>
        <v>0.86959122247577625</v>
      </c>
      <c r="S55" s="23">
        <f t="shared" si="5"/>
        <v>3250.1010526998307</v>
      </c>
      <c r="U55" s="23">
        <f t="shared" si="6"/>
        <v>3737.5044373684063</v>
      </c>
      <c r="W55" s="10">
        <v>54000</v>
      </c>
      <c r="X55" s="10">
        <v>54000</v>
      </c>
      <c r="Y55" s="17">
        <v>2</v>
      </c>
      <c r="AA55" s="18">
        <f t="shared" si="7"/>
        <v>1</v>
      </c>
      <c r="AC55" s="10">
        <v>47000</v>
      </c>
      <c r="AD55" s="4">
        <v>0.92100000000000004</v>
      </c>
      <c r="AF55" s="23">
        <f t="shared" si="8"/>
        <v>40229.460071088986</v>
      </c>
      <c r="AI55" s="16"/>
      <c r="AJ55" s="17"/>
      <c r="AL55" s="18">
        <f t="shared" si="9"/>
        <v>1</v>
      </c>
    </row>
    <row r="56" spans="1:38" x14ac:dyDescent="0.2">
      <c r="A56" s="18">
        <f t="shared" ca="1" si="10"/>
        <v>55</v>
      </c>
      <c r="B56" s="24">
        <f t="shared" ca="1" si="12"/>
        <v>6.0594326784440202</v>
      </c>
      <c r="C56" s="23">
        <f t="shared" ca="1" si="13"/>
        <v>8149.1107594597288</v>
      </c>
      <c r="E56" s="18">
        <f t="shared" ca="1" si="11"/>
        <v>144</v>
      </c>
      <c r="F56" s="24">
        <f t="shared" ca="1" si="14"/>
        <v>7.8859323315056349</v>
      </c>
      <c r="G56" s="23">
        <f t="shared" ca="1" si="15"/>
        <v>12466.149879986684</v>
      </c>
      <c r="I56" s="4">
        <v>49</v>
      </c>
      <c r="K56" s="14">
        <v>6.2895409273252474</v>
      </c>
      <c r="L56" s="10">
        <v>6686.5662853081631</v>
      </c>
      <c r="O56" s="14">
        <v>7.2746844157467834</v>
      </c>
      <c r="P56" s="10">
        <v>10175.346916795492</v>
      </c>
      <c r="R56" s="19">
        <f t="shared" si="4"/>
        <v>0.98514348842153598</v>
      </c>
      <c r="S56" s="23">
        <f t="shared" si="5"/>
        <v>3488.7806314873287</v>
      </c>
      <c r="U56" s="23">
        <f t="shared" si="6"/>
        <v>3541.3933832900734</v>
      </c>
      <c r="W56" s="10">
        <v>56000</v>
      </c>
      <c r="X56" s="10">
        <v>56000</v>
      </c>
      <c r="Y56" s="17">
        <v>1</v>
      </c>
      <c r="AA56" s="18">
        <f t="shared" si="7"/>
        <v>1</v>
      </c>
      <c r="AC56" s="10">
        <v>48000</v>
      </c>
      <c r="AD56" s="4">
        <v>0.92100000000000004</v>
      </c>
      <c r="AF56" s="23">
        <f t="shared" si="8"/>
        <v>45768.393789589471</v>
      </c>
      <c r="AI56" s="16"/>
      <c r="AJ56" s="17"/>
      <c r="AL56" s="18">
        <f t="shared" si="9"/>
        <v>1</v>
      </c>
    </row>
    <row r="57" spans="1:38" x14ac:dyDescent="0.2">
      <c r="A57" s="18">
        <f t="shared" ca="1" si="10"/>
        <v>75</v>
      </c>
      <c r="B57" s="24">
        <f t="shared" ca="1" si="12"/>
        <v>5.7277818048669413</v>
      </c>
      <c r="C57" s="23">
        <f t="shared" ca="1" si="13"/>
        <v>3356.8887545489042</v>
      </c>
      <c r="E57" s="18">
        <f t="shared" ca="1" si="11"/>
        <v>141</v>
      </c>
      <c r="F57" s="24">
        <f t="shared" ca="1" si="14"/>
        <v>10.279561770903793</v>
      </c>
      <c r="G57" s="23">
        <f t="shared" ca="1" si="15"/>
        <v>10257.108135735336</v>
      </c>
      <c r="I57" s="4">
        <v>50</v>
      </c>
      <c r="K57" s="14">
        <v>6.310021698815798</v>
      </c>
      <c r="L57" s="10">
        <v>6468.702481643023</v>
      </c>
      <c r="O57" s="14">
        <v>7.5553187867459997</v>
      </c>
      <c r="P57" s="10">
        <v>9877.2828900491331</v>
      </c>
      <c r="R57" s="19">
        <f t="shared" si="4"/>
        <v>1.2452970879302017</v>
      </c>
      <c r="S57" s="23">
        <f t="shared" si="5"/>
        <v>3408.5804084061101</v>
      </c>
      <c r="U57" s="23">
        <f t="shared" si="6"/>
        <v>2737.1624341236388</v>
      </c>
      <c r="W57" s="10">
        <v>58000</v>
      </c>
      <c r="X57" s="10">
        <v>58000</v>
      </c>
      <c r="Y57" s="17">
        <v>0</v>
      </c>
      <c r="AA57" s="18">
        <f t="shared" si="7"/>
        <v>1</v>
      </c>
      <c r="AC57" s="10">
        <v>49000</v>
      </c>
      <c r="AD57" s="4">
        <v>0.92100000000000004</v>
      </c>
      <c r="AF57" s="23">
        <f t="shared" si="8"/>
        <v>58856.273988103974</v>
      </c>
      <c r="AI57" s="16"/>
      <c r="AJ57" s="17"/>
      <c r="AL57" s="18">
        <f t="shared" si="9"/>
        <v>1</v>
      </c>
    </row>
    <row r="58" spans="1:38" x14ac:dyDescent="0.2">
      <c r="A58" s="18">
        <f t="shared" ca="1" si="10"/>
        <v>79</v>
      </c>
      <c r="B58" s="24">
        <f t="shared" ca="1" si="12"/>
        <v>10.875013528448807</v>
      </c>
      <c r="C58" s="23">
        <f t="shared" ca="1" si="13"/>
        <v>11109.678764112685</v>
      </c>
      <c r="E58" s="18">
        <f t="shared" ca="1" si="11"/>
        <v>166</v>
      </c>
      <c r="F58" s="24">
        <f t="shared" ca="1" si="14"/>
        <v>10.124085710941417</v>
      </c>
      <c r="G58" s="23">
        <f t="shared" ca="1" si="15"/>
        <v>12918.658640600344</v>
      </c>
      <c r="I58" s="4">
        <v>51</v>
      </c>
      <c r="K58" s="14">
        <v>6.3141330916919411</v>
      </c>
      <c r="L58" s="10">
        <v>6980.9820956447629</v>
      </c>
      <c r="O58" s="14">
        <v>7.0929278554106601</v>
      </c>
      <c r="P58" s="10">
        <v>9392.5457565743382</v>
      </c>
      <c r="R58" s="19">
        <f t="shared" si="4"/>
        <v>0.77879476371871892</v>
      </c>
      <c r="S58" s="23">
        <f t="shared" si="5"/>
        <v>2411.5636609295752</v>
      </c>
      <c r="U58" s="23">
        <f t="shared" si="6"/>
        <v>3096.5329677031204</v>
      </c>
      <c r="W58" s="10">
        <v>60000</v>
      </c>
      <c r="X58" s="10">
        <v>60000</v>
      </c>
      <c r="Y58" s="17">
        <v>0</v>
      </c>
      <c r="AA58" s="18">
        <f t="shared" si="7"/>
        <v>1</v>
      </c>
      <c r="AC58" s="10">
        <v>50000</v>
      </c>
      <c r="AD58" s="4">
        <v>0.92100000000000004</v>
      </c>
      <c r="AF58" s="23">
        <f t="shared" si="8"/>
        <v>36528.174525006369</v>
      </c>
      <c r="AI58" s="16"/>
      <c r="AJ58" s="17"/>
      <c r="AL58" s="18">
        <f t="shared" si="9"/>
        <v>1</v>
      </c>
    </row>
    <row r="59" spans="1:38" ht="13.5" thickBot="1" x14ac:dyDescent="0.25">
      <c r="A59" s="18">
        <f t="shared" ca="1" si="10"/>
        <v>39</v>
      </c>
      <c r="B59" s="24">
        <f t="shared" ca="1" si="12"/>
        <v>0.52728268787334431</v>
      </c>
      <c r="C59" s="23">
        <f t="shared" ca="1" si="13"/>
        <v>11384.432571411606</v>
      </c>
      <c r="E59" s="18">
        <f t="shared" ca="1" si="11"/>
        <v>101</v>
      </c>
      <c r="F59" s="24">
        <f t="shared" ca="1" si="14"/>
        <v>8.4486795295195058</v>
      </c>
      <c r="G59" s="23">
        <f t="shared" ca="1" si="15"/>
        <v>7674.2425512401314</v>
      </c>
      <c r="I59" s="4">
        <v>52</v>
      </c>
      <c r="K59" s="14">
        <v>6.033577869065609</v>
      </c>
      <c r="L59" s="10">
        <v>8348.5864437045748</v>
      </c>
      <c r="O59" s="14">
        <v>7.2371716841413392</v>
      </c>
      <c r="P59" s="10">
        <v>9354.3345145369985</v>
      </c>
      <c r="R59" s="19">
        <f t="shared" si="4"/>
        <v>1.2035938150757302</v>
      </c>
      <c r="S59" s="23">
        <f t="shared" si="5"/>
        <v>1005.7480708324238</v>
      </c>
      <c r="U59" s="23">
        <f t="shared" si="6"/>
        <v>835.62083672650147</v>
      </c>
      <c r="X59" s="26" t="s">
        <v>30</v>
      </c>
      <c r="Y59" s="26">
        <v>24</v>
      </c>
      <c r="AA59" s="18">
        <f t="shared" si="7"/>
        <v>1</v>
      </c>
      <c r="AF59" s="23">
        <f t="shared" si="8"/>
        <v>59173.942682954083</v>
      </c>
      <c r="AI59" s="16"/>
      <c r="AJ59" s="17"/>
      <c r="AL59" s="18">
        <f t="shared" si="9"/>
        <v>1</v>
      </c>
    </row>
    <row r="60" spans="1:38" ht="15.75" x14ac:dyDescent="0.25">
      <c r="A60" s="18">
        <f t="shared" ca="1" si="10"/>
        <v>55</v>
      </c>
      <c r="B60" s="24">
        <f t="shared" ca="1" si="12"/>
        <v>6.0594326784440202</v>
      </c>
      <c r="C60" s="23">
        <f t="shared" ca="1" si="13"/>
        <v>8149.1107594597288</v>
      </c>
      <c r="E60" s="18">
        <f t="shared" ca="1" si="11"/>
        <v>128</v>
      </c>
      <c r="F60" s="24">
        <f t="shared" ca="1" si="14"/>
        <v>8.018817186743636</v>
      </c>
      <c r="G60" s="23">
        <f t="shared" ca="1" si="15"/>
        <v>13424.814908151546</v>
      </c>
      <c r="H60" s="2"/>
      <c r="I60" s="4">
        <v>53</v>
      </c>
      <c r="K60" s="14">
        <v>6.1803097087524614</v>
      </c>
      <c r="L60" s="10">
        <v>8470.9605074894898</v>
      </c>
      <c r="O60" s="14">
        <v>7.6938516084270114</v>
      </c>
      <c r="P60" s="10">
        <v>9962.7252415392486</v>
      </c>
      <c r="R60" s="19">
        <f t="shared" si="4"/>
        <v>1.51354189967455</v>
      </c>
      <c r="S60" s="23">
        <f t="shared" si="5"/>
        <v>1491.7647340497588</v>
      </c>
      <c r="U60" s="23">
        <f t="shared" si="6"/>
        <v>985.61178542234359</v>
      </c>
      <c r="AA60" s="18">
        <f t="shared" si="7"/>
        <v>1</v>
      </c>
      <c r="AF60" s="23">
        <f t="shared" si="8"/>
        <v>74185.330249677732</v>
      </c>
      <c r="AI60" s="16"/>
      <c r="AJ60" s="17"/>
      <c r="AL60" s="18">
        <f t="shared" si="9"/>
        <v>1</v>
      </c>
    </row>
    <row r="61" spans="1:38" x14ac:dyDescent="0.2">
      <c r="A61" s="18">
        <f t="shared" ca="1" si="10"/>
        <v>89</v>
      </c>
      <c r="B61" s="24">
        <f t="shared" ca="1" si="12"/>
        <v>10.629234487620304</v>
      </c>
      <c r="C61" s="23">
        <f t="shared" ca="1" si="13"/>
        <v>7358.8127252886152</v>
      </c>
      <c r="E61" s="18">
        <f t="shared" ca="1" si="11"/>
        <v>161</v>
      </c>
      <c r="F61" s="24">
        <f t="shared" ca="1" si="14"/>
        <v>3.9458151424140384</v>
      </c>
      <c r="G61" s="23">
        <f t="shared" ca="1" si="15"/>
        <v>5347.5177179801294</v>
      </c>
      <c r="I61" s="4">
        <v>54</v>
      </c>
      <c r="K61" s="14">
        <v>6.4213639647755691</v>
      </c>
      <c r="L61" s="10">
        <v>5865.5757755141976</v>
      </c>
      <c r="O61" s="14">
        <v>7.115606128306605</v>
      </c>
      <c r="P61" s="10">
        <v>10075.953214965921</v>
      </c>
      <c r="R61" s="19">
        <f t="shared" si="4"/>
        <v>0.69424216353103585</v>
      </c>
      <c r="S61" s="23">
        <f t="shared" si="5"/>
        <v>4210.3774394517231</v>
      </c>
      <c r="U61" s="23">
        <f t="shared" si="6"/>
        <v>6064.7100689433992</v>
      </c>
      <c r="AA61" s="18">
        <f t="shared" si="7"/>
        <v>1</v>
      </c>
      <c r="AF61" s="23">
        <f t="shared" si="8"/>
        <v>30501.730737100072</v>
      </c>
      <c r="AI61" s="16"/>
      <c r="AJ61" s="17"/>
      <c r="AL61" s="18">
        <f t="shared" si="9"/>
        <v>1</v>
      </c>
    </row>
    <row r="62" spans="1:38" x14ac:dyDescent="0.2">
      <c r="A62" s="18">
        <f t="shared" ca="1" si="10"/>
        <v>70</v>
      </c>
      <c r="B62" s="24">
        <f t="shared" ca="1" si="12"/>
        <v>5.0987030855427982</v>
      </c>
      <c r="C62" s="23">
        <f t="shared" ca="1" si="13"/>
        <v>3069.3455650077635</v>
      </c>
      <c r="E62" s="18">
        <f t="shared" ca="1" si="11"/>
        <v>109</v>
      </c>
      <c r="F62" s="24">
        <f t="shared" ca="1" si="14"/>
        <v>9.6472873740787062</v>
      </c>
      <c r="G62" s="23">
        <f t="shared" ca="1" si="15"/>
        <v>13825.65313678408</v>
      </c>
      <c r="I62" s="4">
        <v>55</v>
      </c>
      <c r="K62" s="14">
        <v>6.3239503856800177</v>
      </c>
      <c r="L62" s="10">
        <v>5980.3786232838684</v>
      </c>
      <c r="O62" s="14">
        <v>7.5082170113771971</v>
      </c>
      <c r="P62" s="10">
        <v>10395.085085072355</v>
      </c>
      <c r="R62" s="19">
        <f t="shared" si="4"/>
        <v>1.1842666256971794</v>
      </c>
      <c r="S62" s="23">
        <f t="shared" si="5"/>
        <v>4414.7064617884862</v>
      </c>
      <c r="U62" s="23">
        <f t="shared" si="6"/>
        <v>3727.7977492522364</v>
      </c>
      <c r="AA62" s="18">
        <f t="shared" si="7"/>
        <v>1</v>
      </c>
      <c r="AF62" s="23">
        <f t="shared" si="8"/>
        <v>54798.62482307048</v>
      </c>
      <c r="AI62" s="16"/>
      <c r="AJ62" s="17"/>
      <c r="AL62" s="18">
        <f t="shared" si="9"/>
        <v>1</v>
      </c>
    </row>
    <row r="63" spans="1:38" x14ac:dyDescent="0.2">
      <c r="A63" s="18">
        <f t="shared" ca="1" si="10"/>
        <v>60</v>
      </c>
      <c r="B63" s="24">
        <f t="shared" ca="1" si="12"/>
        <v>8.556658275049541</v>
      </c>
      <c r="C63" s="23">
        <f t="shared" ca="1" si="13"/>
        <v>5474.3029521704211</v>
      </c>
      <c r="E63" s="18">
        <f t="shared" ca="1" si="11"/>
        <v>145</v>
      </c>
      <c r="F63" s="24">
        <f t="shared" ca="1" si="14"/>
        <v>7.2615433229172321</v>
      </c>
      <c r="G63" s="23">
        <f t="shared" ca="1" si="15"/>
        <v>9557.0197498230445</v>
      </c>
      <c r="I63" s="4">
        <v>56</v>
      </c>
      <c r="K63" s="14">
        <v>7.3279286660809069</v>
      </c>
      <c r="L63" s="10">
        <v>6044.4885511526454</v>
      </c>
      <c r="O63" s="14">
        <v>7.3693141870451795</v>
      </c>
      <c r="P63" s="10">
        <v>9910.7924108501356</v>
      </c>
      <c r="R63" s="19">
        <f t="shared" si="4"/>
        <v>4.1385520964272615E-2</v>
      </c>
      <c r="S63" s="23">
        <f t="shared" si="5"/>
        <v>3866.3038596974902</v>
      </c>
      <c r="U63" s="23">
        <f t="shared" si="6"/>
        <v>93421.654955973645</v>
      </c>
      <c r="AA63" s="18">
        <f t="shared" si="7"/>
        <v>0</v>
      </c>
      <c r="AF63" s="23">
        <f t="shared" si="8"/>
        <v>-1797.0278114838593</v>
      </c>
      <c r="AI63" s="16"/>
      <c r="AJ63" s="17"/>
      <c r="AL63" s="18">
        <f t="shared" si="9"/>
        <v>0</v>
      </c>
    </row>
    <row r="64" spans="1:38" x14ac:dyDescent="0.2">
      <c r="A64" s="18">
        <f t="shared" ca="1" si="10"/>
        <v>92</v>
      </c>
      <c r="B64" s="24">
        <f t="shared" ca="1" si="12"/>
        <v>5.3925770713520773</v>
      </c>
      <c r="C64" s="23">
        <f t="shared" ca="1" si="13"/>
        <v>14707.58675871268</v>
      </c>
      <c r="E64" s="18">
        <f t="shared" ca="1" si="11"/>
        <v>196</v>
      </c>
      <c r="F64" s="24">
        <f t="shared" ca="1" si="14"/>
        <v>7.5684831866174864</v>
      </c>
      <c r="G64" s="23">
        <f t="shared" ca="1" si="15"/>
        <v>13351.104313723808</v>
      </c>
      <c r="I64" s="4">
        <v>57</v>
      </c>
      <c r="K64" s="14">
        <v>6.8269375179729197</v>
      </c>
      <c r="L64" s="10">
        <v>7601.9958951590761</v>
      </c>
      <c r="O64" s="14">
        <v>7.315960926563049</v>
      </c>
      <c r="P64" s="10">
        <v>10141.983736205515</v>
      </c>
      <c r="R64" s="19">
        <f t="shared" si="4"/>
        <v>0.48902340859012927</v>
      </c>
      <c r="S64" s="23">
        <f t="shared" si="5"/>
        <v>2539.9878410464389</v>
      </c>
      <c r="U64" s="23">
        <f t="shared" si="6"/>
        <v>5194.0005251881666</v>
      </c>
      <c r="AA64" s="18">
        <f t="shared" si="7"/>
        <v>1</v>
      </c>
      <c r="AF64" s="23">
        <f t="shared" si="8"/>
        <v>21911.182588460026</v>
      </c>
      <c r="AI64" s="16"/>
      <c r="AJ64" s="17"/>
      <c r="AL64" s="18">
        <f t="shared" si="9"/>
        <v>1</v>
      </c>
    </row>
    <row r="65" spans="1:38" x14ac:dyDescent="0.2">
      <c r="A65" s="18">
        <f t="shared" ca="1" si="10"/>
        <v>96</v>
      </c>
      <c r="B65" s="24">
        <f t="shared" ca="1" si="12"/>
        <v>2.8831788314381996</v>
      </c>
      <c r="C65" s="23">
        <f t="shared" ca="1" si="13"/>
        <v>5197.4054467773885</v>
      </c>
      <c r="E65" s="18">
        <f t="shared" ca="1" si="11"/>
        <v>123</v>
      </c>
      <c r="F65" s="24">
        <f t="shared" ca="1" si="14"/>
        <v>4.8447275495681374</v>
      </c>
      <c r="G65" s="23">
        <f t="shared" ca="1" si="15"/>
        <v>12813.828462325819</v>
      </c>
      <c r="I65" s="4">
        <v>58</v>
      </c>
      <c r="K65" s="14">
        <v>6.0826479785838208</v>
      </c>
      <c r="L65" s="10">
        <v>6038.3896058578312</v>
      </c>
      <c r="O65" s="14">
        <v>7.4961569035320421</v>
      </c>
      <c r="P65" s="10">
        <v>9784.4188249155904</v>
      </c>
      <c r="R65" s="19">
        <f t="shared" si="4"/>
        <v>1.4135089249482213</v>
      </c>
      <c r="S65" s="23">
        <f t="shared" si="5"/>
        <v>3746.0292190577593</v>
      </c>
      <c r="U65" s="23">
        <f t="shared" si="6"/>
        <v>2650.1631174313111</v>
      </c>
      <c r="AA65" s="18">
        <f t="shared" si="7"/>
        <v>1</v>
      </c>
      <c r="AF65" s="23">
        <f t="shared" si="8"/>
        <v>66929.417028353302</v>
      </c>
      <c r="AI65" s="16"/>
      <c r="AJ65" s="17"/>
      <c r="AL65" s="18">
        <f t="shared" si="9"/>
        <v>1</v>
      </c>
    </row>
    <row r="66" spans="1:38" x14ac:dyDescent="0.2">
      <c r="A66" s="18">
        <f t="shared" ca="1" si="10"/>
        <v>34</v>
      </c>
      <c r="B66" s="24">
        <f t="shared" ca="1" si="12"/>
        <v>6.4271455137348639</v>
      </c>
      <c r="C66" s="23">
        <f t="shared" ca="1" si="13"/>
        <v>6911.3667119870233</v>
      </c>
      <c r="E66" s="18">
        <f t="shared" ca="1" si="11"/>
        <v>184</v>
      </c>
      <c r="F66" s="24">
        <f t="shared" ca="1" si="14"/>
        <v>13.746491650811786</v>
      </c>
      <c r="G66" s="23">
        <f t="shared" ca="1" si="15"/>
        <v>14159.687276564517</v>
      </c>
      <c r="I66" s="4">
        <v>59</v>
      </c>
      <c r="K66" s="14">
        <v>6.0899741787624002</v>
      </c>
      <c r="L66" s="10">
        <v>7795.8597833099311</v>
      </c>
      <c r="O66" s="14">
        <v>6.8985110862677512</v>
      </c>
      <c r="P66" s="10">
        <v>9241.7139752298135</v>
      </c>
      <c r="R66" s="19">
        <f t="shared" si="4"/>
        <v>0.80853690750535101</v>
      </c>
      <c r="S66" s="23">
        <f t="shared" si="5"/>
        <v>1445.8541919198824</v>
      </c>
      <c r="U66" s="23">
        <f t="shared" si="6"/>
        <v>1788.2352413335116</v>
      </c>
      <c r="AA66" s="18">
        <f t="shared" si="7"/>
        <v>1</v>
      </c>
      <c r="AF66" s="23">
        <f t="shared" si="8"/>
        <v>38980.991183347665</v>
      </c>
      <c r="AI66" s="16"/>
      <c r="AJ66" s="17"/>
      <c r="AL66" s="18">
        <f t="shared" si="9"/>
        <v>1</v>
      </c>
    </row>
    <row r="67" spans="1:38" x14ac:dyDescent="0.2">
      <c r="A67" s="18">
        <f t="shared" ca="1" si="10"/>
        <v>81</v>
      </c>
      <c r="B67" s="24">
        <f t="shared" ca="1" si="12"/>
        <v>10.672960849566044</v>
      </c>
      <c r="C67" s="23">
        <f t="shared" ca="1" si="13"/>
        <v>9763.9967311552518</v>
      </c>
      <c r="E67" s="18">
        <f t="shared" ca="1" si="11"/>
        <v>146</v>
      </c>
      <c r="F67" s="24">
        <f t="shared" ca="1" si="14"/>
        <v>6.0660305798288423</v>
      </c>
      <c r="G67" s="23">
        <f t="shared" ca="1" si="15"/>
        <v>5980.894830754145</v>
      </c>
      <c r="I67" s="4">
        <v>60</v>
      </c>
      <c r="K67" s="14">
        <v>6.0869422727144418</v>
      </c>
      <c r="L67" s="10">
        <v>7021.1401583741563</v>
      </c>
      <c r="O67" s="14">
        <v>7.6546691847856332</v>
      </c>
      <c r="P67" s="10">
        <v>9894.4568141049876</v>
      </c>
      <c r="R67" s="19">
        <f t="shared" si="4"/>
        <v>1.5677269120711914</v>
      </c>
      <c r="S67" s="23">
        <f t="shared" si="5"/>
        <v>2873.3166557308314</v>
      </c>
      <c r="U67" s="23">
        <f t="shared" si="6"/>
        <v>1832.7915618510174</v>
      </c>
      <c r="AA67" s="18">
        <f t="shared" si="7"/>
        <v>1</v>
      </c>
      <c r="AF67" s="23">
        <f t="shared" si="8"/>
        <v>75513.028947828745</v>
      </c>
      <c r="AI67" s="16"/>
      <c r="AJ67" s="17"/>
      <c r="AL67" s="18">
        <f t="shared" si="9"/>
        <v>1</v>
      </c>
    </row>
    <row r="68" spans="1:38" x14ac:dyDescent="0.2">
      <c r="A68" s="18">
        <f t="shared" ca="1" si="10"/>
        <v>50</v>
      </c>
      <c r="B68" s="24">
        <f t="shared" ca="1" si="12"/>
        <v>7.1365385198688571</v>
      </c>
      <c r="C68" s="23">
        <f t="shared" ca="1" si="13"/>
        <v>5198.5565806135983</v>
      </c>
      <c r="E68" s="18">
        <f t="shared" ca="1" si="11"/>
        <v>192</v>
      </c>
      <c r="F68" s="24">
        <f t="shared" ca="1" si="14"/>
        <v>5.475083985294809</v>
      </c>
      <c r="G68" s="23">
        <f t="shared" ca="1" si="15"/>
        <v>6326.3809850316402</v>
      </c>
      <c r="I68" s="4">
        <v>61</v>
      </c>
      <c r="K68" s="14">
        <v>6.4143666560910413</v>
      </c>
      <c r="L68" s="10">
        <v>7134.4648190784474</v>
      </c>
      <c r="O68" s="14">
        <v>7.3492286392962676</v>
      </c>
      <c r="P68" s="10">
        <v>9530.5587084392082</v>
      </c>
      <c r="R68" s="19">
        <f t="shared" si="4"/>
        <v>0.93486198320522629</v>
      </c>
      <c r="S68" s="23">
        <f t="shared" si="5"/>
        <v>2396.0938893607608</v>
      </c>
      <c r="U68" s="23">
        <f t="shared" si="6"/>
        <v>2563.0455964693524</v>
      </c>
      <c r="AA68" s="18">
        <f t="shared" si="7"/>
        <v>1</v>
      </c>
      <c r="AF68" s="23">
        <f t="shared" si="8"/>
        <v>44347.005270900554</v>
      </c>
      <c r="AI68" s="16"/>
      <c r="AJ68" s="17"/>
      <c r="AL68" s="18">
        <f t="shared" si="9"/>
        <v>1</v>
      </c>
    </row>
    <row r="69" spans="1:38" x14ac:dyDescent="0.2">
      <c r="A69" s="18">
        <f t="shared" ca="1" si="10"/>
        <v>41</v>
      </c>
      <c r="B69" s="24">
        <f t="shared" ca="1" si="12"/>
        <v>7.9411881104487101</v>
      </c>
      <c r="C69" s="23">
        <f t="shared" ca="1" si="13"/>
        <v>14326.88676069452</v>
      </c>
      <c r="E69" s="18">
        <f t="shared" ca="1" si="11"/>
        <v>122</v>
      </c>
      <c r="F69" s="24">
        <f t="shared" ca="1" si="14"/>
        <v>1.5514953192979193</v>
      </c>
      <c r="G69" s="23">
        <f t="shared" ca="1" si="15"/>
        <v>9871.2068825291681</v>
      </c>
      <c r="I69" s="4">
        <v>62</v>
      </c>
      <c r="K69" s="14">
        <v>6.1035606960664506</v>
      </c>
      <c r="L69" s="10">
        <v>6727.0987257976303</v>
      </c>
      <c r="O69" s="14">
        <v>6.6997492474645286</v>
      </c>
      <c r="P69" s="10">
        <v>9356.0935537071255</v>
      </c>
      <c r="R69" s="19">
        <f t="shared" si="4"/>
        <v>0.59618855139807803</v>
      </c>
      <c r="S69" s="23">
        <f t="shared" si="5"/>
        <v>2628.9948279094951</v>
      </c>
      <c r="U69" s="23">
        <f t="shared" si="6"/>
        <v>4409.6700980661781</v>
      </c>
      <c r="AA69" s="18">
        <f t="shared" si="7"/>
        <v>1</v>
      </c>
      <c r="AF69" s="23">
        <f t="shared" si="8"/>
        <v>27180.432741994409</v>
      </c>
      <c r="AL69" s="18">
        <f t="shared" si="9"/>
        <v>1</v>
      </c>
    </row>
    <row r="70" spans="1:38" x14ac:dyDescent="0.2">
      <c r="A70" s="18">
        <f t="shared" ca="1" si="10"/>
        <v>63</v>
      </c>
      <c r="B70" s="24">
        <f t="shared" ca="1" si="12"/>
        <v>5.9127506213803507</v>
      </c>
      <c r="C70" s="23">
        <f t="shared" ca="1" si="13"/>
        <v>5913.8960900245584</v>
      </c>
      <c r="E70" s="18">
        <f t="shared" ca="1" si="11"/>
        <v>154</v>
      </c>
      <c r="F70" s="24">
        <f t="shared" ca="1" si="14"/>
        <v>14.352477681135197</v>
      </c>
      <c r="G70" s="23">
        <f t="shared" ca="1" si="15"/>
        <v>14355.009331620193</v>
      </c>
      <c r="I70" s="4">
        <v>63</v>
      </c>
      <c r="K70" s="14">
        <v>6.9840465836017094</v>
      </c>
      <c r="L70" s="10">
        <v>6946.9702303912773</v>
      </c>
      <c r="O70" s="14">
        <v>6.9141615274296093</v>
      </c>
      <c r="P70" s="10">
        <v>9229.9162457203893</v>
      </c>
      <c r="R70" s="19">
        <f t="shared" si="4"/>
        <v>-6.9885056172100057E-2</v>
      </c>
      <c r="S70" s="23">
        <f t="shared" si="5"/>
        <v>2282.946015329112</v>
      </c>
      <c r="U70" s="23">
        <f t="shared" si="6"/>
        <v>-32667.155760840953</v>
      </c>
      <c r="AA70" s="18">
        <f t="shared" si="7"/>
        <v>0</v>
      </c>
      <c r="AF70" s="23">
        <f t="shared" si="8"/>
        <v>-5777.1988239341154</v>
      </c>
      <c r="AL70" s="18">
        <f t="shared" si="9"/>
        <v>0</v>
      </c>
    </row>
    <row r="71" spans="1:38" x14ac:dyDescent="0.2">
      <c r="A71" s="18">
        <f t="shared" ca="1" si="10"/>
        <v>20</v>
      </c>
      <c r="B71" s="24">
        <f t="shared" ca="1" si="12"/>
        <v>9.5915602530958797</v>
      </c>
      <c r="C71" s="23">
        <f t="shared" ca="1" si="13"/>
        <v>5646.9808024567637</v>
      </c>
      <c r="E71" s="18">
        <f t="shared" ca="1" si="11"/>
        <v>119</v>
      </c>
      <c r="F71" s="24">
        <f t="shared" ca="1" si="14"/>
        <v>13.630870919775116</v>
      </c>
      <c r="G71" s="23">
        <f t="shared" ca="1" si="15"/>
        <v>17970.13463327743</v>
      </c>
      <c r="I71" s="4">
        <v>64</v>
      </c>
      <c r="K71" s="14">
        <v>6.434212905935353</v>
      </c>
      <c r="L71" s="10">
        <v>6224.5859886094458</v>
      </c>
      <c r="O71" s="14">
        <v>6.8241134605446812</v>
      </c>
      <c r="P71" s="10">
        <v>9174.6023359520968</v>
      </c>
      <c r="R71" s="19">
        <f t="shared" si="4"/>
        <v>0.38990055460932815</v>
      </c>
      <c r="S71" s="23">
        <f t="shared" si="5"/>
        <v>2950.016347342651</v>
      </c>
      <c r="U71" s="23">
        <f t="shared" si="6"/>
        <v>7566.0737397475696</v>
      </c>
      <c r="AA71" s="18">
        <f t="shared" si="7"/>
        <v>1</v>
      </c>
      <c r="AF71" s="23">
        <f t="shared" si="8"/>
        <v>16545.011383123758</v>
      </c>
      <c r="AL71" s="18">
        <f t="shared" si="9"/>
        <v>1</v>
      </c>
    </row>
    <row r="72" spans="1:38" x14ac:dyDescent="0.2">
      <c r="A72" s="18">
        <f t="shared" ca="1" si="10"/>
        <v>1</v>
      </c>
      <c r="B72" s="24">
        <f t="shared" ref="B72:B103" ca="1" si="16">VLOOKUP(A72,control,2,FALSE)</f>
        <v>5.5230222229378008</v>
      </c>
      <c r="C72" s="23">
        <f t="shared" ref="C72:C107" ca="1" si="17">VLOOKUP(A72,control,3,FALSE)</f>
        <v>3641.7574384520349</v>
      </c>
      <c r="E72" s="18">
        <f t="shared" ca="1" si="11"/>
        <v>184</v>
      </c>
      <c r="F72" s="24">
        <f t="shared" ref="F72:F103" ca="1" si="18">VLOOKUP(E72,treatment,2,FALSE)</f>
        <v>13.746491650811786</v>
      </c>
      <c r="G72" s="23">
        <f t="shared" ref="G72:G107" ca="1" si="19">VLOOKUP(E72,treatment,3,FALSE)</f>
        <v>14159.687276564517</v>
      </c>
      <c r="I72" s="4">
        <v>65</v>
      </c>
      <c r="K72" s="14">
        <v>7.1873388267380065</v>
      </c>
      <c r="L72" s="10">
        <v>7240.068431808103</v>
      </c>
      <c r="O72" s="14">
        <v>7.4738205143432834</v>
      </c>
      <c r="P72" s="10">
        <v>9634.3160549634831</v>
      </c>
      <c r="R72" s="19">
        <f t="shared" ref="R72:R135" si="20">O72-K72</f>
        <v>0.28648168760527692</v>
      </c>
      <c r="S72" s="23">
        <f t="shared" ref="S72:S135" si="21">P72-L72</f>
        <v>2394.2476231553801</v>
      </c>
      <c r="U72" s="23">
        <f t="shared" ref="U72:U135" si="22">S72/R72</f>
        <v>8357.4194328757458</v>
      </c>
      <c r="AA72" s="18">
        <f t="shared" ref="AA72:AA135" si="23">IF(R72&lt;0,IF(U72&lt;Rc_,0,1),IF(U72&lt;Rc_,1,0))</f>
        <v>1</v>
      </c>
      <c r="AF72" s="23">
        <f t="shared" ref="AF72:AF135" si="24">R72*Rc_-S72</f>
        <v>11929.836757108467</v>
      </c>
      <c r="AL72" s="18">
        <f t="shared" ref="AL72:AL135" si="25">IF(AF72&gt;0,1,0)</f>
        <v>1</v>
      </c>
    </row>
    <row r="73" spans="1:38" x14ac:dyDescent="0.2">
      <c r="A73" s="18">
        <f t="shared" ref="A73:A107" ca="1" si="26">INT(RAND()*100)+1</f>
        <v>75</v>
      </c>
      <c r="B73" s="24">
        <f t="shared" ca="1" si="16"/>
        <v>5.7277818048669413</v>
      </c>
      <c r="C73" s="23">
        <f t="shared" ca="1" si="17"/>
        <v>3356.8887545489042</v>
      </c>
      <c r="E73" s="18">
        <f t="shared" ref="E73:E107" ca="1" si="27">INT(RAND()*100)+101</f>
        <v>118</v>
      </c>
      <c r="F73" s="24">
        <f t="shared" ca="1" si="18"/>
        <v>9.0286165711156023</v>
      </c>
      <c r="G73" s="23">
        <f t="shared" ca="1" si="19"/>
        <v>15933.189685440435</v>
      </c>
      <c r="I73" s="4">
        <v>66</v>
      </c>
      <c r="K73" s="14">
        <v>6.1193384087651941</v>
      </c>
      <c r="L73" s="10">
        <v>6066.757161343603</v>
      </c>
      <c r="O73" s="14">
        <v>6.8836277659245244</v>
      </c>
      <c r="P73" s="10">
        <v>9233.6872553380272</v>
      </c>
      <c r="R73" s="19">
        <f t="shared" si="20"/>
        <v>0.76428935715933033</v>
      </c>
      <c r="S73" s="23">
        <f t="shared" si="21"/>
        <v>3166.9300939944242</v>
      </c>
      <c r="U73" s="23">
        <f t="shared" si="22"/>
        <v>4143.6271018676753</v>
      </c>
      <c r="AA73" s="18">
        <f t="shared" si="23"/>
        <v>1</v>
      </c>
      <c r="AF73" s="23">
        <f t="shared" si="24"/>
        <v>35047.537763972097</v>
      </c>
      <c r="AL73" s="18">
        <f t="shared" si="25"/>
        <v>1</v>
      </c>
    </row>
    <row r="74" spans="1:38" x14ac:dyDescent="0.2">
      <c r="A74" s="18">
        <f t="shared" ca="1" si="26"/>
        <v>9</v>
      </c>
      <c r="B74" s="24">
        <f t="shared" ca="1" si="16"/>
        <v>11.711420822686083</v>
      </c>
      <c r="C74" s="23">
        <f t="shared" ca="1" si="17"/>
        <v>6014.4187771436564</v>
      </c>
      <c r="E74" s="18">
        <f t="shared" ca="1" si="27"/>
        <v>160</v>
      </c>
      <c r="F74" s="24">
        <f t="shared" ca="1" si="18"/>
        <v>4.9599054994955765</v>
      </c>
      <c r="G74" s="23">
        <f t="shared" ca="1" si="19"/>
        <v>8413.9772192203091</v>
      </c>
      <c r="I74" s="4">
        <v>67</v>
      </c>
      <c r="K74" s="14">
        <v>6.6108882496040406</v>
      </c>
      <c r="L74" s="10">
        <v>6427.627584390767</v>
      </c>
      <c r="O74" s="14">
        <v>7.0000120673884005</v>
      </c>
      <c r="P74" s="10">
        <v>9582.3481725609836</v>
      </c>
      <c r="R74" s="19">
        <f t="shared" si="20"/>
        <v>0.38912381778435989</v>
      </c>
      <c r="S74" s="23">
        <f t="shared" si="21"/>
        <v>3154.7205881702166</v>
      </c>
      <c r="U74" s="23">
        <f t="shared" si="22"/>
        <v>8107.2410476771765</v>
      </c>
      <c r="AA74" s="18">
        <f t="shared" si="23"/>
        <v>1</v>
      </c>
      <c r="AF74" s="23">
        <f t="shared" si="24"/>
        <v>16301.470301047779</v>
      </c>
      <c r="AL74" s="18">
        <f t="shared" si="25"/>
        <v>1</v>
      </c>
    </row>
    <row r="75" spans="1:38" x14ac:dyDescent="0.2">
      <c r="A75" s="18">
        <f t="shared" ca="1" si="26"/>
        <v>48</v>
      </c>
      <c r="B75" s="24">
        <f t="shared" ca="1" si="16"/>
        <v>9.4943707713147845</v>
      </c>
      <c r="C75" s="23">
        <f t="shared" ca="1" si="17"/>
        <v>5666.3726412140259</v>
      </c>
      <c r="E75" s="18">
        <f t="shared" ca="1" si="27"/>
        <v>190</v>
      </c>
      <c r="F75" s="24">
        <f t="shared" ca="1" si="18"/>
        <v>7.2824680559788755</v>
      </c>
      <c r="G75" s="23">
        <f t="shared" ca="1" si="19"/>
        <v>7263.2445755410354</v>
      </c>
      <c r="I75" s="4">
        <v>68</v>
      </c>
      <c r="K75" s="14">
        <v>6.8678879181268009</v>
      </c>
      <c r="L75" s="10">
        <v>7622.9139644494599</v>
      </c>
      <c r="O75" s="14">
        <v>7.2929519961445397</v>
      </c>
      <c r="P75" s="10">
        <v>9592.9235178204071</v>
      </c>
      <c r="R75" s="19">
        <f t="shared" si="20"/>
        <v>0.42506407801773882</v>
      </c>
      <c r="S75" s="23">
        <f t="shared" si="21"/>
        <v>1970.0095533709473</v>
      </c>
      <c r="U75" s="23">
        <f t="shared" si="22"/>
        <v>4634.6178264650598</v>
      </c>
      <c r="AA75" s="18">
        <f t="shared" si="23"/>
        <v>1</v>
      </c>
      <c r="AF75" s="23">
        <f t="shared" si="24"/>
        <v>19283.194347515993</v>
      </c>
      <c r="AL75" s="18">
        <f t="shared" si="25"/>
        <v>1</v>
      </c>
    </row>
    <row r="76" spans="1:38" x14ac:dyDescent="0.2">
      <c r="A76" s="18">
        <f t="shared" ca="1" si="26"/>
        <v>46</v>
      </c>
      <c r="B76" s="24">
        <f t="shared" ca="1" si="16"/>
        <v>0.41333468425225467</v>
      </c>
      <c r="C76" s="23">
        <f t="shared" ca="1" si="17"/>
        <v>2915.8103564257872</v>
      </c>
      <c r="E76" s="18">
        <f t="shared" ca="1" si="27"/>
        <v>170</v>
      </c>
      <c r="F76" s="24">
        <f t="shared" ca="1" si="18"/>
        <v>8.5837698651383771</v>
      </c>
      <c r="G76" s="23">
        <f t="shared" ca="1" si="19"/>
        <v>8227.6748324089549</v>
      </c>
      <c r="I76" s="4">
        <v>69</v>
      </c>
      <c r="K76" s="14">
        <v>6.1176795978540062</v>
      </c>
      <c r="L76" s="10">
        <v>8314.2324802885068</v>
      </c>
      <c r="O76" s="14">
        <v>6.7991331311526153</v>
      </c>
      <c r="P76" s="10">
        <v>9122.8414408065455</v>
      </c>
      <c r="R76" s="19">
        <f t="shared" si="20"/>
        <v>0.68145353329860914</v>
      </c>
      <c r="S76" s="23">
        <f t="shared" si="21"/>
        <v>808.60896051803866</v>
      </c>
      <c r="U76" s="23">
        <f t="shared" si="22"/>
        <v>1186.5944206113768</v>
      </c>
      <c r="AA76" s="18">
        <f t="shared" si="23"/>
        <v>1</v>
      </c>
      <c r="AF76" s="23">
        <f t="shared" si="24"/>
        <v>33264.067704412417</v>
      </c>
      <c r="AL76" s="18">
        <f t="shared" si="25"/>
        <v>1</v>
      </c>
    </row>
    <row r="77" spans="1:38" x14ac:dyDescent="0.2">
      <c r="A77" s="18">
        <f t="shared" ca="1" si="26"/>
        <v>52</v>
      </c>
      <c r="B77" s="24">
        <f t="shared" ca="1" si="16"/>
        <v>7.2130757536574528</v>
      </c>
      <c r="C77" s="23">
        <f t="shared" ca="1" si="17"/>
        <v>3873.6188236322341</v>
      </c>
      <c r="E77" s="18">
        <f t="shared" ca="1" si="27"/>
        <v>140</v>
      </c>
      <c r="F77" s="24">
        <f t="shared" ca="1" si="18"/>
        <v>4.5103596199229772</v>
      </c>
      <c r="G77" s="23">
        <f t="shared" ca="1" si="19"/>
        <v>6376.9405190324496</v>
      </c>
      <c r="I77" s="4">
        <v>70</v>
      </c>
      <c r="K77" s="14">
        <v>6.5592835100535236</v>
      </c>
      <c r="L77" s="10">
        <v>7037.8834640315245</v>
      </c>
      <c r="O77" s="14">
        <v>7.2615272451082182</v>
      </c>
      <c r="P77" s="10">
        <v>10058.279317897312</v>
      </c>
      <c r="R77" s="19">
        <f t="shared" si="20"/>
        <v>0.70224373505469462</v>
      </c>
      <c r="S77" s="23">
        <f t="shared" si="21"/>
        <v>3020.3958538657871</v>
      </c>
      <c r="U77" s="23">
        <f t="shared" si="22"/>
        <v>4301.0648626584643</v>
      </c>
      <c r="AA77" s="18">
        <f t="shared" si="23"/>
        <v>1</v>
      </c>
      <c r="AF77" s="23">
        <f t="shared" si="24"/>
        <v>32091.790898868941</v>
      </c>
      <c r="AL77" s="18">
        <f t="shared" si="25"/>
        <v>1</v>
      </c>
    </row>
    <row r="78" spans="1:38" x14ac:dyDescent="0.2">
      <c r="A78" s="18">
        <f t="shared" ca="1" si="26"/>
        <v>75</v>
      </c>
      <c r="B78" s="24">
        <f t="shared" ca="1" si="16"/>
        <v>5.7277818048669413</v>
      </c>
      <c r="C78" s="23">
        <f t="shared" ca="1" si="17"/>
        <v>3356.8887545489042</v>
      </c>
      <c r="E78" s="18">
        <f t="shared" ca="1" si="27"/>
        <v>193</v>
      </c>
      <c r="F78" s="24">
        <f t="shared" ca="1" si="18"/>
        <v>6.3415313611741908</v>
      </c>
      <c r="G78" s="23">
        <f t="shared" ca="1" si="19"/>
        <v>8331.847268803027</v>
      </c>
      <c r="I78" s="4">
        <v>71</v>
      </c>
      <c r="K78" s="14">
        <v>6.4943107998913652</v>
      </c>
      <c r="L78" s="10">
        <v>7143.3068886156298</v>
      </c>
      <c r="O78" s="14">
        <v>7.6664074810023166</v>
      </c>
      <c r="P78" s="10">
        <v>10055.775792215229</v>
      </c>
      <c r="R78" s="19">
        <f t="shared" si="20"/>
        <v>1.1720966811109514</v>
      </c>
      <c r="S78" s="23">
        <f t="shared" si="21"/>
        <v>2912.4689035995989</v>
      </c>
      <c r="U78" s="23">
        <f t="shared" si="22"/>
        <v>2484.8367464355124</v>
      </c>
      <c r="AA78" s="18">
        <f t="shared" si="23"/>
        <v>1</v>
      </c>
      <c r="AF78" s="23">
        <f t="shared" si="24"/>
        <v>55692.365151947975</v>
      </c>
      <c r="AL78" s="18">
        <f t="shared" si="25"/>
        <v>1</v>
      </c>
    </row>
    <row r="79" spans="1:38" x14ac:dyDescent="0.2">
      <c r="A79" s="18">
        <f t="shared" ca="1" si="26"/>
        <v>21</v>
      </c>
      <c r="B79" s="24">
        <f t="shared" ca="1" si="16"/>
        <v>0.28730140064589299</v>
      </c>
      <c r="C79" s="23">
        <f t="shared" ca="1" si="17"/>
        <v>5738.2983934390068</v>
      </c>
      <c r="E79" s="18">
        <f t="shared" ca="1" si="27"/>
        <v>152</v>
      </c>
      <c r="F79" s="24">
        <f t="shared" ca="1" si="18"/>
        <v>6.6291311419083945</v>
      </c>
      <c r="G79" s="23">
        <f t="shared" ca="1" si="19"/>
        <v>7874.3463358184927</v>
      </c>
      <c r="I79" s="4">
        <v>72</v>
      </c>
      <c r="K79" s="14">
        <v>6.3607740492014102</v>
      </c>
      <c r="L79" s="10">
        <v>6196.3951220290828</v>
      </c>
      <c r="O79" s="14">
        <v>7.1887314593367675</v>
      </c>
      <c r="P79" s="10">
        <v>10111.734562670341</v>
      </c>
      <c r="R79" s="19">
        <f t="shared" si="20"/>
        <v>0.82795741013535729</v>
      </c>
      <c r="S79" s="23">
        <f t="shared" si="21"/>
        <v>3915.3394406412581</v>
      </c>
      <c r="U79" s="23">
        <f t="shared" si="22"/>
        <v>4728.9140633467669</v>
      </c>
      <c r="AA79" s="18">
        <f t="shared" si="23"/>
        <v>1</v>
      </c>
      <c r="AF79" s="23">
        <f t="shared" si="24"/>
        <v>37482.531066126612</v>
      </c>
      <c r="AL79" s="18">
        <f t="shared" si="25"/>
        <v>1</v>
      </c>
    </row>
    <row r="80" spans="1:38" x14ac:dyDescent="0.2">
      <c r="A80" s="18">
        <f t="shared" ca="1" si="26"/>
        <v>11</v>
      </c>
      <c r="B80" s="24">
        <f t="shared" ca="1" si="16"/>
        <v>4.8890164803129901</v>
      </c>
      <c r="C80" s="23">
        <f t="shared" ca="1" si="17"/>
        <v>3230.1907857596816</v>
      </c>
      <c r="E80" s="18">
        <f t="shared" ca="1" si="27"/>
        <v>194</v>
      </c>
      <c r="F80" s="24">
        <f t="shared" ca="1" si="18"/>
        <v>5.6876624527104056</v>
      </c>
      <c r="G80" s="23">
        <f t="shared" ca="1" si="19"/>
        <v>6866.5153594941958</v>
      </c>
      <c r="I80" s="4">
        <v>73</v>
      </c>
      <c r="K80" s="14">
        <v>6.1355756613682146</v>
      </c>
      <c r="L80" s="10">
        <v>8160.3022126565211</v>
      </c>
      <c r="O80" s="14">
        <v>6.8290728565861025</v>
      </c>
      <c r="P80" s="10">
        <v>9901.7609512966355</v>
      </c>
      <c r="R80" s="19">
        <f t="shared" si="20"/>
        <v>0.69349719521788789</v>
      </c>
      <c r="S80" s="23">
        <f t="shared" si="21"/>
        <v>1741.4587386401145</v>
      </c>
      <c r="U80" s="23">
        <f t="shared" si="22"/>
        <v>2511.1258569589031</v>
      </c>
      <c r="AA80" s="18">
        <f t="shared" si="23"/>
        <v>1</v>
      </c>
      <c r="AF80" s="23">
        <f t="shared" si="24"/>
        <v>32933.401022254286</v>
      </c>
      <c r="AL80" s="18">
        <f t="shared" si="25"/>
        <v>1</v>
      </c>
    </row>
    <row r="81" spans="1:38" x14ac:dyDescent="0.2">
      <c r="A81" s="18">
        <f t="shared" ca="1" si="26"/>
        <v>32</v>
      </c>
      <c r="B81" s="24">
        <f t="shared" ca="1" si="16"/>
        <v>2.0781199271286472</v>
      </c>
      <c r="C81" s="23">
        <f t="shared" ca="1" si="17"/>
        <v>1198.1531341399686</v>
      </c>
      <c r="E81" s="18">
        <f t="shared" ca="1" si="27"/>
        <v>146</v>
      </c>
      <c r="F81" s="24">
        <f t="shared" ca="1" si="18"/>
        <v>6.0660305798288423</v>
      </c>
      <c r="G81" s="23">
        <f t="shared" ca="1" si="19"/>
        <v>5980.894830754145</v>
      </c>
      <c r="I81" s="4">
        <v>74</v>
      </c>
      <c r="K81" s="14">
        <v>6.1418243055658017</v>
      </c>
      <c r="L81" s="10">
        <v>7079.4494399686364</v>
      </c>
      <c r="O81" s="14">
        <v>7.7188873141432701</v>
      </c>
      <c r="P81" s="10">
        <v>10618.533360140093</v>
      </c>
      <c r="R81" s="19">
        <f t="shared" si="20"/>
        <v>1.5770630085774684</v>
      </c>
      <c r="S81" s="23">
        <f t="shared" si="21"/>
        <v>3539.0839201714562</v>
      </c>
      <c r="U81" s="23">
        <f t="shared" si="22"/>
        <v>2244.0979852566302</v>
      </c>
      <c r="AA81" s="18">
        <f t="shared" si="23"/>
        <v>1</v>
      </c>
      <c r="AF81" s="23">
        <f t="shared" si="24"/>
        <v>75314.066508701959</v>
      </c>
      <c r="AL81" s="18">
        <f t="shared" si="25"/>
        <v>1</v>
      </c>
    </row>
    <row r="82" spans="1:38" x14ac:dyDescent="0.2">
      <c r="A82" s="18">
        <f t="shared" ca="1" si="26"/>
        <v>49</v>
      </c>
      <c r="B82" s="24">
        <f t="shared" ca="1" si="16"/>
        <v>0.6142652573618721</v>
      </c>
      <c r="C82" s="23">
        <f t="shared" ca="1" si="17"/>
        <v>347.93008219028383</v>
      </c>
      <c r="E82" s="18">
        <f t="shared" ca="1" si="27"/>
        <v>144</v>
      </c>
      <c r="F82" s="24">
        <f t="shared" ca="1" si="18"/>
        <v>7.8859323315056349</v>
      </c>
      <c r="G82" s="23">
        <f t="shared" ca="1" si="19"/>
        <v>12466.149879986684</v>
      </c>
      <c r="I82" s="4">
        <v>75</v>
      </c>
      <c r="K82" s="14">
        <v>6.501940256211757</v>
      </c>
      <c r="L82" s="10">
        <v>9672.3908909093316</v>
      </c>
      <c r="O82" s="14">
        <v>6.9678137731318053</v>
      </c>
      <c r="P82" s="10">
        <v>9266.8905746313994</v>
      </c>
      <c r="R82" s="19">
        <f t="shared" si="20"/>
        <v>0.4658735169200483</v>
      </c>
      <c r="S82" s="23">
        <f t="shared" si="21"/>
        <v>-405.50031627793214</v>
      </c>
      <c r="U82" s="23">
        <f t="shared" si="22"/>
        <v>-870.40860137049344</v>
      </c>
      <c r="AA82" s="18">
        <f t="shared" si="23"/>
        <v>1</v>
      </c>
      <c r="AF82" s="23">
        <f t="shared" si="24"/>
        <v>23699.176162280346</v>
      </c>
      <c r="AL82" s="18">
        <f t="shared" si="25"/>
        <v>1</v>
      </c>
    </row>
    <row r="83" spans="1:38" x14ac:dyDescent="0.2">
      <c r="A83" s="18">
        <f t="shared" ca="1" si="26"/>
        <v>43</v>
      </c>
      <c r="B83" s="24">
        <f t="shared" ca="1" si="16"/>
        <v>3.5947629533543473</v>
      </c>
      <c r="C83" s="23">
        <f t="shared" ca="1" si="17"/>
        <v>2863.2315321034957</v>
      </c>
      <c r="E83" s="18">
        <f t="shared" ca="1" si="27"/>
        <v>137</v>
      </c>
      <c r="F83" s="24">
        <f t="shared" ca="1" si="18"/>
        <v>0.82936118236748424</v>
      </c>
      <c r="G83" s="23">
        <f t="shared" ca="1" si="19"/>
        <v>3030.4287878664127</v>
      </c>
      <c r="I83" s="4">
        <v>76</v>
      </c>
      <c r="K83" s="14">
        <v>6.6821378963858091</v>
      </c>
      <c r="L83" s="10">
        <v>8582.1189907241042</v>
      </c>
      <c r="O83" s="14">
        <v>7.4785014443214752</v>
      </c>
      <c r="P83" s="10">
        <v>10491.462532416816</v>
      </c>
      <c r="R83" s="19">
        <f t="shared" si="20"/>
        <v>0.79636354793566611</v>
      </c>
      <c r="S83" s="23">
        <f t="shared" si="21"/>
        <v>1909.3435416927114</v>
      </c>
      <c r="U83" s="23">
        <f t="shared" si="22"/>
        <v>2397.5777729180504</v>
      </c>
      <c r="AA83" s="18">
        <f t="shared" si="23"/>
        <v>1</v>
      </c>
      <c r="AF83" s="23">
        <f t="shared" si="24"/>
        <v>37908.833855090597</v>
      </c>
      <c r="AL83" s="18">
        <f t="shared" si="25"/>
        <v>1</v>
      </c>
    </row>
    <row r="84" spans="1:38" x14ac:dyDescent="0.2">
      <c r="A84" s="18">
        <f t="shared" ca="1" si="26"/>
        <v>4</v>
      </c>
      <c r="B84" s="24">
        <f t="shared" ca="1" si="16"/>
        <v>9.5786366212729313</v>
      </c>
      <c r="C84" s="23">
        <f t="shared" ca="1" si="17"/>
        <v>7900.4873298371031</v>
      </c>
      <c r="E84" s="18">
        <f t="shared" ca="1" si="27"/>
        <v>131</v>
      </c>
      <c r="F84" s="24">
        <f t="shared" ca="1" si="18"/>
        <v>5.7788967061002046</v>
      </c>
      <c r="G84" s="23">
        <f t="shared" ca="1" si="19"/>
        <v>9044.4459153021289</v>
      </c>
      <c r="I84" s="4">
        <v>77</v>
      </c>
      <c r="K84" s="14">
        <v>6.2944170300074793</v>
      </c>
      <c r="L84" s="10">
        <v>7483.7542385070647</v>
      </c>
      <c r="O84" s="14">
        <v>7.4356830006823493</v>
      </c>
      <c r="P84" s="10">
        <v>10502.864370664058</v>
      </c>
      <c r="R84" s="19">
        <f t="shared" si="20"/>
        <v>1.14126597067487</v>
      </c>
      <c r="S84" s="23">
        <f t="shared" si="21"/>
        <v>3019.1101321569931</v>
      </c>
      <c r="U84" s="23">
        <f t="shared" si="22"/>
        <v>2645.404497929338</v>
      </c>
      <c r="AA84" s="18">
        <f t="shared" si="23"/>
        <v>1</v>
      </c>
      <c r="AF84" s="23">
        <f t="shared" si="24"/>
        <v>54044.188401586507</v>
      </c>
      <c r="AL84" s="18">
        <f t="shared" si="25"/>
        <v>1</v>
      </c>
    </row>
    <row r="85" spans="1:38" x14ac:dyDescent="0.2">
      <c r="A85" s="18">
        <f t="shared" ca="1" si="26"/>
        <v>5</v>
      </c>
      <c r="B85" s="24">
        <f t="shared" ca="1" si="16"/>
        <v>7.5310069563682553</v>
      </c>
      <c r="C85" s="23">
        <f t="shared" ca="1" si="17"/>
        <v>13883.478772580404</v>
      </c>
      <c r="E85" s="18">
        <f t="shared" ca="1" si="27"/>
        <v>153</v>
      </c>
      <c r="F85" s="24">
        <f t="shared" ca="1" si="18"/>
        <v>9.5900746570098363</v>
      </c>
      <c r="G85" s="23">
        <f t="shared" ca="1" si="19"/>
        <v>20578.188752411486</v>
      </c>
      <c r="I85" s="4">
        <v>78</v>
      </c>
      <c r="K85" s="14">
        <v>6.8511672722510397</v>
      </c>
      <c r="L85" s="10">
        <v>6138.6294768618363</v>
      </c>
      <c r="O85" s="14">
        <v>7.1352825099065775</v>
      </c>
      <c r="P85" s="10">
        <v>9810.288757493965</v>
      </c>
      <c r="R85" s="19">
        <f t="shared" si="20"/>
        <v>0.28411523765553781</v>
      </c>
      <c r="S85" s="23">
        <f t="shared" si="21"/>
        <v>3671.6592806321287</v>
      </c>
      <c r="U85" s="23">
        <f t="shared" si="22"/>
        <v>12923.133975248662</v>
      </c>
      <c r="AA85" s="18">
        <f t="shared" si="23"/>
        <v>1</v>
      </c>
      <c r="AF85" s="23">
        <f t="shared" si="24"/>
        <v>10534.102602144761</v>
      </c>
      <c r="AL85" s="18">
        <f t="shared" si="25"/>
        <v>1</v>
      </c>
    </row>
    <row r="86" spans="1:38" x14ac:dyDescent="0.2">
      <c r="A86" s="18">
        <f t="shared" ca="1" si="26"/>
        <v>51</v>
      </c>
      <c r="B86" s="24">
        <f t="shared" ca="1" si="16"/>
        <v>9.3299434462895405</v>
      </c>
      <c r="C86" s="23">
        <f t="shared" ca="1" si="17"/>
        <v>12358.138658835098</v>
      </c>
      <c r="E86" s="18">
        <f t="shared" ca="1" si="27"/>
        <v>127</v>
      </c>
      <c r="F86" s="24">
        <f t="shared" ca="1" si="18"/>
        <v>5.8625038404747096</v>
      </c>
      <c r="G86" s="23">
        <f t="shared" ca="1" si="19"/>
        <v>9938.7644492985546</v>
      </c>
      <c r="I86" s="4">
        <v>79</v>
      </c>
      <c r="K86" s="14">
        <v>6.081569821890632</v>
      </c>
      <c r="L86" s="10">
        <v>5802.5252212119649</v>
      </c>
      <c r="O86" s="14">
        <v>6.9231841098273712</v>
      </c>
      <c r="P86" s="10">
        <v>9199.3558247205456</v>
      </c>
      <c r="R86" s="19">
        <f t="shared" si="20"/>
        <v>0.8416142879367392</v>
      </c>
      <c r="S86" s="23">
        <f t="shared" si="21"/>
        <v>3396.8306035085807</v>
      </c>
      <c r="U86" s="23">
        <f t="shared" si="22"/>
        <v>4036.0895153480415</v>
      </c>
      <c r="AA86" s="18">
        <f t="shared" si="23"/>
        <v>1</v>
      </c>
      <c r="AF86" s="23">
        <f t="shared" si="24"/>
        <v>38683.883793328379</v>
      </c>
      <c r="AL86" s="18">
        <f t="shared" si="25"/>
        <v>1</v>
      </c>
    </row>
    <row r="87" spans="1:38" x14ac:dyDescent="0.2">
      <c r="A87" s="18">
        <f t="shared" ca="1" si="26"/>
        <v>29</v>
      </c>
      <c r="B87" s="24">
        <f t="shared" ca="1" si="16"/>
        <v>9.6700977608401093</v>
      </c>
      <c r="C87" s="23">
        <f t="shared" ca="1" si="17"/>
        <v>5240.3827577613456</v>
      </c>
      <c r="E87" s="18">
        <f t="shared" ca="1" si="27"/>
        <v>176</v>
      </c>
      <c r="F87" s="24">
        <f t="shared" ca="1" si="18"/>
        <v>3.8401089650958711</v>
      </c>
      <c r="G87" s="23">
        <f t="shared" ca="1" si="19"/>
        <v>4931.3006483768168</v>
      </c>
      <c r="I87" s="4">
        <v>80</v>
      </c>
      <c r="K87" s="14">
        <v>6.9577867010504004</v>
      </c>
      <c r="L87" s="10">
        <v>7632.4735262949434</v>
      </c>
      <c r="O87" s="14">
        <v>7.4274021577485447</v>
      </c>
      <c r="P87" s="10">
        <v>10255.448471976717</v>
      </c>
      <c r="R87" s="19">
        <f t="shared" si="20"/>
        <v>0.46961545669814431</v>
      </c>
      <c r="S87" s="23">
        <f t="shared" si="21"/>
        <v>2622.9749456817735</v>
      </c>
      <c r="U87" s="23">
        <f t="shared" si="22"/>
        <v>5585.3675773873611</v>
      </c>
      <c r="AA87" s="18">
        <f t="shared" si="23"/>
        <v>1</v>
      </c>
      <c r="AF87" s="23">
        <f t="shared" si="24"/>
        <v>20857.797889225443</v>
      </c>
      <c r="AL87" s="18">
        <f t="shared" si="25"/>
        <v>1</v>
      </c>
    </row>
    <row r="88" spans="1:38" x14ac:dyDescent="0.2">
      <c r="A88" s="18">
        <f t="shared" ca="1" si="26"/>
        <v>62</v>
      </c>
      <c r="B88" s="24">
        <f t="shared" ca="1" si="16"/>
        <v>8.200095034189804</v>
      </c>
      <c r="C88" s="23">
        <f t="shared" ca="1" si="17"/>
        <v>4486.2026034909113</v>
      </c>
      <c r="E88" s="18">
        <f t="shared" ca="1" si="27"/>
        <v>119</v>
      </c>
      <c r="F88" s="24">
        <f t="shared" ca="1" si="18"/>
        <v>13.630870919775116</v>
      </c>
      <c r="G88" s="23">
        <f t="shared" ca="1" si="19"/>
        <v>17970.13463327743</v>
      </c>
      <c r="I88" s="4">
        <v>81</v>
      </c>
      <c r="K88" s="14">
        <v>5.8939028647785259</v>
      </c>
      <c r="L88" s="10">
        <v>8517.794823816912</v>
      </c>
      <c r="O88" s="14">
        <v>7.1773339239983525</v>
      </c>
      <c r="P88" s="10">
        <v>9816.6755190311851</v>
      </c>
      <c r="R88" s="19">
        <f t="shared" si="20"/>
        <v>1.2834310592198266</v>
      </c>
      <c r="S88" s="23">
        <f t="shared" si="21"/>
        <v>1298.8806952142731</v>
      </c>
      <c r="U88" s="23">
        <f t="shared" si="22"/>
        <v>1012.0377607222924</v>
      </c>
      <c r="AA88" s="18">
        <f t="shared" si="23"/>
        <v>1</v>
      </c>
      <c r="AF88" s="23">
        <f t="shared" si="24"/>
        <v>62872.672265777059</v>
      </c>
      <c r="AL88" s="18">
        <f t="shared" si="25"/>
        <v>1</v>
      </c>
    </row>
    <row r="89" spans="1:38" x14ac:dyDescent="0.2">
      <c r="A89" s="18">
        <f t="shared" ca="1" si="26"/>
        <v>91</v>
      </c>
      <c r="B89" s="24">
        <f t="shared" ca="1" si="16"/>
        <v>8.1165809269660354</v>
      </c>
      <c r="C89" s="23">
        <f t="shared" ca="1" si="17"/>
        <v>115200.02655662232</v>
      </c>
      <c r="E89" s="18">
        <f t="shared" ca="1" si="27"/>
        <v>144</v>
      </c>
      <c r="F89" s="24">
        <f t="shared" ca="1" si="18"/>
        <v>7.8859323315056349</v>
      </c>
      <c r="G89" s="23">
        <f t="shared" ca="1" si="19"/>
        <v>12466.149879986684</v>
      </c>
      <c r="I89" s="4">
        <v>82</v>
      </c>
      <c r="K89" s="14">
        <v>6.199849668678695</v>
      </c>
      <c r="L89" s="10">
        <v>7881.163943415936</v>
      </c>
      <c r="O89" s="14">
        <v>7.0853091908065879</v>
      </c>
      <c r="P89" s="10">
        <v>9629.3875703467929</v>
      </c>
      <c r="R89" s="19">
        <f t="shared" si="20"/>
        <v>0.88545952212789292</v>
      </c>
      <c r="S89" s="23">
        <f t="shared" si="21"/>
        <v>1748.2236269308569</v>
      </c>
      <c r="U89" s="23">
        <f t="shared" si="22"/>
        <v>1974.3687692573587</v>
      </c>
      <c r="AA89" s="18">
        <f t="shared" si="23"/>
        <v>1</v>
      </c>
      <c r="AF89" s="23">
        <f t="shared" si="24"/>
        <v>42524.752479463787</v>
      </c>
      <c r="AL89" s="18">
        <f t="shared" si="25"/>
        <v>1</v>
      </c>
    </row>
    <row r="90" spans="1:38" x14ac:dyDescent="0.2">
      <c r="A90" s="18">
        <f t="shared" ca="1" si="26"/>
        <v>91</v>
      </c>
      <c r="B90" s="24">
        <f t="shared" ca="1" si="16"/>
        <v>8.1165809269660354</v>
      </c>
      <c r="C90" s="23">
        <f t="shared" ca="1" si="17"/>
        <v>115200.02655662232</v>
      </c>
      <c r="E90" s="18">
        <f t="shared" ca="1" si="27"/>
        <v>121</v>
      </c>
      <c r="F90" s="24">
        <f t="shared" ca="1" si="18"/>
        <v>4.9242675132508475</v>
      </c>
      <c r="G90" s="23">
        <f t="shared" ca="1" si="19"/>
        <v>5379.4470391750665</v>
      </c>
      <c r="I90" s="4">
        <v>83</v>
      </c>
      <c r="K90" s="14">
        <v>6.1225773411171982</v>
      </c>
      <c r="L90" s="10">
        <v>6272.6149685387172</v>
      </c>
      <c r="O90" s="14">
        <v>7.2536216338283488</v>
      </c>
      <c r="P90" s="10">
        <v>9364.4631905456172</v>
      </c>
      <c r="R90" s="19">
        <f t="shared" si="20"/>
        <v>1.1310442927111506</v>
      </c>
      <c r="S90" s="23">
        <f t="shared" si="21"/>
        <v>3091.8482220069</v>
      </c>
      <c r="U90" s="23">
        <f t="shared" si="22"/>
        <v>2733.6225839534873</v>
      </c>
      <c r="AA90" s="18">
        <f t="shared" si="23"/>
        <v>1</v>
      </c>
      <c r="AF90" s="23">
        <f t="shared" si="24"/>
        <v>53460.366413550633</v>
      </c>
      <c r="AL90" s="18">
        <f t="shared" si="25"/>
        <v>1</v>
      </c>
    </row>
    <row r="91" spans="1:38" x14ac:dyDescent="0.2">
      <c r="A91" s="18">
        <f t="shared" ca="1" si="26"/>
        <v>10</v>
      </c>
      <c r="B91" s="24">
        <f t="shared" ca="1" si="16"/>
        <v>6.1180992616600012</v>
      </c>
      <c r="C91" s="23">
        <f t="shared" ca="1" si="17"/>
        <v>9322.0321734028512</v>
      </c>
      <c r="E91" s="18">
        <f t="shared" ca="1" si="27"/>
        <v>105</v>
      </c>
      <c r="F91" s="24">
        <f t="shared" ca="1" si="18"/>
        <v>4.9495945917755577</v>
      </c>
      <c r="G91" s="23">
        <f t="shared" ca="1" si="19"/>
        <v>5949.4747580031508</v>
      </c>
      <c r="I91" s="4">
        <v>84</v>
      </c>
      <c r="K91" s="14">
        <v>6.3281968281174308</v>
      </c>
      <c r="L91" s="10">
        <v>5671.1378480635049</v>
      </c>
      <c r="O91" s="14">
        <v>7.3581342167250821</v>
      </c>
      <c r="P91" s="10">
        <v>9921.3343385054304</v>
      </c>
      <c r="R91" s="19">
        <f t="shared" si="20"/>
        <v>1.0299373886076513</v>
      </c>
      <c r="S91" s="23">
        <f t="shared" si="21"/>
        <v>4250.1964904419256</v>
      </c>
      <c r="U91" s="23">
        <f t="shared" si="22"/>
        <v>4126.6552097770418</v>
      </c>
      <c r="AA91" s="18">
        <f t="shared" si="23"/>
        <v>1</v>
      </c>
      <c r="AF91" s="23">
        <f t="shared" si="24"/>
        <v>47246.672939940632</v>
      </c>
      <c r="AL91" s="18">
        <f t="shared" si="25"/>
        <v>1</v>
      </c>
    </row>
    <row r="92" spans="1:38" x14ac:dyDescent="0.2">
      <c r="A92" s="18">
        <f t="shared" ca="1" si="26"/>
        <v>34</v>
      </c>
      <c r="B92" s="24">
        <f t="shared" ca="1" si="16"/>
        <v>6.4271455137348639</v>
      </c>
      <c r="C92" s="23">
        <f t="shared" ca="1" si="17"/>
        <v>6911.3667119870233</v>
      </c>
      <c r="E92" s="18">
        <f t="shared" ca="1" si="27"/>
        <v>126</v>
      </c>
      <c r="F92" s="24">
        <f t="shared" ca="1" si="18"/>
        <v>11.214378348220773</v>
      </c>
      <c r="G92" s="23">
        <f t="shared" ca="1" si="19"/>
        <v>16389.357648229594</v>
      </c>
      <c r="I92" s="4">
        <v>85</v>
      </c>
      <c r="K92" s="14">
        <v>6.1498616044747614</v>
      </c>
      <c r="L92" s="10">
        <v>6889.8568648566024</v>
      </c>
      <c r="O92" s="14">
        <v>7.338111506342921</v>
      </c>
      <c r="P92" s="10">
        <v>9704.841517269313</v>
      </c>
      <c r="R92" s="19">
        <f t="shared" si="20"/>
        <v>1.1882499018681596</v>
      </c>
      <c r="S92" s="23">
        <f t="shared" si="21"/>
        <v>2814.9846524127106</v>
      </c>
      <c r="U92" s="23">
        <f t="shared" si="22"/>
        <v>2369.0173657805553</v>
      </c>
      <c r="AA92" s="18">
        <f t="shared" si="23"/>
        <v>1</v>
      </c>
      <c r="AF92" s="23">
        <f t="shared" si="24"/>
        <v>56597.510440995269</v>
      </c>
      <c r="AL92" s="18">
        <f t="shared" si="25"/>
        <v>1</v>
      </c>
    </row>
    <row r="93" spans="1:38" x14ac:dyDescent="0.2">
      <c r="A93" s="18">
        <f t="shared" ca="1" si="26"/>
        <v>89</v>
      </c>
      <c r="B93" s="24">
        <f t="shared" ca="1" si="16"/>
        <v>10.629234487620304</v>
      </c>
      <c r="C93" s="23">
        <f t="shared" ca="1" si="17"/>
        <v>7358.8127252886152</v>
      </c>
      <c r="E93" s="18">
        <f t="shared" ca="1" si="27"/>
        <v>157</v>
      </c>
      <c r="F93" s="24">
        <f t="shared" ca="1" si="18"/>
        <v>4.7677875830079914</v>
      </c>
      <c r="G93" s="23">
        <f t="shared" ca="1" si="19"/>
        <v>6677.8176051740083</v>
      </c>
      <c r="I93" s="4">
        <v>86</v>
      </c>
      <c r="K93" s="14">
        <v>6.7440708382275538</v>
      </c>
      <c r="L93" s="10">
        <v>7300.1016044538947</v>
      </c>
      <c r="O93" s="14">
        <v>7.1967816355309653</v>
      </c>
      <c r="P93" s="10">
        <v>10435.109181402207</v>
      </c>
      <c r="R93" s="19">
        <f t="shared" si="20"/>
        <v>0.45271079730341146</v>
      </c>
      <c r="S93" s="23">
        <f t="shared" si="21"/>
        <v>3135.0075769483128</v>
      </c>
      <c r="U93" s="23">
        <f t="shared" si="22"/>
        <v>6924.9675413577515</v>
      </c>
      <c r="AA93" s="18">
        <f t="shared" si="23"/>
        <v>1</v>
      </c>
      <c r="AF93" s="23">
        <f t="shared" si="24"/>
        <v>19500.532288222261</v>
      </c>
      <c r="AL93" s="18">
        <f t="shared" si="25"/>
        <v>1</v>
      </c>
    </row>
    <row r="94" spans="1:38" x14ac:dyDescent="0.2">
      <c r="A94" s="18">
        <f t="shared" ca="1" si="26"/>
        <v>68</v>
      </c>
      <c r="B94" s="24">
        <f t="shared" ca="1" si="16"/>
        <v>-1.634983337737407</v>
      </c>
      <c r="C94" s="23">
        <f t="shared" ca="1" si="17"/>
        <v>5032.9000505152562</v>
      </c>
      <c r="E94" s="18">
        <f t="shared" ca="1" si="27"/>
        <v>143</v>
      </c>
      <c r="F94" s="24">
        <f t="shared" ca="1" si="18"/>
        <v>13.520069774223522</v>
      </c>
      <c r="G94" s="23">
        <f t="shared" ca="1" si="19"/>
        <v>13868.58686526778</v>
      </c>
      <c r="I94" s="4">
        <v>87</v>
      </c>
      <c r="K94" s="14">
        <v>6.6546828769167341</v>
      </c>
      <c r="L94" s="10">
        <v>5590.4007505534128</v>
      </c>
      <c r="O94" s="14">
        <v>7.6616781378245307</v>
      </c>
      <c r="P94" s="10">
        <v>10500.626545461551</v>
      </c>
      <c r="R94" s="19">
        <f t="shared" si="20"/>
        <v>1.0069952609077966</v>
      </c>
      <c r="S94" s="23">
        <f t="shared" si="21"/>
        <v>4910.2257949081386</v>
      </c>
      <c r="U94" s="23">
        <f t="shared" si="22"/>
        <v>4876.1160906374253</v>
      </c>
      <c r="AA94" s="18">
        <f t="shared" si="23"/>
        <v>1</v>
      </c>
      <c r="AF94" s="23">
        <f t="shared" si="24"/>
        <v>45439.537250481691</v>
      </c>
      <c r="AL94" s="18">
        <f t="shared" si="25"/>
        <v>1</v>
      </c>
    </row>
    <row r="95" spans="1:38" x14ac:dyDescent="0.2">
      <c r="A95" s="18">
        <f t="shared" ca="1" si="26"/>
        <v>86</v>
      </c>
      <c r="B95" s="24">
        <f t="shared" ca="1" si="16"/>
        <v>4.2069542364304411</v>
      </c>
      <c r="C95" s="23">
        <f t="shared" ca="1" si="17"/>
        <v>8743.5025245260731</v>
      </c>
      <c r="E95" s="18">
        <f t="shared" ca="1" si="27"/>
        <v>157</v>
      </c>
      <c r="F95" s="24">
        <f t="shared" ca="1" si="18"/>
        <v>4.7677875830079914</v>
      </c>
      <c r="G95" s="23">
        <f t="shared" ca="1" si="19"/>
        <v>6677.8176051740083</v>
      </c>
      <c r="I95" s="4">
        <v>88</v>
      </c>
      <c r="K95" s="14">
        <v>6.5557569932530155</v>
      </c>
      <c r="L95" s="10">
        <v>5731.539203977175</v>
      </c>
      <c r="O95" s="14">
        <v>7.7339099106844715</v>
      </c>
      <c r="P95" s="10">
        <v>9852.4041763896967</v>
      </c>
      <c r="R95" s="19">
        <f t="shared" si="20"/>
        <v>1.178152917431456</v>
      </c>
      <c r="S95" s="23">
        <f t="shared" si="21"/>
        <v>4120.8649724125216</v>
      </c>
      <c r="U95" s="23">
        <f t="shared" si="22"/>
        <v>3497.7335381867101</v>
      </c>
      <c r="AA95" s="18">
        <f t="shared" si="23"/>
        <v>1</v>
      </c>
      <c r="AF95" s="23">
        <f t="shared" si="24"/>
        <v>54786.78089916028</v>
      </c>
      <c r="AL95" s="18">
        <f t="shared" si="25"/>
        <v>1</v>
      </c>
    </row>
    <row r="96" spans="1:38" x14ac:dyDescent="0.2">
      <c r="A96" s="18">
        <f t="shared" ca="1" si="26"/>
        <v>30</v>
      </c>
      <c r="B96" s="24">
        <f t="shared" ca="1" si="16"/>
        <v>6.5010231063650092</v>
      </c>
      <c r="C96" s="23">
        <f t="shared" ca="1" si="17"/>
        <v>3169.3103583302163</v>
      </c>
      <c r="E96" s="18">
        <f t="shared" ca="1" si="27"/>
        <v>167</v>
      </c>
      <c r="F96" s="24">
        <f t="shared" ca="1" si="18"/>
        <v>3.9877010321967221</v>
      </c>
      <c r="G96" s="23">
        <f t="shared" ca="1" si="19"/>
        <v>6747.1824289220895</v>
      </c>
      <c r="I96" s="4">
        <v>89</v>
      </c>
      <c r="K96" s="14">
        <v>6.6005881952787231</v>
      </c>
      <c r="L96" s="10">
        <v>6661.4793520258363</v>
      </c>
      <c r="O96" s="14">
        <v>6.7245774926140234</v>
      </c>
      <c r="P96" s="10">
        <v>9488.8126349259255</v>
      </c>
      <c r="R96" s="19">
        <f t="shared" si="20"/>
        <v>0.12398929733530029</v>
      </c>
      <c r="S96" s="23">
        <f t="shared" si="21"/>
        <v>2827.3332829000892</v>
      </c>
      <c r="U96" s="23">
        <f t="shared" si="22"/>
        <v>22803.04303406303</v>
      </c>
      <c r="AA96" s="18">
        <f t="shared" si="23"/>
        <v>1</v>
      </c>
      <c r="AF96" s="23">
        <f t="shared" si="24"/>
        <v>3372.1315838649252</v>
      </c>
      <c r="AL96" s="18">
        <f t="shared" si="25"/>
        <v>1</v>
      </c>
    </row>
    <row r="97" spans="1:38" x14ac:dyDescent="0.2">
      <c r="A97" s="18">
        <f t="shared" ca="1" si="26"/>
        <v>51</v>
      </c>
      <c r="B97" s="24">
        <f t="shared" ca="1" si="16"/>
        <v>9.3299434462895405</v>
      </c>
      <c r="C97" s="23">
        <f t="shared" ca="1" si="17"/>
        <v>12358.138658835098</v>
      </c>
      <c r="E97" s="18">
        <f t="shared" ca="1" si="27"/>
        <v>153</v>
      </c>
      <c r="F97" s="24">
        <f t="shared" ca="1" si="18"/>
        <v>9.5900746570098363</v>
      </c>
      <c r="G97" s="23">
        <f t="shared" ca="1" si="19"/>
        <v>20578.188752411486</v>
      </c>
      <c r="I97" s="4">
        <v>90</v>
      </c>
      <c r="K97" s="14">
        <v>6.5231103878116876</v>
      </c>
      <c r="L97" s="10">
        <v>7158.6888595079336</v>
      </c>
      <c r="O97" s="14">
        <v>6.9474623421378325</v>
      </c>
      <c r="P97" s="10">
        <v>9633.1481966158044</v>
      </c>
      <c r="R97" s="19">
        <f t="shared" si="20"/>
        <v>0.42435195432614492</v>
      </c>
      <c r="S97" s="23">
        <f t="shared" si="21"/>
        <v>2474.4593371078709</v>
      </c>
      <c r="U97" s="23">
        <f t="shared" si="22"/>
        <v>5831.1486771333948</v>
      </c>
      <c r="AA97" s="18">
        <f t="shared" si="23"/>
        <v>1</v>
      </c>
      <c r="AF97" s="23">
        <f t="shared" si="24"/>
        <v>18743.138379199376</v>
      </c>
      <c r="AL97" s="18">
        <f t="shared" si="25"/>
        <v>1</v>
      </c>
    </row>
    <row r="98" spans="1:38" x14ac:dyDescent="0.2">
      <c r="A98" s="18">
        <f t="shared" ca="1" si="26"/>
        <v>73</v>
      </c>
      <c r="B98" s="24">
        <f t="shared" ca="1" si="16"/>
        <v>9.5126527732621575</v>
      </c>
      <c r="C98" s="23">
        <f t="shared" ca="1" si="17"/>
        <v>4768.1402481577888</v>
      </c>
      <c r="E98" s="18">
        <f t="shared" ca="1" si="27"/>
        <v>195</v>
      </c>
      <c r="F98" s="24">
        <f t="shared" ca="1" si="18"/>
        <v>5.177889150290313</v>
      </c>
      <c r="G98" s="23">
        <f t="shared" ca="1" si="19"/>
        <v>8633.0328871896327</v>
      </c>
      <c r="I98" s="4">
        <v>91</v>
      </c>
      <c r="K98" s="14">
        <v>7.0704212739022338</v>
      </c>
      <c r="L98" s="10">
        <v>8577.8700638266564</v>
      </c>
      <c r="O98" s="14">
        <v>7.1725721225920358</v>
      </c>
      <c r="P98" s="10">
        <v>10622.566969466987</v>
      </c>
      <c r="R98" s="19">
        <f t="shared" si="20"/>
        <v>0.10215084868980195</v>
      </c>
      <c r="S98" s="23">
        <f t="shared" si="21"/>
        <v>2044.6969056403304</v>
      </c>
      <c r="U98" s="23">
        <f t="shared" si="22"/>
        <v>20016.445598502982</v>
      </c>
      <c r="AA98" s="18">
        <f t="shared" si="23"/>
        <v>1</v>
      </c>
      <c r="AF98" s="23">
        <f t="shared" si="24"/>
        <v>3062.8455288497671</v>
      </c>
      <c r="AL98" s="18">
        <f t="shared" si="25"/>
        <v>1</v>
      </c>
    </row>
    <row r="99" spans="1:38" x14ac:dyDescent="0.2">
      <c r="A99" s="18">
        <f t="shared" ca="1" si="26"/>
        <v>63</v>
      </c>
      <c r="B99" s="24">
        <f t="shared" ca="1" si="16"/>
        <v>5.9127506213803507</v>
      </c>
      <c r="C99" s="23">
        <f t="shared" ca="1" si="17"/>
        <v>5913.8960900245584</v>
      </c>
      <c r="E99" s="18">
        <f t="shared" ca="1" si="27"/>
        <v>180</v>
      </c>
      <c r="F99" s="24">
        <f t="shared" ca="1" si="18"/>
        <v>3.9008440943011879</v>
      </c>
      <c r="G99" s="23">
        <f t="shared" ca="1" si="19"/>
        <v>5155.0095336507793</v>
      </c>
      <c r="I99" s="4">
        <v>92</v>
      </c>
      <c r="K99" s="14">
        <v>6.4530815145490692</v>
      </c>
      <c r="L99" s="10">
        <v>7323.5479314210934</v>
      </c>
      <c r="O99" s="14">
        <v>7.0862249704892371</v>
      </c>
      <c r="P99" s="10">
        <v>9749.0872043324107</v>
      </c>
      <c r="R99" s="19">
        <f t="shared" si="20"/>
        <v>0.63314345594016785</v>
      </c>
      <c r="S99" s="23">
        <f t="shared" si="21"/>
        <v>2425.5392729113173</v>
      </c>
      <c r="U99" s="23">
        <f t="shared" si="22"/>
        <v>3830.9473945514983</v>
      </c>
      <c r="AA99" s="18">
        <f t="shared" si="23"/>
        <v>1</v>
      </c>
      <c r="AF99" s="23">
        <f t="shared" si="24"/>
        <v>29231.633524097073</v>
      </c>
      <c r="AL99" s="18">
        <f t="shared" si="25"/>
        <v>1</v>
      </c>
    </row>
    <row r="100" spans="1:38" x14ac:dyDescent="0.2">
      <c r="A100" s="18">
        <f t="shared" ca="1" si="26"/>
        <v>59</v>
      </c>
      <c r="B100" s="24">
        <f t="shared" ca="1" si="16"/>
        <v>5.11194005981615</v>
      </c>
      <c r="C100" s="23">
        <f t="shared" ca="1" si="17"/>
        <v>9440.8540851041307</v>
      </c>
      <c r="E100" s="18">
        <f t="shared" ca="1" si="27"/>
        <v>108</v>
      </c>
      <c r="F100" s="24">
        <f t="shared" ca="1" si="18"/>
        <v>6.3549480621204992</v>
      </c>
      <c r="G100" s="23">
        <f t="shared" ca="1" si="19"/>
        <v>6291.6709165529246</v>
      </c>
      <c r="I100" s="4">
        <v>93</v>
      </c>
      <c r="K100" s="14">
        <v>6.2467186530769716</v>
      </c>
      <c r="L100" s="10">
        <v>8018.378716945921</v>
      </c>
      <c r="O100" s="14">
        <v>7.1864052315511495</v>
      </c>
      <c r="P100" s="10">
        <v>9549.3551658997731</v>
      </c>
      <c r="R100" s="19">
        <f t="shared" si="20"/>
        <v>0.93968657847417791</v>
      </c>
      <c r="S100" s="23">
        <f t="shared" si="21"/>
        <v>1530.976448953852</v>
      </c>
      <c r="U100" s="23">
        <f t="shared" si="22"/>
        <v>1629.2415833370578</v>
      </c>
      <c r="AA100" s="18">
        <f t="shared" si="23"/>
        <v>1</v>
      </c>
      <c r="AF100" s="23">
        <f t="shared" si="24"/>
        <v>45453.352474755047</v>
      </c>
      <c r="AL100" s="18">
        <f t="shared" si="25"/>
        <v>1</v>
      </c>
    </row>
    <row r="101" spans="1:38" x14ac:dyDescent="0.2">
      <c r="A101" s="18">
        <f t="shared" ca="1" si="26"/>
        <v>63</v>
      </c>
      <c r="B101" s="24">
        <f t="shared" ca="1" si="16"/>
        <v>5.9127506213803507</v>
      </c>
      <c r="C101" s="23">
        <f t="shared" ca="1" si="17"/>
        <v>5913.8960900245584</v>
      </c>
      <c r="E101" s="18">
        <f t="shared" ca="1" si="27"/>
        <v>105</v>
      </c>
      <c r="F101" s="24">
        <f t="shared" ca="1" si="18"/>
        <v>4.9495945917755577</v>
      </c>
      <c r="G101" s="23">
        <f t="shared" ca="1" si="19"/>
        <v>5949.4747580031508</v>
      </c>
      <c r="I101" s="4">
        <v>94</v>
      </c>
      <c r="K101" s="14">
        <v>6.5151349186482665</v>
      </c>
      <c r="L101" s="10">
        <v>7934.6421161166618</v>
      </c>
      <c r="O101" s="14">
        <v>7.6069369872838424</v>
      </c>
      <c r="P101" s="10">
        <v>9778.8749525161329</v>
      </c>
      <c r="R101" s="19">
        <f t="shared" si="20"/>
        <v>1.0918020686355758</v>
      </c>
      <c r="S101" s="23">
        <f t="shared" si="21"/>
        <v>1844.2328363994711</v>
      </c>
      <c r="U101" s="23">
        <f t="shared" si="22"/>
        <v>1689.1640796249887</v>
      </c>
      <c r="AA101" s="18">
        <f t="shared" si="23"/>
        <v>1</v>
      </c>
      <c r="AF101" s="23">
        <f t="shared" si="24"/>
        <v>52745.870595379325</v>
      </c>
      <c r="AL101" s="18">
        <f t="shared" si="25"/>
        <v>1</v>
      </c>
    </row>
    <row r="102" spans="1:38" x14ac:dyDescent="0.2">
      <c r="A102" s="18">
        <f t="shared" ca="1" si="26"/>
        <v>88</v>
      </c>
      <c r="B102" s="24">
        <f t="shared" ca="1" si="16"/>
        <v>0.62931492176215387</v>
      </c>
      <c r="C102" s="23">
        <f t="shared" ca="1" si="17"/>
        <v>3964.2959787645282</v>
      </c>
      <c r="E102" s="18">
        <f t="shared" ca="1" si="27"/>
        <v>166</v>
      </c>
      <c r="F102" s="24">
        <f t="shared" ca="1" si="18"/>
        <v>10.124085710941417</v>
      </c>
      <c r="G102" s="23">
        <f t="shared" ca="1" si="19"/>
        <v>12918.658640600344</v>
      </c>
      <c r="I102" s="4">
        <v>95</v>
      </c>
      <c r="K102" s="14">
        <v>6.3926706659065671</v>
      </c>
      <c r="L102" s="10">
        <v>5777.2401291871556</v>
      </c>
      <c r="O102" s="14">
        <v>7.3137421698538798</v>
      </c>
      <c r="P102" s="10">
        <v>9860.2482658174249</v>
      </c>
      <c r="R102" s="19">
        <f t="shared" si="20"/>
        <v>0.92107150394731274</v>
      </c>
      <c r="S102" s="23">
        <f t="shared" si="21"/>
        <v>4083.0081366302693</v>
      </c>
      <c r="U102" s="23">
        <f t="shared" si="22"/>
        <v>4432.8894327229409</v>
      </c>
      <c r="AA102" s="18">
        <f t="shared" si="23"/>
        <v>1</v>
      </c>
      <c r="AF102" s="23">
        <f t="shared" si="24"/>
        <v>41970.567060735368</v>
      </c>
      <c r="AL102" s="18">
        <f t="shared" si="25"/>
        <v>1</v>
      </c>
    </row>
    <row r="103" spans="1:38" x14ac:dyDescent="0.2">
      <c r="A103" s="18">
        <f t="shared" ca="1" si="26"/>
        <v>3</v>
      </c>
      <c r="B103" s="24">
        <f t="shared" ca="1" si="16"/>
        <v>11.051414633832911</v>
      </c>
      <c r="C103" s="23">
        <f t="shared" ca="1" si="17"/>
        <v>5786.2548009459551</v>
      </c>
      <c r="E103" s="18">
        <f t="shared" ca="1" si="27"/>
        <v>145</v>
      </c>
      <c r="F103" s="24">
        <f t="shared" ca="1" si="18"/>
        <v>7.2615433229172321</v>
      </c>
      <c r="G103" s="23">
        <f t="shared" ca="1" si="19"/>
        <v>9557.0197498230445</v>
      </c>
      <c r="I103" s="4">
        <v>96</v>
      </c>
      <c r="K103" s="14">
        <v>6.8030928338454153</v>
      </c>
      <c r="L103" s="10">
        <v>5623.8364871433405</v>
      </c>
      <c r="O103" s="14">
        <v>7.2394447663743007</v>
      </c>
      <c r="P103" s="10">
        <v>10364.202566202661</v>
      </c>
      <c r="R103" s="19">
        <f t="shared" si="20"/>
        <v>0.43635193252888538</v>
      </c>
      <c r="S103" s="23">
        <f t="shared" si="21"/>
        <v>4740.3660790593203</v>
      </c>
      <c r="U103" s="23">
        <f t="shared" si="22"/>
        <v>10863.630307734504</v>
      </c>
      <c r="AA103" s="18">
        <f t="shared" si="23"/>
        <v>1</v>
      </c>
      <c r="AF103" s="23">
        <f t="shared" si="24"/>
        <v>17077.230547384948</v>
      </c>
      <c r="AL103" s="18">
        <f t="shared" si="25"/>
        <v>1</v>
      </c>
    </row>
    <row r="104" spans="1:38" x14ac:dyDescent="0.2">
      <c r="A104" s="18">
        <f t="shared" ca="1" si="26"/>
        <v>52</v>
      </c>
      <c r="B104" s="24">
        <f t="shared" ref="B104:B107" ca="1" si="28">VLOOKUP(A104,control,2,FALSE)</f>
        <v>7.2130757536574528</v>
      </c>
      <c r="C104" s="23">
        <f t="shared" ca="1" si="17"/>
        <v>3873.6188236322341</v>
      </c>
      <c r="E104" s="18">
        <f t="shared" ca="1" si="27"/>
        <v>135</v>
      </c>
      <c r="F104" s="24">
        <f t="shared" ref="F104:F107" ca="1" si="29">VLOOKUP(E104,treatment,2,FALSE)</f>
        <v>9.5463149403149625</v>
      </c>
      <c r="G104" s="23">
        <f t="shared" ca="1" si="19"/>
        <v>11034.97705802153</v>
      </c>
      <c r="I104" s="4">
        <v>97</v>
      </c>
      <c r="K104" s="14">
        <v>6.4374980819644296</v>
      </c>
      <c r="L104" s="10">
        <v>5652.3373291970438</v>
      </c>
      <c r="O104" s="14">
        <v>7.2297390753807713</v>
      </c>
      <c r="P104" s="10">
        <v>9600.584122825303</v>
      </c>
      <c r="R104" s="19">
        <f t="shared" si="20"/>
        <v>0.79224099341634169</v>
      </c>
      <c r="S104" s="23">
        <f t="shared" si="21"/>
        <v>3948.2467936282592</v>
      </c>
      <c r="U104" s="23">
        <f t="shared" si="22"/>
        <v>4983.6436468686497</v>
      </c>
      <c r="AA104" s="18">
        <f t="shared" si="23"/>
        <v>1</v>
      </c>
      <c r="AF104" s="23">
        <f t="shared" si="24"/>
        <v>35663.80287718882</v>
      </c>
      <c r="AL104" s="18">
        <f t="shared" si="25"/>
        <v>1</v>
      </c>
    </row>
    <row r="105" spans="1:38" x14ac:dyDescent="0.2">
      <c r="A105" s="18">
        <f t="shared" ca="1" si="26"/>
        <v>96</v>
      </c>
      <c r="B105" s="24">
        <f t="shared" ca="1" si="28"/>
        <v>2.8831788314381996</v>
      </c>
      <c r="C105" s="23">
        <f t="shared" ca="1" si="17"/>
        <v>5197.4054467773885</v>
      </c>
      <c r="E105" s="18">
        <f t="shared" ca="1" si="27"/>
        <v>192</v>
      </c>
      <c r="F105" s="24">
        <f t="shared" ca="1" si="29"/>
        <v>5.475083985294809</v>
      </c>
      <c r="G105" s="23">
        <f t="shared" ca="1" si="19"/>
        <v>6326.3809850316402</v>
      </c>
      <c r="I105" s="4">
        <v>98</v>
      </c>
      <c r="K105" s="14">
        <v>6.6496293800212323</v>
      </c>
      <c r="L105" s="10">
        <v>8833.6769258366548</v>
      </c>
      <c r="O105" s="14">
        <v>6.6418597945291626</v>
      </c>
      <c r="P105" s="10">
        <v>9488.4961425590118</v>
      </c>
      <c r="R105" s="19">
        <f t="shared" si="20"/>
        <v>-7.7695854920696306E-3</v>
      </c>
      <c r="S105" s="23">
        <f t="shared" si="21"/>
        <v>654.81921672235694</v>
      </c>
      <c r="U105" s="23">
        <f t="shared" si="22"/>
        <v>-84279.81356157636</v>
      </c>
      <c r="AA105" s="18">
        <f t="shared" si="23"/>
        <v>0</v>
      </c>
      <c r="AF105" s="23">
        <f t="shared" si="24"/>
        <v>-1043.2984913258385</v>
      </c>
      <c r="AL105" s="18">
        <f t="shared" si="25"/>
        <v>0</v>
      </c>
    </row>
    <row r="106" spans="1:38" x14ac:dyDescent="0.2">
      <c r="A106" s="18">
        <f t="shared" ca="1" si="26"/>
        <v>57</v>
      </c>
      <c r="B106" s="24">
        <f t="shared" ca="1" si="28"/>
        <v>6.1886942813581767</v>
      </c>
      <c r="C106" s="23">
        <f t="shared" ca="1" si="17"/>
        <v>19103.854266864706</v>
      </c>
      <c r="E106" s="18">
        <f t="shared" ca="1" si="27"/>
        <v>183</v>
      </c>
      <c r="F106" s="24">
        <f t="shared" ca="1" si="29"/>
        <v>4.2867214370266726</v>
      </c>
      <c r="G106" s="23">
        <f t="shared" ca="1" si="19"/>
        <v>5057.2115051134315</v>
      </c>
      <c r="I106" s="4">
        <v>99</v>
      </c>
      <c r="K106" s="14">
        <v>6.713056669199724</v>
      </c>
      <c r="L106" s="10">
        <v>9154.2867136925706</v>
      </c>
      <c r="O106" s="14">
        <v>6.6127206487990291</v>
      </c>
      <c r="P106" s="10">
        <v>9739.4849449004287</v>
      </c>
      <c r="R106" s="19">
        <f t="shared" si="20"/>
        <v>-0.10033602040069489</v>
      </c>
      <c r="S106" s="23">
        <f t="shared" si="21"/>
        <v>585.19823120785804</v>
      </c>
      <c r="U106" s="23">
        <f t="shared" si="22"/>
        <v>-5832.3843109468708</v>
      </c>
      <c r="AA106" s="18">
        <f t="shared" si="23"/>
        <v>0</v>
      </c>
      <c r="AF106" s="23">
        <f t="shared" si="24"/>
        <v>-5601.9992512426024</v>
      </c>
      <c r="AL106" s="18">
        <f t="shared" si="25"/>
        <v>0</v>
      </c>
    </row>
    <row r="107" spans="1:38" x14ac:dyDescent="0.2">
      <c r="A107" s="18">
        <f t="shared" ca="1" si="26"/>
        <v>7</v>
      </c>
      <c r="B107" s="24">
        <f t="shared" ca="1" si="28"/>
        <v>6.9295998689004641</v>
      </c>
      <c r="C107" s="23">
        <f t="shared" ca="1" si="17"/>
        <v>5326.9273592200743</v>
      </c>
      <c r="E107" s="18">
        <f t="shared" ca="1" si="27"/>
        <v>121</v>
      </c>
      <c r="F107" s="24">
        <f t="shared" ca="1" si="29"/>
        <v>4.9242675132508475</v>
      </c>
      <c r="G107" s="23">
        <f t="shared" ca="1" si="19"/>
        <v>5379.4470391750665</v>
      </c>
      <c r="I107" s="4">
        <v>100</v>
      </c>
      <c r="K107" s="14">
        <v>6.2136713258082752</v>
      </c>
      <c r="L107" s="10">
        <v>7816.6309314550062</v>
      </c>
      <c r="O107" s="14">
        <v>6.9528445537659218</v>
      </c>
      <c r="P107" s="10">
        <v>10109.711018444232</v>
      </c>
      <c r="R107" s="19">
        <f t="shared" si="20"/>
        <v>0.73917322795764662</v>
      </c>
      <c r="S107" s="23">
        <f t="shared" si="21"/>
        <v>2293.0800869892255</v>
      </c>
      <c r="U107" s="23">
        <f t="shared" si="22"/>
        <v>3102.2228623256024</v>
      </c>
      <c r="AA107" s="18">
        <f t="shared" si="23"/>
        <v>1</v>
      </c>
      <c r="AF107" s="23">
        <f t="shared" si="24"/>
        <v>34665.581310893103</v>
      </c>
      <c r="AL107" s="18">
        <f t="shared" si="25"/>
        <v>1</v>
      </c>
    </row>
    <row r="108" spans="1:38" x14ac:dyDescent="0.2">
      <c r="I108" s="4">
        <v>101</v>
      </c>
      <c r="K108" s="14">
        <v>6.693568064753241</v>
      </c>
      <c r="L108" s="10">
        <v>8686.2618308194196</v>
      </c>
      <c r="O108" s="14">
        <v>7.2290361334565452</v>
      </c>
      <c r="P108" s="10">
        <v>10472.189182583348</v>
      </c>
      <c r="R108" s="19">
        <f t="shared" si="20"/>
        <v>0.53546806870330421</v>
      </c>
      <c r="S108" s="23">
        <f t="shared" si="21"/>
        <v>1785.9273517639285</v>
      </c>
      <c r="U108" s="23">
        <f t="shared" si="22"/>
        <v>3335.2639609094736</v>
      </c>
      <c r="AA108" s="18">
        <f t="shared" si="23"/>
        <v>1</v>
      </c>
      <c r="AF108" s="23">
        <f t="shared" si="24"/>
        <v>24987.476083401285</v>
      </c>
      <c r="AL108" s="18">
        <f t="shared" si="25"/>
        <v>1</v>
      </c>
    </row>
    <row r="109" spans="1:38" x14ac:dyDescent="0.2">
      <c r="A109" s="15" t="s">
        <v>12</v>
      </c>
      <c r="B109" s="24">
        <f ca="1">AVERAGE(B8:B107)</f>
        <v>6.0397237239592947</v>
      </c>
      <c r="C109" s="23">
        <f ca="1">AVERAGE(C8:C107)</f>
        <v>9306.8481923798281</v>
      </c>
      <c r="F109" s="24">
        <f ca="1">AVERAGE(F8:F107)</f>
        <v>7.2471238427082207</v>
      </c>
      <c r="G109" s="23">
        <f ca="1">AVERAGE(G8:G107)</f>
        <v>10055.346445191006</v>
      </c>
      <c r="I109" s="4">
        <v>102</v>
      </c>
      <c r="K109" s="14">
        <v>6.21059409588731</v>
      </c>
      <c r="L109" s="10">
        <v>6547.4371779106896</v>
      </c>
      <c r="O109" s="14">
        <v>7.0283361783047056</v>
      </c>
      <c r="P109" s="10">
        <v>10142.167581618955</v>
      </c>
      <c r="R109" s="19">
        <f t="shared" si="20"/>
        <v>0.81774208241739554</v>
      </c>
      <c r="S109" s="23">
        <f t="shared" si="21"/>
        <v>3594.7304037082649</v>
      </c>
      <c r="U109" s="23">
        <f t="shared" si="22"/>
        <v>4395.921991786925</v>
      </c>
      <c r="AA109" s="18">
        <f t="shared" si="23"/>
        <v>1</v>
      </c>
      <c r="AF109" s="23">
        <f t="shared" si="24"/>
        <v>37292.373717161514</v>
      </c>
      <c r="AL109" s="18">
        <f t="shared" si="25"/>
        <v>1</v>
      </c>
    </row>
    <row r="110" spans="1:38" x14ac:dyDescent="0.2">
      <c r="I110" s="4">
        <v>103</v>
      </c>
      <c r="K110" s="14">
        <v>6.4097050089256724</v>
      </c>
      <c r="L110" s="10">
        <v>7452.434185406496</v>
      </c>
      <c r="O110" s="14">
        <v>7.8400341951783847</v>
      </c>
      <c r="P110" s="10">
        <v>10382.879833392095</v>
      </c>
      <c r="R110" s="19">
        <f t="shared" si="20"/>
        <v>1.4303291862527123</v>
      </c>
      <c r="S110" s="23">
        <f t="shared" si="21"/>
        <v>2930.445647985599</v>
      </c>
      <c r="U110" s="23">
        <f t="shared" si="22"/>
        <v>2048.7910588352102</v>
      </c>
      <c r="AA110" s="18">
        <f t="shared" si="23"/>
        <v>1</v>
      </c>
      <c r="AF110" s="23">
        <f t="shared" si="24"/>
        <v>68586.013664650018</v>
      </c>
      <c r="AL110" s="18">
        <f t="shared" si="25"/>
        <v>1</v>
      </c>
    </row>
    <row r="111" spans="1:38" x14ac:dyDescent="0.2">
      <c r="A111"/>
      <c r="B111"/>
      <c r="C111"/>
      <c r="D111"/>
      <c r="E111"/>
      <c r="F111"/>
      <c r="G111"/>
      <c r="I111" s="4">
        <v>104</v>
      </c>
      <c r="K111" s="14">
        <v>6.5744680879026154</v>
      </c>
      <c r="L111" s="10">
        <v>6697.954715784972</v>
      </c>
      <c r="O111" s="14">
        <v>7.0844908284993107</v>
      </c>
      <c r="P111" s="10">
        <v>9111.6132234580127</v>
      </c>
      <c r="R111" s="19">
        <f t="shared" si="20"/>
        <v>0.51002274059669528</v>
      </c>
      <c r="S111" s="23">
        <f t="shared" si="21"/>
        <v>2413.6585076730407</v>
      </c>
      <c r="U111" s="23">
        <f t="shared" si="22"/>
        <v>4732.4527232829041</v>
      </c>
      <c r="AA111" s="18">
        <f t="shared" si="23"/>
        <v>1</v>
      </c>
      <c r="AF111" s="23">
        <f t="shared" si="24"/>
        <v>23087.478522161724</v>
      </c>
      <c r="AL111" s="18">
        <f t="shared" si="25"/>
        <v>1</v>
      </c>
    </row>
    <row r="112" spans="1:38" x14ac:dyDescent="0.2">
      <c r="A112"/>
      <c r="B112"/>
      <c r="C112"/>
      <c r="D112"/>
      <c r="E112"/>
      <c r="F112"/>
      <c r="G112"/>
      <c r="I112" s="4">
        <v>105</v>
      </c>
      <c r="K112" s="14">
        <v>7.0509130190263418</v>
      </c>
      <c r="L112" s="10">
        <v>8975.8596467046355</v>
      </c>
      <c r="O112" s="14">
        <v>7.325585693806496</v>
      </c>
      <c r="P112" s="10">
        <v>10033.904783689803</v>
      </c>
      <c r="R112" s="19">
        <f t="shared" si="20"/>
        <v>0.27467267478015422</v>
      </c>
      <c r="S112" s="23">
        <f t="shared" si="21"/>
        <v>1058.0451369851671</v>
      </c>
      <c r="U112" s="23">
        <f t="shared" si="22"/>
        <v>3852.0218213625285</v>
      </c>
      <c r="AA112" s="18">
        <f t="shared" si="23"/>
        <v>1</v>
      </c>
      <c r="AF112" s="23">
        <f t="shared" si="24"/>
        <v>12675.588602022544</v>
      </c>
      <c r="AL112" s="18">
        <f t="shared" si="25"/>
        <v>1</v>
      </c>
    </row>
    <row r="113" spans="1:38" x14ac:dyDescent="0.2">
      <c r="A113"/>
      <c r="B113"/>
      <c r="C113"/>
      <c r="D113"/>
      <c r="E113"/>
      <c r="F113"/>
      <c r="G113"/>
      <c r="I113" s="4">
        <v>106</v>
      </c>
      <c r="K113" s="14">
        <v>6.2911905677752058</v>
      </c>
      <c r="L113" s="10">
        <v>6650.3683317287487</v>
      </c>
      <c r="O113" s="14">
        <v>6.656854412417581</v>
      </c>
      <c r="P113" s="10">
        <v>9324.122145116351</v>
      </c>
      <c r="R113" s="19">
        <f t="shared" si="20"/>
        <v>0.36566384464237522</v>
      </c>
      <c r="S113" s="23">
        <f t="shared" si="21"/>
        <v>2673.7538133876023</v>
      </c>
      <c r="U113" s="23">
        <f t="shared" si="22"/>
        <v>7312.0540971245709</v>
      </c>
      <c r="AA113" s="18">
        <f t="shared" si="23"/>
        <v>1</v>
      </c>
      <c r="AF113" s="23">
        <f t="shared" si="24"/>
        <v>15609.438418731157</v>
      </c>
      <c r="AL113" s="18">
        <f t="shared" si="25"/>
        <v>1</v>
      </c>
    </row>
    <row r="114" spans="1:38" x14ac:dyDescent="0.2">
      <c r="A114"/>
      <c r="B114"/>
      <c r="C114"/>
      <c r="D114"/>
      <c r="E114"/>
      <c r="F114"/>
      <c r="G114"/>
      <c r="I114" s="4">
        <v>107</v>
      </c>
      <c r="K114" s="14">
        <v>6.5586135989992052</v>
      </c>
      <c r="L114" s="10">
        <v>8560.8291052843724</v>
      </c>
      <c r="O114" s="14">
        <v>7.6064445768879567</v>
      </c>
      <c r="P114" s="10">
        <v>10193.401663110148</v>
      </c>
      <c r="R114" s="19">
        <f t="shared" si="20"/>
        <v>1.0478309778887516</v>
      </c>
      <c r="S114" s="23">
        <f t="shared" si="21"/>
        <v>1632.5725578257752</v>
      </c>
      <c r="U114" s="23">
        <f t="shared" si="22"/>
        <v>1558.0495254255652</v>
      </c>
      <c r="AA114" s="18">
        <f t="shared" si="23"/>
        <v>1</v>
      </c>
      <c r="AF114" s="23">
        <f t="shared" si="24"/>
        <v>50758.976336611799</v>
      </c>
      <c r="AL114" s="18">
        <f t="shared" si="25"/>
        <v>1</v>
      </c>
    </row>
    <row r="115" spans="1:38" x14ac:dyDescent="0.2">
      <c r="I115" s="4">
        <v>108</v>
      </c>
      <c r="K115" s="14">
        <v>6.6464762059477014</v>
      </c>
      <c r="L115" s="10">
        <v>6226.382693861653</v>
      </c>
      <c r="O115" s="14">
        <v>7.4424981372308832</v>
      </c>
      <c r="P115" s="10">
        <v>9926.3257241704305</v>
      </c>
      <c r="R115" s="19">
        <f t="shared" si="20"/>
        <v>0.79602193128318177</v>
      </c>
      <c r="S115" s="23">
        <f t="shared" si="21"/>
        <v>3699.9430303087775</v>
      </c>
      <c r="U115" s="23">
        <f t="shared" si="22"/>
        <v>4648.0415738602769</v>
      </c>
      <c r="AA115" s="18">
        <f t="shared" si="23"/>
        <v>1</v>
      </c>
      <c r="AF115" s="23">
        <f t="shared" si="24"/>
        <v>36101.153533850309</v>
      </c>
      <c r="AL115" s="18">
        <f t="shared" si="25"/>
        <v>1</v>
      </c>
    </row>
    <row r="116" spans="1:38" x14ac:dyDescent="0.2">
      <c r="I116" s="4">
        <v>109</v>
      </c>
      <c r="K116" s="14">
        <v>6.552396447462467</v>
      </c>
      <c r="L116" s="10">
        <v>7216.1548353703765</v>
      </c>
      <c r="O116" s="14">
        <v>7.3679056919558681</v>
      </c>
      <c r="P116" s="10">
        <v>10093.69993314483</v>
      </c>
      <c r="R116" s="19">
        <f t="shared" si="20"/>
        <v>0.81550924449340112</v>
      </c>
      <c r="S116" s="23">
        <f t="shared" si="21"/>
        <v>2877.5450977744531</v>
      </c>
      <c r="U116" s="23">
        <f t="shared" si="22"/>
        <v>3528.5254179577082</v>
      </c>
      <c r="AA116" s="18">
        <f t="shared" si="23"/>
        <v>1</v>
      </c>
      <c r="AF116" s="23">
        <f t="shared" si="24"/>
        <v>37897.917126895598</v>
      </c>
      <c r="AL116" s="18">
        <f t="shared" si="25"/>
        <v>1</v>
      </c>
    </row>
    <row r="117" spans="1:38" x14ac:dyDescent="0.2">
      <c r="I117" s="4">
        <v>110</v>
      </c>
      <c r="K117" s="14">
        <v>6.3943962225800188</v>
      </c>
      <c r="L117" s="10">
        <v>6791.1388167133182</v>
      </c>
      <c r="O117" s="14">
        <v>7.4473665158405229</v>
      </c>
      <c r="P117" s="10">
        <v>10448.076341796128</v>
      </c>
      <c r="R117" s="19">
        <f t="shared" si="20"/>
        <v>1.0529702932605041</v>
      </c>
      <c r="S117" s="23">
        <f t="shared" si="21"/>
        <v>3656.9375250828098</v>
      </c>
      <c r="U117" s="23">
        <f t="shared" si="22"/>
        <v>3472.9731204089021</v>
      </c>
      <c r="AA117" s="18">
        <f t="shared" si="23"/>
        <v>1</v>
      </c>
      <c r="AF117" s="23">
        <f t="shared" si="24"/>
        <v>48991.577137942397</v>
      </c>
      <c r="AL117" s="18">
        <f t="shared" si="25"/>
        <v>1</v>
      </c>
    </row>
    <row r="118" spans="1:38" x14ac:dyDescent="0.2">
      <c r="I118" s="4">
        <v>111</v>
      </c>
      <c r="K118" s="14">
        <v>6.2635599210415442</v>
      </c>
      <c r="L118" s="10">
        <v>6960.5217525179523</v>
      </c>
      <c r="O118" s="14">
        <v>7.4695683058415776</v>
      </c>
      <c r="P118" s="10">
        <v>10143.368772705355</v>
      </c>
      <c r="R118" s="19">
        <f t="shared" si="20"/>
        <v>1.2060083848000334</v>
      </c>
      <c r="S118" s="23">
        <f t="shared" si="21"/>
        <v>3182.8470201874024</v>
      </c>
      <c r="U118" s="23">
        <f t="shared" si="22"/>
        <v>2639.1582847205045</v>
      </c>
      <c r="AA118" s="18">
        <f t="shared" si="23"/>
        <v>1</v>
      </c>
      <c r="AF118" s="23">
        <f t="shared" si="24"/>
        <v>57117.572219814268</v>
      </c>
      <c r="AL118" s="18">
        <f t="shared" si="25"/>
        <v>1</v>
      </c>
    </row>
    <row r="119" spans="1:38" x14ac:dyDescent="0.2">
      <c r="I119" s="4">
        <v>112</v>
      </c>
      <c r="K119" s="14">
        <v>6.6320311790747413</v>
      </c>
      <c r="L119" s="10">
        <v>8088.9541819922997</v>
      </c>
      <c r="O119" s="14">
        <v>6.8543767898647845</v>
      </c>
      <c r="P119" s="10">
        <v>9671.061122563915</v>
      </c>
      <c r="R119" s="19">
        <f t="shared" si="20"/>
        <v>0.22234561079004322</v>
      </c>
      <c r="S119" s="23">
        <f t="shared" si="21"/>
        <v>1582.1069405716153</v>
      </c>
      <c r="U119" s="23">
        <f t="shared" si="22"/>
        <v>7115.5303446289709</v>
      </c>
      <c r="AA119" s="18">
        <f t="shared" si="23"/>
        <v>1</v>
      </c>
      <c r="AF119" s="23">
        <f t="shared" si="24"/>
        <v>9535.1735989305453</v>
      </c>
      <c r="AL119" s="18">
        <f t="shared" si="25"/>
        <v>1</v>
      </c>
    </row>
    <row r="120" spans="1:38" x14ac:dyDescent="0.2">
      <c r="I120" s="4">
        <v>113</v>
      </c>
      <c r="K120" s="14">
        <v>6.5581644495184825</v>
      </c>
      <c r="L120" s="10">
        <v>6857.2440676948008</v>
      </c>
      <c r="O120" s="14">
        <v>6.4489310776351374</v>
      </c>
      <c r="P120" s="10">
        <v>8721.7026898223667</v>
      </c>
      <c r="R120" s="19">
        <f t="shared" si="20"/>
        <v>-0.10923337188334514</v>
      </c>
      <c r="S120" s="23">
        <f t="shared" si="21"/>
        <v>1864.4586221275658</v>
      </c>
      <c r="U120" s="23">
        <f t="shared" si="22"/>
        <v>-17068.580690878047</v>
      </c>
      <c r="AA120" s="18">
        <f t="shared" si="23"/>
        <v>0</v>
      </c>
      <c r="AF120" s="23">
        <f t="shared" si="24"/>
        <v>-7326.1272162948226</v>
      </c>
      <c r="AL120" s="18">
        <f t="shared" si="25"/>
        <v>0</v>
      </c>
    </row>
    <row r="121" spans="1:38" x14ac:dyDescent="0.2">
      <c r="I121" s="4">
        <v>114</v>
      </c>
      <c r="K121" s="14">
        <v>6.9190501619079328</v>
      </c>
      <c r="L121" s="10">
        <v>7221.9393929984408</v>
      </c>
      <c r="O121" s="14">
        <v>6.7773021355083332</v>
      </c>
      <c r="P121" s="10">
        <v>9717.9362853153016</v>
      </c>
      <c r="R121" s="19">
        <f t="shared" si="20"/>
        <v>-0.1417480263995996</v>
      </c>
      <c r="S121" s="23">
        <f t="shared" si="21"/>
        <v>2495.9968923168608</v>
      </c>
      <c r="U121" s="23">
        <f t="shared" si="22"/>
        <v>-17608.688852431962</v>
      </c>
      <c r="AA121" s="18">
        <f t="shared" si="23"/>
        <v>0</v>
      </c>
      <c r="AF121" s="23">
        <f t="shared" si="24"/>
        <v>-9583.3982122968409</v>
      </c>
      <c r="AL121" s="18">
        <f t="shared" si="25"/>
        <v>0</v>
      </c>
    </row>
    <row r="122" spans="1:38" x14ac:dyDescent="0.2">
      <c r="I122" s="4">
        <v>115</v>
      </c>
      <c r="K122" s="14">
        <v>6.5257185862748353</v>
      </c>
      <c r="L122" s="10">
        <v>6019.3462271654998</v>
      </c>
      <c r="O122" s="14">
        <v>7.2164515711056563</v>
      </c>
      <c r="P122" s="10">
        <v>9488.2408721735865</v>
      </c>
      <c r="R122" s="19">
        <f t="shared" si="20"/>
        <v>0.69073298483082102</v>
      </c>
      <c r="S122" s="23">
        <f t="shared" si="21"/>
        <v>3468.8946450080866</v>
      </c>
      <c r="U122" s="23">
        <f t="shared" si="22"/>
        <v>5022.0486370108874</v>
      </c>
      <c r="AA122" s="18">
        <f t="shared" si="23"/>
        <v>1</v>
      </c>
      <c r="AF122" s="23">
        <f t="shared" si="24"/>
        <v>31067.754596532966</v>
      </c>
      <c r="AL122" s="18">
        <f t="shared" si="25"/>
        <v>1</v>
      </c>
    </row>
    <row r="123" spans="1:38" x14ac:dyDescent="0.2">
      <c r="I123" s="4">
        <v>116</v>
      </c>
      <c r="K123" s="14">
        <v>6.204167110223648</v>
      </c>
      <c r="L123" s="10">
        <v>7107.2587747809021</v>
      </c>
      <c r="O123" s="14">
        <v>6.6583250486339276</v>
      </c>
      <c r="P123" s="10">
        <v>9369.4664922908996</v>
      </c>
      <c r="R123" s="19">
        <f t="shared" si="20"/>
        <v>0.45415793841027963</v>
      </c>
      <c r="S123" s="23">
        <f t="shared" si="21"/>
        <v>2262.2077175099976</v>
      </c>
      <c r="U123" s="23">
        <f t="shared" si="22"/>
        <v>4981.1035461112042</v>
      </c>
      <c r="AA123" s="18">
        <f t="shared" si="23"/>
        <v>1</v>
      </c>
      <c r="AF123" s="23">
        <f t="shared" si="24"/>
        <v>20445.689203003982</v>
      </c>
      <c r="AL123" s="18">
        <f t="shared" si="25"/>
        <v>1</v>
      </c>
    </row>
    <row r="124" spans="1:38" x14ac:dyDescent="0.2">
      <c r="I124" s="4">
        <v>117</v>
      </c>
      <c r="K124" s="14">
        <v>6.3436452905021046</v>
      </c>
      <c r="L124" s="10">
        <v>6718.0080227443541</v>
      </c>
      <c r="O124" s="14">
        <v>6.702262003801521</v>
      </c>
      <c r="P124" s="10">
        <v>9411.0536178587299</v>
      </c>
      <c r="R124" s="19">
        <f t="shared" si="20"/>
        <v>0.35861671329941647</v>
      </c>
      <c r="S124" s="23">
        <f t="shared" si="21"/>
        <v>2693.0455951143758</v>
      </c>
      <c r="U124" s="23">
        <f t="shared" si="22"/>
        <v>7509.5373284119551</v>
      </c>
      <c r="AA124" s="18">
        <f t="shared" si="23"/>
        <v>1</v>
      </c>
      <c r="AF124" s="23">
        <f t="shared" si="24"/>
        <v>15237.790069856446</v>
      </c>
      <c r="AL124" s="18">
        <f t="shared" si="25"/>
        <v>1</v>
      </c>
    </row>
    <row r="125" spans="1:38" x14ac:dyDescent="0.2">
      <c r="I125" s="4">
        <v>118</v>
      </c>
      <c r="K125" s="14">
        <v>6.6544019958445402</v>
      </c>
      <c r="L125" s="10">
        <v>6492.7530800505474</v>
      </c>
      <c r="O125" s="14">
        <v>6.7442074820260247</v>
      </c>
      <c r="P125" s="10">
        <v>8578.4547268293954</v>
      </c>
      <c r="R125" s="19">
        <f t="shared" si="20"/>
        <v>8.980548618148454E-2</v>
      </c>
      <c r="S125" s="23">
        <f t="shared" si="21"/>
        <v>2085.701646778848</v>
      </c>
      <c r="U125" s="23">
        <f t="shared" si="22"/>
        <v>23224.657372979775</v>
      </c>
      <c r="AA125" s="18">
        <f t="shared" si="23"/>
        <v>1</v>
      </c>
      <c r="AF125" s="23">
        <f t="shared" si="24"/>
        <v>2404.5726622953789</v>
      </c>
      <c r="AL125" s="18">
        <f t="shared" si="25"/>
        <v>1</v>
      </c>
    </row>
    <row r="126" spans="1:38" x14ac:dyDescent="0.2">
      <c r="I126" s="4">
        <v>119</v>
      </c>
      <c r="K126" s="14">
        <v>6.5942227821430563</v>
      </c>
      <c r="L126" s="10">
        <v>8362.3458096169525</v>
      </c>
      <c r="O126" s="14">
        <v>7.4560748162775035</v>
      </c>
      <c r="P126" s="10">
        <v>10339.533355771167</v>
      </c>
      <c r="R126" s="19">
        <f t="shared" si="20"/>
        <v>0.86185203413444711</v>
      </c>
      <c r="S126" s="23">
        <f t="shared" si="21"/>
        <v>1977.1875461542149</v>
      </c>
      <c r="U126" s="23">
        <f t="shared" si="22"/>
        <v>2294.1148455255347</v>
      </c>
      <c r="AA126" s="18">
        <f t="shared" si="23"/>
        <v>1</v>
      </c>
      <c r="AF126" s="23">
        <f t="shared" si="24"/>
        <v>41115.414160568143</v>
      </c>
      <c r="AL126" s="18">
        <f t="shared" si="25"/>
        <v>1</v>
      </c>
    </row>
    <row r="127" spans="1:38" x14ac:dyDescent="0.2">
      <c r="I127" s="4">
        <v>120</v>
      </c>
      <c r="K127" s="14">
        <v>6.0790865578117019</v>
      </c>
      <c r="L127" s="10">
        <v>5670.9320622843506</v>
      </c>
      <c r="O127" s="14">
        <v>7.3211459423019791</v>
      </c>
      <c r="P127" s="10">
        <v>9630.6656340105128</v>
      </c>
      <c r="R127" s="19">
        <f t="shared" si="20"/>
        <v>1.2420593844902772</v>
      </c>
      <c r="S127" s="23">
        <f t="shared" si="21"/>
        <v>3959.7335717261622</v>
      </c>
      <c r="U127" s="23">
        <f t="shared" si="22"/>
        <v>3188.038849971073</v>
      </c>
      <c r="AA127" s="18">
        <f t="shared" si="23"/>
        <v>1</v>
      </c>
      <c r="AF127" s="23">
        <f t="shared" si="24"/>
        <v>58143.235652787698</v>
      </c>
      <c r="AL127" s="18">
        <f t="shared" si="25"/>
        <v>1</v>
      </c>
    </row>
    <row r="128" spans="1:38" x14ac:dyDescent="0.2">
      <c r="I128" s="4">
        <v>121</v>
      </c>
      <c r="K128" s="14">
        <v>6.9096388648142648</v>
      </c>
      <c r="L128" s="10">
        <v>7576.9015839496287</v>
      </c>
      <c r="O128" s="14">
        <v>7.6120435129932158</v>
      </c>
      <c r="P128" s="10">
        <v>9978.7799353991686</v>
      </c>
      <c r="R128" s="19">
        <f t="shared" si="20"/>
        <v>0.70240464817895099</v>
      </c>
      <c r="S128" s="23">
        <f t="shared" si="21"/>
        <v>2401.8783514495399</v>
      </c>
      <c r="U128" s="23">
        <f t="shared" si="22"/>
        <v>3419.5080537644953</v>
      </c>
      <c r="AA128" s="18">
        <f t="shared" si="23"/>
        <v>1</v>
      </c>
      <c r="AF128" s="23">
        <f t="shared" si="24"/>
        <v>32718.354057498011</v>
      </c>
      <c r="AL128" s="18">
        <f t="shared" si="25"/>
        <v>1</v>
      </c>
    </row>
    <row r="129" spans="9:38" x14ac:dyDescent="0.2">
      <c r="I129" s="4">
        <v>122</v>
      </c>
      <c r="K129" s="14">
        <v>6.8675501625708817</v>
      </c>
      <c r="L129" s="10">
        <v>8409.6472057459778</v>
      </c>
      <c r="O129" s="14">
        <v>7.4828299542858163</v>
      </c>
      <c r="P129" s="10">
        <v>10203.493848230957</v>
      </c>
      <c r="R129" s="19">
        <f t="shared" si="20"/>
        <v>0.61527979171493463</v>
      </c>
      <c r="S129" s="23">
        <f t="shared" si="21"/>
        <v>1793.8466424849794</v>
      </c>
      <c r="U129" s="23">
        <f t="shared" si="22"/>
        <v>2915.4974153873832</v>
      </c>
      <c r="AA129" s="18">
        <f t="shared" si="23"/>
        <v>1</v>
      </c>
      <c r="AF129" s="23">
        <f t="shared" si="24"/>
        <v>28970.142943261751</v>
      </c>
      <c r="AL129" s="18">
        <f t="shared" si="25"/>
        <v>1</v>
      </c>
    </row>
    <row r="130" spans="9:38" x14ac:dyDescent="0.2">
      <c r="I130" s="4">
        <v>123</v>
      </c>
      <c r="K130" s="14">
        <v>6.3569715453220201</v>
      </c>
      <c r="L130" s="10">
        <v>7247.5008961988487</v>
      </c>
      <c r="O130" s="14">
        <v>6.841533453048978</v>
      </c>
      <c r="P130" s="10">
        <v>9807.1249916161687</v>
      </c>
      <c r="R130" s="19">
        <f t="shared" si="20"/>
        <v>0.48456190772695784</v>
      </c>
      <c r="S130" s="23">
        <f t="shared" si="21"/>
        <v>2559.6240954173199</v>
      </c>
      <c r="U130" s="23">
        <f t="shared" si="22"/>
        <v>5282.3469088280526</v>
      </c>
      <c r="AA130" s="18">
        <f t="shared" si="23"/>
        <v>1</v>
      </c>
      <c r="AF130" s="23">
        <f t="shared" si="24"/>
        <v>21668.471290930574</v>
      </c>
      <c r="AL130" s="18">
        <f t="shared" si="25"/>
        <v>1</v>
      </c>
    </row>
    <row r="131" spans="9:38" x14ac:dyDescent="0.2">
      <c r="I131" s="4">
        <v>124</v>
      </c>
      <c r="K131" s="14">
        <v>6.1553487238399978</v>
      </c>
      <c r="L131" s="10">
        <v>6866.2553270179833</v>
      </c>
      <c r="O131" s="14">
        <v>7.2372963112155473</v>
      </c>
      <c r="P131" s="10">
        <v>9722.7810009551413</v>
      </c>
      <c r="R131" s="19">
        <f t="shared" si="20"/>
        <v>1.0819475873755495</v>
      </c>
      <c r="S131" s="23">
        <f t="shared" si="21"/>
        <v>2856.525673937158</v>
      </c>
      <c r="U131" s="23">
        <f t="shared" si="22"/>
        <v>2640.1701036795635</v>
      </c>
      <c r="AA131" s="18">
        <f t="shared" si="23"/>
        <v>1</v>
      </c>
      <c r="AF131" s="23">
        <f t="shared" si="24"/>
        <v>51240.85369484032</v>
      </c>
      <c r="AL131" s="18">
        <f t="shared" si="25"/>
        <v>1</v>
      </c>
    </row>
    <row r="132" spans="9:38" x14ac:dyDescent="0.2">
      <c r="I132" s="4">
        <v>125</v>
      </c>
      <c r="K132" s="14">
        <v>6.4418751985470637</v>
      </c>
      <c r="L132" s="10">
        <v>7016.6695311803114</v>
      </c>
      <c r="O132" s="14">
        <v>7.0624953392926235</v>
      </c>
      <c r="P132" s="10">
        <v>9988.7361556686465</v>
      </c>
      <c r="R132" s="19">
        <f t="shared" si="20"/>
        <v>0.62062014074555982</v>
      </c>
      <c r="S132" s="23">
        <f t="shared" si="21"/>
        <v>2972.066624488335</v>
      </c>
      <c r="U132" s="23">
        <f t="shared" si="22"/>
        <v>4788.8658929404855</v>
      </c>
      <c r="AA132" s="18">
        <f t="shared" si="23"/>
        <v>1</v>
      </c>
      <c r="AF132" s="23">
        <f t="shared" si="24"/>
        <v>28058.940412789656</v>
      </c>
      <c r="AL132" s="18">
        <f t="shared" si="25"/>
        <v>1</v>
      </c>
    </row>
    <row r="133" spans="9:38" x14ac:dyDescent="0.2">
      <c r="I133" s="4">
        <v>126</v>
      </c>
      <c r="K133" s="14">
        <v>6.98328324519332</v>
      </c>
      <c r="L133" s="10">
        <v>7983.6398687044857</v>
      </c>
      <c r="O133" s="14">
        <v>7.3580956499590027</v>
      </c>
      <c r="P133" s="10">
        <v>9691.7197631472536</v>
      </c>
      <c r="R133" s="19">
        <f t="shared" si="20"/>
        <v>0.37481240476568267</v>
      </c>
      <c r="S133" s="23">
        <f t="shared" si="21"/>
        <v>1708.0798944427679</v>
      </c>
      <c r="U133" s="23">
        <f t="shared" si="22"/>
        <v>4557.159455569752</v>
      </c>
      <c r="AA133" s="18">
        <f t="shared" si="23"/>
        <v>1</v>
      </c>
      <c r="AF133" s="23">
        <f t="shared" si="24"/>
        <v>17032.540343841363</v>
      </c>
      <c r="AL133" s="18">
        <f t="shared" si="25"/>
        <v>1</v>
      </c>
    </row>
    <row r="134" spans="9:38" x14ac:dyDescent="0.2">
      <c r="I134" s="4">
        <v>127</v>
      </c>
      <c r="K134" s="14">
        <v>6.7703472192689125</v>
      </c>
      <c r="L134" s="10">
        <v>7217.8350937179748</v>
      </c>
      <c r="O134" s="14">
        <v>7.1819383079997259</v>
      </c>
      <c r="P134" s="10">
        <v>9857.4992448183548</v>
      </c>
      <c r="R134" s="19">
        <f t="shared" si="20"/>
        <v>0.4115910887308134</v>
      </c>
      <c r="S134" s="23">
        <f t="shared" si="21"/>
        <v>2639.66415110038</v>
      </c>
      <c r="U134" s="23">
        <f t="shared" si="22"/>
        <v>6413.3170599977666</v>
      </c>
      <c r="AA134" s="18">
        <f t="shared" si="23"/>
        <v>1</v>
      </c>
      <c r="AF134" s="23">
        <f t="shared" si="24"/>
        <v>17939.890285440291</v>
      </c>
      <c r="AL134" s="18">
        <f t="shared" si="25"/>
        <v>1</v>
      </c>
    </row>
    <row r="135" spans="9:38" x14ac:dyDescent="0.2">
      <c r="I135" s="4">
        <v>128</v>
      </c>
      <c r="K135" s="14">
        <v>6.8071810824197083</v>
      </c>
      <c r="L135" s="10">
        <v>5373.4582221995133</v>
      </c>
      <c r="O135" s="14">
        <v>6.5424038726855649</v>
      </c>
      <c r="P135" s="10">
        <v>9271.2778889751135</v>
      </c>
      <c r="R135" s="19">
        <f t="shared" si="20"/>
        <v>-0.26477720973414343</v>
      </c>
      <c r="S135" s="23">
        <f t="shared" si="21"/>
        <v>3897.8196667756001</v>
      </c>
      <c r="U135" s="23">
        <f t="shared" si="22"/>
        <v>-14721.129778085166</v>
      </c>
      <c r="AA135" s="18">
        <f t="shared" si="23"/>
        <v>0</v>
      </c>
      <c r="AF135" s="23">
        <f t="shared" si="24"/>
        <v>-17136.680153482772</v>
      </c>
      <c r="AL135" s="18">
        <f t="shared" si="25"/>
        <v>0</v>
      </c>
    </row>
    <row r="136" spans="9:38" x14ac:dyDescent="0.2">
      <c r="I136" s="4">
        <v>129</v>
      </c>
      <c r="K136" s="14">
        <v>6.4980466586961931</v>
      </c>
      <c r="L136" s="10">
        <v>6072.1403718728188</v>
      </c>
      <c r="O136" s="14">
        <v>7.3681741498960331</v>
      </c>
      <c r="P136" s="10">
        <v>10152.761825889684</v>
      </c>
      <c r="R136" s="19">
        <f t="shared" ref="R136:R199" si="30">O136-K136</f>
        <v>0.87012749119984001</v>
      </c>
      <c r="S136" s="23">
        <f t="shared" ref="S136:S199" si="31">P136-L136</f>
        <v>4080.6214540168648</v>
      </c>
      <c r="U136" s="23">
        <f t="shared" ref="U136:U199" si="32">S136/R136</f>
        <v>4689.6822537924836</v>
      </c>
      <c r="AA136" s="18">
        <f t="shared" ref="AA136:AA199" si="33">IF(R136&lt;0,IF(U136&lt;Rc_,0,1),IF(U136&lt;Rc_,1,0))</f>
        <v>1</v>
      </c>
      <c r="AF136" s="23">
        <f t="shared" ref="AF136:AF199" si="34">R136*Rc_-S136</f>
        <v>39425.753105975135</v>
      </c>
      <c r="AL136" s="18">
        <f t="shared" ref="AL136:AL199" si="35">IF(AF136&gt;0,1,0)</f>
        <v>1</v>
      </c>
    </row>
    <row r="137" spans="9:38" x14ac:dyDescent="0.2">
      <c r="I137" s="4">
        <v>130</v>
      </c>
      <c r="K137" s="14">
        <v>6.7747753963244444</v>
      </c>
      <c r="L137" s="10">
        <v>7131.7319225297861</v>
      </c>
      <c r="O137" s="14">
        <v>7.5871214733154044</v>
      </c>
      <c r="P137" s="10">
        <v>10439.66099344903</v>
      </c>
      <c r="R137" s="19">
        <f t="shared" si="30"/>
        <v>0.81234607699096006</v>
      </c>
      <c r="S137" s="23">
        <f t="shared" si="31"/>
        <v>3307.9290709192437</v>
      </c>
      <c r="U137" s="23">
        <f t="shared" si="32"/>
        <v>4072.0687458383022</v>
      </c>
      <c r="AA137" s="18">
        <f t="shared" si="33"/>
        <v>1</v>
      </c>
      <c r="AF137" s="23">
        <f t="shared" si="34"/>
        <v>37309.374778628764</v>
      </c>
      <c r="AL137" s="18">
        <f t="shared" si="35"/>
        <v>1</v>
      </c>
    </row>
    <row r="138" spans="9:38" x14ac:dyDescent="0.2">
      <c r="I138" s="4">
        <v>131</v>
      </c>
      <c r="K138" s="14">
        <v>6.7544333223472597</v>
      </c>
      <c r="L138" s="10">
        <v>7204.3349471221663</v>
      </c>
      <c r="O138" s="14">
        <v>7.3275325269783851</v>
      </c>
      <c r="P138" s="10">
        <v>10020.091413102935</v>
      </c>
      <c r="R138" s="19">
        <f t="shared" si="30"/>
        <v>0.5730992046311254</v>
      </c>
      <c r="S138" s="23">
        <f t="shared" si="31"/>
        <v>2815.7564659807686</v>
      </c>
      <c r="U138" s="23">
        <f t="shared" si="32"/>
        <v>4913.2095163055174</v>
      </c>
      <c r="AA138" s="18">
        <f t="shared" si="33"/>
        <v>1</v>
      </c>
      <c r="AF138" s="23">
        <f t="shared" si="34"/>
        <v>25839.203765575501</v>
      </c>
      <c r="AL138" s="18">
        <f t="shared" si="35"/>
        <v>1</v>
      </c>
    </row>
    <row r="139" spans="9:38" x14ac:dyDescent="0.2">
      <c r="I139" s="4">
        <v>132</v>
      </c>
      <c r="K139" s="14">
        <v>6.6209903223834026</v>
      </c>
      <c r="L139" s="10">
        <v>5942.3233129573064</v>
      </c>
      <c r="O139" s="14">
        <v>7.228659322528963</v>
      </c>
      <c r="P139" s="10">
        <v>9779.8987706266616</v>
      </c>
      <c r="R139" s="19">
        <f t="shared" si="30"/>
        <v>0.60766900014556047</v>
      </c>
      <c r="S139" s="23">
        <f t="shared" si="31"/>
        <v>3837.5754576693553</v>
      </c>
      <c r="U139" s="23">
        <f t="shared" si="32"/>
        <v>6315.2398044825486</v>
      </c>
      <c r="AA139" s="18">
        <f t="shared" si="33"/>
        <v>1</v>
      </c>
      <c r="AF139" s="23">
        <f t="shared" si="34"/>
        <v>26545.87454960867</v>
      </c>
      <c r="AL139" s="18">
        <f t="shared" si="35"/>
        <v>1</v>
      </c>
    </row>
    <row r="140" spans="9:38" x14ac:dyDescent="0.2">
      <c r="I140" s="4">
        <v>133</v>
      </c>
      <c r="K140" s="14">
        <v>6.138485938280354</v>
      </c>
      <c r="L140" s="10">
        <v>6901.1815745831273</v>
      </c>
      <c r="O140" s="14">
        <v>7.2926931654408911</v>
      </c>
      <c r="P140" s="10">
        <v>10444.001791571385</v>
      </c>
      <c r="R140" s="19">
        <f t="shared" si="30"/>
        <v>1.154207227160537</v>
      </c>
      <c r="S140" s="23">
        <f t="shared" si="31"/>
        <v>3542.8202169882579</v>
      </c>
      <c r="U140" s="23">
        <f t="shared" si="32"/>
        <v>3069.4836539049779</v>
      </c>
      <c r="AA140" s="18">
        <f t="shared" si="33"/>
        <v>1</v>
      </c>
      <c r="AF140" s="23">
        <f t="shared" si="34"/>
        <v>54167.541141038593</v>
      </c>
      <c r="AL140" s="18">
        <f t="shared" si="35"/>
        <v>1</v>
      </c>
    </row>
    <row r="141" spans="9:38" x14ac:dyDescent="0.2">
      <c r="I141" s="4">
        <v>134</v>
      </c>
      <c r="K141" s="14">
        <v>6.4297045843861556</v>
      </c>
      <c r="L141" s="10">
        <v>8474.238583532755</v>
      </c>
      <c r="O141" s="14">
        <v>7.6189695138217051</v>
      </c>
      <c r="P141" s="10">
        <v>10387.796573605016</v>
      </c>
      <c r="R141" s="19">
        <f t="shared" si="30"/>
        <v>1.1892649294355495</v>
      </c>
      <c r="S141" s="23">
        <f t="shared" si="31"/>
        <v>1913.5579900722605</v>
      </c>
      <c r="U141" s="23">
        <f t="shared" si="32"/>
        <v>1609.0258299136729</v>
      </c>
      <c r="AA141" s="18">
        <f t="shared" si="33"/>
        <v>1</v>
      </c>
      <c r="AF141" s="23">
        <f t="shared" si="34"/>
        <v>57549.68848170522</v>
      </c>
      <c r="AL141" s="18">
        <f t="shared" si="35"/>
        <v>1</v>
      </c>
    </row>
    <row r="142" spans="9:38" x14ac:dyDescent="0.2">
      <c r="I142" s="4">
        <v>135</v>
      </c>
      <c r="K142" s="14">
        <v>6.2344697387541537</v>
      </c>
      <c r="L142" s="10">
        <v>6416.4620817969299</v>
      </c>
      <c r="O142" s="14">
        <v>7.6132345361813369</v>
      </c>
      <c r="P142" s="10">
        <v>10203.754387478954</v>
      </c>
      <c r="R142" s="19">
        <f t="shared" si="30"/>
        <v>1.3787647974271833</v>
      </c>
      <c r="S142" s="23">
        <f t="shared" si="31"/>
        <v>3787.2923056820237</v>
      </c>
      <c r="U142" s="23">
        <f t="shared" si="32"/>
        <v>2746.8733700985299</v>
      </c>
      <c r="AA142" s="18">
        <f t="shared" si="33"/>
        <v>1</v>
      </c>
      <c r="AF142" s="23">
        <f t="shared" si="34"/>
        <v>65150.947565677146</v>
      </c>
      <c r="AL142" s="18">
        <f t="shared" si="35"/>
        <v>1</v>
      </c>
    </row>
    <row r="143" spans="9:38" x14ac:dyDescent="0.2">
      <c r="I143" s="4">
        <v>136</v>
      </c>
      <c r="K143" s="14">
        <v>6.8580715925442268</v>
      </c>
      <c r="L143" s="10">
        <v>8994.7127600146159</v>
      </c>
      <c r="O143" s="14">
        <v>7.0950982497890083</v>
      </c>
      <c r="P143" s="10">
        <v>9311.7806003560054</v>
      </c>
      <c r="R143" s="19">
        <f t="shared" si="30"/>
        <v>0.23702665724478145</v>
      </c>
      <c r="S143" s="23">
        <f t="shared" si="31"/>
        <v>317.06784034138946</v>
      </c>
      <c r="U143" s="23">
        <f t="shared" si="32"/>
        <v>1337.688528484575</v>
      </c>
      <c r="AA143" s="18">
        <f t="shared" si="33"/>
        <v>1</v>
      </c>
      <c r="AF143" s="23">
        <f t="shared" si="34"/>
        <v>11534.265021897683</v>
      </c>
      <c r="AL143" s="18">
        <f t="shared" si="35"/>
        <v>1</v>
      </c>
    </row>
    <row r="144" spans="9:38" x14ac:dyDescent="0.2">
      <c r="I144" s="4">
        <v>137</v>
      </c>
      <c r="K144" s="14">
        <v>6.448012702640697</v>
      </c>
      <c r="L144" s="10">
        <v>6637.1712134286063</v>
      </c>
      <c r="O144" s="14">
        <v>7.2291827802293653</v>
      </c>
      <c r="P144" s="10">
        <v>9579.557895790098</v>
      </c>
      <c r="R144" s="19">
        <f t="shared" si="30"/>
        <v>0.7811700775886683</v>
      </c>
      <c r="S144" s="23">
        <f t="shared" si="31"/>
        <v>2942.3866823614917</v>
      </c>
      <c r="U144" s="23">
        <f t="shared" si="32"/>
        <v>3766.6402833095076</v>
      </c>
      <c r="AA144" s="18">
        <f t="shared" si="33"/>
        <v>1</v>
      </c>
      <c r="AF144" s="23">
        <f t="shared" si="34"/>
        <v>36116.11719707193</v>
      </c>
      <c r="AL144" s="18">
        <f t="shared" si="35"/>
        <v>1</v>
      </c>
    </row>
    <row r="145" spans="9:38" x14ac:dyDescent="0.2">
      <c r="I145" s="4">
        <v>138</v>
      </c>
      <c r="K145" s="14">
        <v>7.2425059728632046</v>
      </c>
      <c r="L145" s="10">
        <v>6403.0538094685626</v>
      </c>
      <c r="O145" s="14">
        <v>7.2443353775060428</v>
      </c>
      <c r="P145" s="10">
        <v>9929.0805724935381</v>
      </c>
      <c r="R145" s="19">
        <f t="shared" si="30"/>
        <v>1.829404642838206E-3</v>
      </c>
      <c r="S145" s="23">
        <f t="shared" si="31"/>
        <v>3526.0267630249755</v>
      </c>
      <c r="U145" s="23">
        <f t="shared" si="32"/>
        <v>1927417.6311013221</v>
      </c>
      <c r="AA145" s="18">
        <f t="shared" si="33"/>
        <v>0</v>
      </c>
      <c r="AF145" s="23">
        <f t="shared" si="34"/>
        <v>-3434.5565308830651</v>
      </c>
      <c r="AL145" s="18">
        <f t="shared" si="35"/>
        <v>0</v>
      </c>
    </row>
    <row r="146" spans="9:38" x14ac:dyDescent="0.2">
      <c r="I146" s="4">
        <v>139</v>
      </c>
      <c r="K146" s="14">
        <v>6.3597447939046035</v>
      </c>
      <c r="L146" s="10">
        <v>7261.5681670230806</v>
      </c>
      <c r="O146" s="14">
        <v>7.0091405835722504</v>
      </c>
      <c r="P146" s="10">
        <v>9447.6244293800137</v>
      </c>
      <c r="R146" s="19">
        <f t="shared" si="30"/>
        <v>0.64939578966764699</v>
      </c>
      <c r="S146" s="23">
        <f t="shared" si="31"/>
        <v>2186.0562623569331</v>
      </c>
      <c r="U146" s="23">
        <f t="shared" si="32"/>
        <v>3366.2926325342064</v>
      </c>
      <c r="AA146" s="18">
        <f t="shared" si="33"/>
        <v>1</v>
      </c>
      <c r="AF146" s="23">
        <f t="shared" si="34"/>
        <v>30283.733221025417</v>
      </c>
      <c r="AL146" s="18">
        <f t="shared" si="35"/>
        <v>1</v>
      </c>
    </row>
    <row r="147" spans="9:38" x14ac:dyDescent="0.2">
      <c r="I147" s="4">
        <v>140</v>
      </c>
      <c r="K147" s="14">
        <v>5.8655574033082258</v>
      </c>
      <c r="L147" s="10">
        <v>8127.182815897283</v>
      </c>
      <c r="O147" s="14">
        <v>7.0003249699549652</v>
      </c>
      <c r="P147" s="10">
        <v>9417.087844607835</v>
      </c>
      <c r="R147" s="19">
        <f t="shared" si="30"/>
        <v>1.1347675666467394</v>
      </c>
      <c r="S147" s="23">
        <f t="shared" si="31"/>
        <v>1289.905028710552</v>
      </c>
      <c r="U147" s="23">
        <f t="shared" si="32"/>
        <v>1136.7129856577121</v>
      </c>
      <c r="AA147" s="18">
        <f t="shared" si="33"/>
        <v>1</v>
      </c>
      <c r="AF147" s="23">
        <f t="shared" si="34"/>
        <v>55448.473303626422</v>
      </c>
      <c r="AL147" s="18">
        <f t="shared" si="35"/>
        <v>1</v>
      </c>
    </row>
    <row r="148" spans="9:38" x14ac:dyDescent="0.2">
      <c r="I148" s="4">
        <v>141</v>
      </c>
      <c r="K148" s="14">
        <v>7.119904034495935</v>
      </c>
      <c r="L148" s="10">
        <v>7637.2503697127686</v>
      </c>
      <c r="O148" s="14">
        <v>6.8009594325147802</v>
      </c>
      <c r="P148" s="10">
        <v>9646.0277051733046</v>
      </c>
      <c r="R148" s="19">
        <f t="shared" si="30"/>
        <v>-0.31894460198115482</v>
      </c>
      <c r="S148" s="23">
        <f t="shared" si="31"/>
        <v>2008.7773354605361</v>
      </c>
      <c r="U148" s="23">
        <f t="shared" si="32"/>
        <v>-6298.2013897799934</v>
      </c>
      <c r="AA148" s="18">
        <f t="shared" si="33"/>
        <v>0</v>
      </c>
      <c r="AF148" s="23">
        <f t="shared" si="34"/>
        <v>-17956.007434518277</v>
      </c>
      <c r="AL148" s="18">
        <f t="shared" si="35"/>
        <v>0</v>
      </c>
    </row>
    <row r="149" spans="9:38" x14ac:dyDescent="0.2">
      <c r="I149" s="4">
        <v>142</v>
      </c>
      <c r="K149" s="14">
        <v>6.3735274946999256</v>
      </c>
      <c r="L149" s="10">
        <v>7034.4687382282982</v>
      </c>
      <c r="O149" s="14">
        <v>7.0461375350220079</v>
      </c>
      <c r="P149" s="10">
        <v>10064.681807421124</v>
      </c>
      <c r="R149" s="19">
        <f t="shared" si="30"/>
        <v>0.67261004032208227</v>
      </c>
      <c r="S149" s="23">
        <f t="shared" si="31"/>
        <v>3030.213069192826</v>
      </c>
      <c r="U149" s="23">
        <f t="shared" si="32"/>
        <v>4505.1558667512536</v>
      </c>
      <c r="AA149" s="18">
        <f t="shared" si="33"/>
        <v>1</v>
      </c>
      <c r="AF149" s="23">
        <f t="shared" si="34"/>
        <v>30600.288946911285</v>
      </c>
      <c r="AL149" s="18">
        <f t="shared" si="35"/>
        <v>1</v>
      </c>
    </row>
    <row r="150" spans="9:38" x14ac:dyDescent="0.2">
      <c r="I150" s="4">
        <v>143</v>
      </c>
      <c r="K150" s="14">
        <v>6.8391481867536363</v>
      </c>
      <c r="L150" s="10">
        <v>7932.242708284638</v>
      </c>
      <c r="O150" s="14">
        <v>7.297792603945962</v>
      </c>
      <c r="P150" s="10">
        <v>9601.4245003103842</v>
      </c>
      <c r="R150" s="19">
        <f t="shared" si="30"/>
        <v>0.45864441719232563</v>
      </c>
      <c r="S150" s="23">
        <f t="shared" si="31"/>
        <v>1669.1817920257463</v>
      </c>
      <c r="U150" s="23">
        <f t="shared" si="32"/>
        <v>3639.3810312658838</v>
      </c>
      <c r="AA150" s="18">
        <f t="shared" si="33"/>
        <v>1</v>
      </c>
      <c r="AF150" s="23">
        <f t="shared" si="34"/>
        <v>21263.039067590536</v>
      </c>
      <c r="AL150" s="18">
        <f t="shared" si="35"/>
        <v>1</v>
      </c>
    </row>
    <row r="151" spans="9:38" x14ac:dyDescent="0.2">
      <c r="I151" s="4">
        <v>144</v>
      </c>
      <c r="K151" s="14">
        <v>6.3289247563127393</v>
      </c>
      <c r="L151" s="10">
        <v>7524.849810761918</v>
      </c>
      <c r="O151" s="14">
        <v>6.724182363043707</v>
      </c>
      <c r="P151" s="10">
        <v>8838.0029864008357</v>
      </c>
      <c r="R151" s="19">
        <f t="shared" si="30"/>
        <v>0.39525760673096766</v>
      </c>
      <c r="S151" s="23">
        <f t="shared" si="31"/>
        <v>1313.1531756389177</v>
      </c>
      <c r="U151" s="23">
        <f t="shared" si="32"/>
        <v>3322.2717369047782</v>
      </c>
      <c r="AA151" s="18">
        <f t="shared" si="33"/>
        <v>1</v>
      </c>
      <c r="AF151" s="23">
        <f t="shared" si="34"/>
        <v>18449.727160909468</v>
      </c>
      <c r="AL151" s="18">
        <f t="shared" si="35"/>
        <v>1</v>
      </c>
    </row>
    <row r="152" spans="9:38" x14ac:dyDescent="0.2">
      <c r="I152" s="4">
        <v>145</v>
      </c>
      <c r="K152" s="14">
        <v>6.2148024245205162</v>
      </c>
      <c r="L152" s="10">
        <v>7097.3673742399887</v>
      </c>
      <c r="O152" s="14">
        <v>6.8700935661246048</v>
      </c>
      <c r="P152" s="10">
        <v>9356.516233639275</v>
      </c>
      <c r="R152" s="19">
        <f t="shared" si="30"/>
        <v>0.65529114160408852</v>
      </c>
      <c r="S152" s="23">
        <f t="shared" si="31"/>
        <v>2259.1488593992863</v>
      </c>
      <c r="U152" s="23">
        <f t="shared" si="32"/>
        <v>3447.5498232268351</v>
      </c>
      <c r="AA152" s="18">
        <f t="shared" si="33"/>
        <v>1</v>
      </c>
      <c r="AF152" s="23">
        <f t="shared" si="34"/>
        <v>30505.40822080514</v>
      </c>
      <c r="AL152" s="18">
        <f t="shared" si="35"/>
        <v>1</v>
      </c>
    </row>
    <row r="153" spans="9:38" x14ac:dyDescent="0.2">
      <c r="I153" s="4">
        <v>146</v>
      </c>
      <c r="K153" s="14">
        <v>6.2598214781463151</v>
      </c>
      <c r="L153" s="10">
        <v>7047.8740474070628</v>
      </c>
      <c r="O153" s="14">
        <v>7.1098307097633597</v>
      </c>
      <c r="P153" s="10">
        <v>9573.3148403870218</v>
      </c>
      <c r="R153" s="19">
        <f t="shared" si="30"/>
        <v>0.85000923161704467</v>
      </c>
      <c r="S153" s="23">
        <f t="shared" si="31"/>
        <v>2525.440792979959</v>
      </c>
      <c r="U153" s="23">
        <f t="shared" si="32"/>
        <v>2971.0745472441504</v>
      </c>
      <c r="AA153" s="18">
        <f t="shared" si="33"/>
        <v>1</v>
      </c>
      <c r="AF153" s="23">
        <f t="shared" si="34"/>
        <v>39975.020787872279</v>
      </c>
      <c r="AL153" s="18">
        <f t="shared" si="35"/>
        <v>1</v>
      </c>
    </row>
    <row r="154" spans="9:38" x14ac:dyDescent="0.2">
      <c r="I154" s="4">
        <v>147</v>
      </c>
      <c r="K154" s="14">
        <v>6.4325368966008662</v>
      </c>
      <c r="L154" s="10">
        <v>7396.6757598703998</v>
      </c>
      <c r="O154" s="14">
        <v>6.5984565544454874</v>
      </c>
      <c r="P154" s="10">
        <v>9957.3273588102074</v>
      </c>
      <c r="R154" s="19">
        <f t="shared" si="30"/>
        <v>0.16591965784462115</v>
      </c>
      <c r="S154" s="23">
        <f t="shared" si="31"/>
        <v>2560.6515989398076</v>
      </c>
      <c r="U154" s="23">
        <f t="shared" si="32"/>
        <v>15433.081481748124</v>
      </c>
      <c r="AA154" s="18">
        <f t="shared" si="33"/>
        <v>1</v>
      </c>
      <c r="AF154" s="23">
        <f t="shared" si="34"/>
        <v>5735.3312932912495</v>
      </c>
      <c r="AL154" s="18">
        <f t="shared" si="35"/>
        <v>1</v>
      </c>
    </row>
    <row r="155" spans="9:38" x14ac:dyDescent="0.2">
      <c r="I155" s="4">
        <v>148</v>
      </c>
      <c r="K155" s="14">
        <v>6.7774411352171278</v>
      </c>
      <c r="L155" s="10">
        <v>6248.4045176021591</v>
      </c>
      <c r="O155" s="14">
        <v>7.4278216075533976</v>
      </c>
      <c r="P155" s="10">
        <v>10091.353988881558</v>
      </c>
      <c r="R155" s="19">
        <f t="shared" si="30"/>
        <v>0.65038047233626983</v>
      </c>
      <c r="S155" s="23">
        <f t="shared" si="31"/>
        <v>3842.9494712793985</v>
      </c>
      <c r="U155" s="23">
        <f t="shared" si="32"/>
        <v>5908.7713034724338</v>
      </c>
      <c r="AA155" s="18">
        <f t="shared" si="33"/>
        <v>1</v>
      </c>
      <c r="AF155" s="23">
        <f t="shared" si="34"/>
        <v>28676.07414553409</v>
      </c>
      <c r="AL155" s="18">
        <f t="shared" si="35"/>
        <v>1</v>
      </c>
    </row>
    <row r="156" spans="9:38" x14ac:dyDescent="0.2">
      <c r="I156" s="4">
        <v>149</v>
      </c>
      <c r="K156" s="14">
        <v>6.8174704293071837</v>
      </c>
      <c r="L156" s="10">
        <v>8137.4456324644134</v>
      </c>
      <c r="O156" s="14">
        <v>7.4404682655451531</v>
      </c>
      <c r="P156" s="10">
        <v>10061.590053266049</v>
      </c>
      <c r="R156" s="19">
        <f t="shared" si="30"/>
        <v>0.62299783623796934</v>
      </c>
      <c r="S156" s="23">
        <f t="shared" si="31"/>
        <v>1924.1444208016355</v>
      </c>
      <c r="U156" s="23">
        <f t="shared" si="32"/>
        <v>3088.5250459628583</v>
      </c>
      <c r="AA156" s="18">
        <f t="shared" si="33"/>
        <v>1</v>
      </c>
      <c r="AF156" s="23">
        <f t="shared" si="34"/>
        <v>29225.747391096829</v>
      </c>
      <c r="AL156" s="18">
        <f t="shared" si="35"/>
        <v>1</v>
      </c>
    </row>
    <row r="157" spans="9:38" x14ac:dyDescent="0.2">
      <c r="I157" s="4">
        <v>150</v>
      </c>
      <c r="K157" s="14">
        <v>6.7270237072008161</v>
      </c>
      <c r="L157" s="10">
        <v>8207.6944522646991</v>
      </c>
      <c r="O157" s="14">
        <v>7.2347931770073544</v>
      </c>
      <c r="P157" s="10">
        <v>10368.067835914067</v>
      </c>
      <c r="R157" s="19">
        <f t="shared" si="30"/>
        <v>0.50776946980653825</v>
      </c>
      <c r="S157" s="23">
        <f t="shared" si="31"/>
        <v>2160.3733836493684</v>
      </c>
      <c r="U157" s="23">
        <f t="shared" si="32"/>
        <v>4254.6342624192775</v>
      </c>
      <c r="AA157" s="18">
        <f t="shared" si="33"/>
        <v>1</v>
      </c>
      <c r="AF157" s="23">
        <f t="shared" si="34"/>
        <v>23228.100106677542</v>
      </c>
      <c r="AL157" s="18">
        <f t="shared" si="35"/>
        <v>1</v>
      </c>
    </row>
    <row r="158" spans="9:38" x14ac:dyDescent="0.2">
      <c r="I158" s="4">
        <v>151</v>
      </c>
      <c r="K158" s="14">
        <v>6.3216937989810154</v>
      </c>
      <c r="L158" s="10">
        <v>8354.7126136020652</v>
      </c>
      <c r="O158" s="14">
        <v>7.1175649505555327</v>
      </c>
      <c r="P158" s="10">
        <v>9372.9521686720818</v>
      </c>
      <c r="R158" s="19">
        <f t="shared" si="30"/>
        <v>0.79587115157451738</v>
      </c>
      <c r="S158" s="23">
        <f t="shared" si="31"/>
        <v>1018.2395550700166</v>
      </c>
      <c r="U158" s="23">
        <f t="shared" si="32"/>
        <v>1279.4025176758514</v>
      </c>
      <c r="AA158" s="18">
        <f t="shared" si="33"/>
        <v>1</v>
      </c>
      <c r="AF158" s="23">
        <f t="shared" si="34"/>
        <v>38775.318023655855</v>
      </c>
      <c r="AL158" s="18">
        <f t="shared" si="35"/>
        <v>1</v>
      </c>
    </row>
    <row r="159" spans="9:38" x14ac:dyDescent="0.2">
      <c r="I159" s="4">
        <v>152</v>
      </c>
      <c r="K159" s="14">
        <v>6.3858312908546084</v>
      </c>
      <c r="L159" s="10">
        <v>9040.8384622109934</v>
      </c>
      <c r="O159" s="14">
        <v>6.9867236524670728</v>
      </c>
      <c r="P159" s="10">
        <v>9087.2161805470478</v>
      </c>
      <c r="R159" s="19">
        <f t="shared" si="30"/>
        <v>0.6008923616124644</v>
      </c>
      <c r="S159" s="23">
        <f t="shared" si="31"/>
        <v>46.377718336054386</v>
      </c>
      <c r="U159" s="23">
        <f t="shared" si="32"/>
        <v>77.181407684401435</v>
      </c>
      <c r="AA159" s="18">
        <f t="shared" si="33"/>
        <v>1</v>
      </c>
      <c r="AF159" s="23">
        <f t="shared" si="34"/>
        <v>29998.240362287164</v>
      </c>
      <c r="AL159" s="18">
        <f t="shared" si="35"/>
        <v>1</v>
      </c>
    </row>
    <row r="160" spans="9:38" x14ac:dyDescent="0.2">
      <c r="I160" s="4">
        <v>153</v>
      </c>
      <c r="K160" s="14">
        <v>6.237593253936681</v>
      </c>
      <c r="L160" s="10">
        <v>6082.2765107620453</v>
      </c>
      <c r="O160" s="14">
        <v>7.2230823757112912</v>
      </c>
      <c r="P160" s="10">
        <v>9705.0726946928389</v>
      </c>
      <c r="R160" s="19">
        <f t="shared" si="30"/>
        <v>0.98548912177461023</v>
      </c>
      <c r="S160" s="23">
        <f t="shared" si="31"/>
        <v>3622.7961839307936</v>
      </c>
      <c r="U160" s="23">
        <f t="shared" si="32"/>
        <v>3676.1402068112916</v>
      </c>
      <c r="AA160" s="18">
        <f t="shared" si="33"/>
        <v>1</v>
      </c>
      <c r="AF160" s="23">
        <f t="shared" si="34"/>
        <v>45651.659904799715</v>
      </c>
      <c r="AL160" s="18">
        <f t="shared" si="35"/>
        <v>1</v>
      </c>
    </row>
    <row r="161" spans="9:38" x14ac:dyDescent="0.2">
      <c r="I161" s="4">
        <v>154</v>
      </c>
      <c r="K161" s="14">
        <v>6.6796137410459799</v>
      </c>
      <c r="L161" s="10">
        <v>5967.7232253497714</v>
      </c>
      <c r="O161" s="14">
        <v>7.5183342029315057</v>
      </c>
      <c r="P161" s="10">
        <v>9993.6224295972261</v>
      </c>
      <c r="R161" s="19">
        <f t="shared" si="30"/>
        <v>0.83872046188552574</v>
      </c>
      <c r="S161" s="23">
        <f t="shared" si="31"/>
        <v>4025.8992042474547</v>
      </c>
      <c r="U161" s="23">
        <f t="shared" si="32"/>
        <v>4800.0488687218131</v>
      </c>
      <c r="AA161" s="18">
        <f t="shared" si="33"/>
        <v>1</v>
      </c>
      <c r="AF161" s="23">
        <f t="shared" si="34"/>
        <v>37910.12389002883</v>
      </c>
      <c r="AL161" s="18">
        <f t="shared" si="35"/>
        <v>1</v>
      </c>
    </row>
    <row r="162" spans="9:38" x14ac:dyDescent="0.2">
      <c r="I162" s="4">
        <v>155</v>
      </c>
      <c r="K162" s="14">
        <v>6.3737079836374848</v>
      </c>
      <c r="L162" s="10">
        <v>6022.7777777289893</v>
      </c>
      <c r="O162" s="14">
        <v>7.3043087488895502</v>
      </c>
      <c r="P162" s="10">
        <v>9757.8909159001087</v>
      </c>
      <c r="R162" s="19">
        <f t="shared" si="30"/>
        <v>0.93060076525206537</v>
      </c>
      <c r="S162" s="23">
        <f t="shared" si="31"/>
        <v>3735.1131381711193</v>
      </c>
      <c r="U162" s="23">
        <f t="shared" si="32"/>
        <v>4013.6579268333344</v>
      </c>
      <c r="AA162" s="18">
        <f t="shared" si="33"/>
        <v>1</v>
      </c>
      <c r="AF162" s="23">
        <f t="shared" si="34"/>
        <v>42794.925124432149</v>
      </c>
      <c r="AL162" s="18">
        <f t="shared" si="35"/>
        <v>1</v>
      </c>
    </row>
    <row r="163" spans="9:38" x14ac:dyDescent="0.2">
      <c r="I163" s="4">
        <v>156</v>
      </c>
      <c r="K163" s="14">
        <v>6.1278230107914906</v>
      </c>
      <c r="L163" s="10">
        <v>6093.5080733769191</v>
      </c>
      <c r="O163" s="14">
        <v>7.3073636277114131</v>
      </c>
      <c r="P163" s="10">
        <v>9708.7019245921801</v>
      </c>
      <c r="R163" s="19">
        <f t="shared" si="30"/>
        <v>1.1795406169199225</v>
      </c>
      <c r="S163" s="23">
        <f t="shared" si="31"/>
        <v>3615.193851215261</v>
      </c>
      <c r="U163" s="23">
        <f t="shared" si="32"/>
        <v>3064.9167984188985</v>
      </c>
      <c r="AA163" s="18">
        <f t="shared" si="33"/>
        <v>1</v>
      </c>
      <c r="AF163" s="23">
        <f t="shared" si="34"/>
        <v>55361.836994780861</v>
      </c>
      <c r="AL163" s="18">
        <f t="shared" si="35"/>
        <v>1</v>
      </c>
    </row>
    <row r="164" spans="9:38" x14ac:dyDescent="0.2">
      <c r="I164" s="4">
        <v>157</v>
      </c>
      <c r="K164" s="14">
        <v>6.0082657243977327</v>
      </c>
      <c r="L164" s="10">
        <v>6928.7949221568588</v>
      </c>
      <c r="O164" s="14">
        <v>7.2337618042518042</v>
      </c>
      <c r="P164" s="10">
        <v>9216.4952153463601</v>
      </c>
      <c r="R164" s="19">
        <f t="shared" si="30"/>
        <v>1.2254960798540715</v>
      </c>
      <c r="S164" s="23">
        <f t="shared" si="31"/>
        <v>2287.7002931895013</v>
      </c>
      <c r="U164" s="23">
        <f t="shared" si="32"/>
        <v>1866.7544766539881</v>
      </c>
      <c r="AA164" s="18">
        <f t="shared" si="33"/>
        <v>1</v>
      </c>
      <c r="AF164" s="23">
        <f t="shared" si="34"/>
        <v>58987.103699514068</v>
      </c>
      <c r="AL164" s="18">
        <f t="shared" si="35"/>
        <v>1</v>
      </c>
    </row>
    <row r="165" spans="9:38" x14ac:dyDescent="0.2">
      <c r="I165" s="4">
        <v>158</v>
      </c>
      <c r="K165" s="14">
        <v>6.3603728751656226</v>
      </c>
      <c r="L165" s="10">
        <v>7211.5254844334358</v>
      </c>
      <c r="O165" s="14">
        <v>7.3910901592866658</v>
      </c>
      <c r="P165" s="10">
        <v>9252.925016719224</v>
      </c>
      <c r="R165" s="19">
        <f t="shared" si="30"/>
        <v>1.0307172841210432</v>
      </c>
      <c r="S165" s="23">
        <f t="shared" si="31"/>
        <v>2041.3995322857882</v>
      </c>
      <c r="U165" s="23">
        <f t="shared" si="32"/>
        <v>1980.5620452233093</v>
      </c>
      <c r="AA165" s="18">
        <f t="shared" si="33"/>
        <v>1</v>
      </c>
      <c r="AF165" s="23">
        <f t="shared" si="34"/>
        <v>49494.464673766372</v>
      </c>
      <c r="AL165" s="18">
        <f t="shared" si="35"/>
        <v>1</v>
      </c>
    </row>
    <row r="166" spans="9:38" x14ac:dyDescent="0.2">
      <c r="I166" s="4">
        <v>159</v>
      </c>
      <c r="K166" s="14">
        <v>6.7589134372702144</v>
      </c>
      <c r="L166" s="10">
        <v>6842.5458304498097</v>
      </c>
      <c r="O166" s="14">
        <v>7.0606807258752857</v>
      </c>
      <c r="P166" s="10">
        <v>10337.682148609691</v>
      </c>
      <c r="R166" s="19">
        <f t="shared" si="30"/>
        <v>0.30176728860507129</v>
      </c>
      <c r="S166" s="23">
        <f t="shared" si="31"/>
        <v>3495.1363181598808</v>
      </c>
      <c r="U166" s="23">
        <f t="shared" si="32"/>
        <v>11582.223952490867</v>
      </c>
      <c r="AA166" s="18">
        <f t="shared" si="33"/>
        <v>1</v>
      </c>
      <c r="AF166" s="23">
        <f t="shared" si="34"/>
        <v>11593.228112093684</v>
      </c>
      <c r="AL166" s="18">
        <f t="shared" si="35"/>
        <v>1</v>
      </c>
    </row>
    <row r="167" spans="9:38" x14ac:dyDescent="0.2">
      <c r="I167" s="4">
        <v>160</v>
      </c>
      <c r="K167" s="14">
        <v>5.9274429009142651</v>
      </c>
      <c r="L167" s="10">
        <v>5707.0661631787925</v>
      </c>
      <c r="O167" s="14">
        <v>7.0889043667104685</v>
      </c>
      <c r="P167" s="10">
        <v>10510.425345317395</v>
      </c>
      <c r="R167" s="19">
        <f t="shared" si="30"/>
        <v>1.1614614657962035</v>
      </c>
      <c r="S167" s="23">
        <f t="shared" si="31"/>
        <v>4803.3591821386026</v>
      </c>
      <c r="U167" s="23">
        <f t="shared" si="32"/>
        <v>4135.6164828471601</v>
      </c>
      <c r="AA167" s="18">
        <f t="shared" si="33"/>
        <v>1</v>
      </c>
      <c r="AF167" s="23">
        <f t="shared" si="34"/>
        <v>53269.714107671571</v>
      </c>
      <c r="AL167" s="18">
        <f t="shared" si="35"/>
        <v>1</v>
      </c>
    </row>
    <row r="168" spans="9:38" x14ac:dyDescent="0.2">
      <c r="I168" s="4">
        <v>161</v>
      </c>
      <c r="K168" s="14">
        <v>6.3874838264432903</v>
      </c>
      <c r="L168" s="10">
        <v>8367.1851688664101</v>
      </c>
      <c r="O168" s="14">
        <v>7.7082569363912841</v>
      </c>
      <c r="P168" s="10">
        <v>10218.942469593218</v>
      </c>
      <c r="R168" s="19">
        <f t="shared" si="30"/>
        <v>1.3207731099479938</v>
      </c>
      <c r="S168" s="23">
        <f t="shared" si="31"/>
        <v>1851.7573007268074</v>
      </c>
      <c r="U168" s="23">
        <f t="shared" si="32"/>
        <v>1402.025288658187</v>
      </c>
      <c r="AA168" s="18">
        <f t="shared" si="33"/>
        <v>1</v>
      </c>
      <c r="AF168" s="23">
        <f t="shared" si="34"/>
        <v>64186.898196672875</v>
      </c>
      <c r="AL168" s="18">
        <f t="shared" si="35"/>
        <v>1</v>
      </c>
    </row>
    <row r="169" spans="9:38" x14ac:dyDescent="0.2">
      <c r="I169" s="4">
        <v>162</v>
      </c>
      <c r="K169" s="14">
        <v>6.4750368646374428</v>
      </c>
      <c r="L169" s="10">
        <v>6613.8238308436175</v>
      </c>
      <c r="O169" s="14">
        <v>6.7128001556535173</v>
      </c>
      <c r="P169" s="10">
        <v>9793.4405398994022</v>
      </c>
      <c r="R169" s="19">
        <f t="shared" si="30"/>
        <v>0.23776329101607452</v>
      </c>
      <c r="S169" s="23">
        <f t="shared" si="31"/>
        <v>3179.6167090557847</v>
      </c>
      <c r="U169" s="23">
        <f t="shared" si="32"/>
        <v>13373.034565040654</v>
      </c>
      <c r="AA169" s="18">
        <f t="shared" si="33"/>
        <v>1</v>
      </c>
      <c r="AF169" s="23">
        <f t="shared" si="34"/>
        <v>8708.5478417479408</v>
      </c>
      <c r="AL169" s="18">
        <f t="shared" si="35"/>
        <v>1</v>
      </c>
    </row>
    <row r="170" spans="9:38" x14ac:dyDescent="0.2">
      <c r="I170" s="4">
        <v>163</v>
      </c>
      <c r="K170" s="14">
        <v>6.3612541377224128</v>
      </c>
      <c r="L170" s="10">
        <v>6969.6371121229276</v>
      </c>
      <c r="O170" s="14">
        <v>6.6167336357798368</v>
      </c>
      <c r="P170" s="10">
        <v>9435.4773804777033</v>
      </c>
      <c r="R170" s="19">
        <f t="shared" si="30"/>
        <v>0.25547949805742398</v>
      </c>
      <c r="S170" s="23">
        <f t="shared" si="31"/>
        <v>2465.8402683547756</v>
      </c>
      <c r="U170" s="23">
        <f t="shared" si="32"/>
        <v>9651.8127172792938</v>
      </c>
      <c r="AA170" s="18">
        <f t="shared" si="33"/>
        <v>1</v>
      </c>
      <c r="AF170" s="23">
        <f t="shared" si="34"/>
        <v>10308.134634516424</v>
      </c>
      <c r="AL170" s="18">
        <f t="shared" si="35"/>
        <v>1</v>
      </c>
    </row>
    <row r="171" spans="9:38" x14ac:dyDescent="0.2">
      <c r="I171" s="4">
        <v>164</v>
      </c>
      <c r="K171" s="14">
        <v>6.2306716444870123</v>
      </c>
      <c r="L171" s="10">
        <v>5256.2633619556846</v>
      </c>
      <c r="O171" s="14">
        <v>7.0403179309211374</v>
      </c>
      <c r="P171" s="10">
        <v>10281.754564893468</v>
      </c>
      <c r="R171" s="19">
        <f t="shared" si="30"/>
        <v>0.80964628643412517</v>
      </c>
      <c r="S171" s="23">
        <f t="shared" si="31"/>
        <v>5025.4912029377838</v>
      </c>
      <c r="U171" s="23">
        <f t="shared" si="32"/>
        <v>6207.0206300472792</v>
      </c>
      <c r="AA171" s="18">
        <f t="shared" si="33"/>
        <v>1</v>
      </c>
      <c r="AF171" s="23">
        <f t="shared" si="34"/>
        <v>35456.82311876848</v>
      </c>
      <c r="AL171" s="18">
        <f t="shared" si="35"/>
        <v>1</v>
      </c>
    </row>
    <row r="172" spans="9:38" x14ac:dyDescent="0.2">
      <c r="I172" s="4">
        <v>165</v>
      </c>
      <c r="K172" s="14">
        <v>6.2002541006582312</v>
      </c>
      <c r="L172" s="10">
        <v>8213.9109848388744</v>
      </c>
      <c r="O172" s="14">
        <v>7.4414310883030295</v>
      </c>
      <c r="P172" s="10">
        <v>9484.9516231099096</v>
      </c>
      <c r="R172" s="19">
        <f t="shared" si="30"/>
        <v>1.2411769876447982</v>
      </c>
      <c r="S172" s="23">
        <f t="shared" si="31"/>
        <v>1271.0406382710353</v>
      </c>
      <c r="U172" s="23">
        <f t="shared" si="32"/>
        <v>1024.0607511446897</v>
      </c>
      <c r="AA172" s="18">
        <f t="shared" si="33"/>
        <v>1</v>
      </c>
      <c r="AF172" s="23">
        <f t="shared" si="34"/>
        <v>60787.808743968875</v>
      </c>
      <c r="AL172" s="18">
        <f t="shared" si="35"/>
        <v>1</v>
      </c>
    </row>
    <row r="173" spans="9:38" x14ac:dyDescent="0.2">
      <c r="I173" s="4">
        <v>166</v>
      </c>
      <c r="K173" s="14">
        <v>6.7500208511567488</v>
      </c>
      <c r="L173" s="10">
        <v>10221.162247080305</v>
      </c>
      <c r="O173" s="14">
        <v>7.842792569340447</v>
      </c>
      <c r="P173" s="10">
        <v>11042.804014996658</v>
      </c>
      <c r="R173" s="19">
        <f t="shared" si="30"/>
        <v>1.0927717181836982</v>
      </c>
      <c r="S173" s="23">
        <f t="shared" si="31"/>
        <v>821.64176791635327</v>
      </c>
      <c r="U173" s="23">
        <f t="shared" si="32"/>
        <v>751.88784102319971</v>
      </c>
      <c r="AA173" s="18">
        <f t="shared" si="33"/>
        <v>1</v>
      </c>
      <c r="AF173" s="23">
        <f t="shared" si="34"/>
        <v>53816.944141268556</v>
      </c>
      <c r="AL173" s="18">
        <f t="shared" si="35"/>
        <v>1</v>
      </c>
    </row>
    <row r="174" spans="9:38" x14ac:dyDescent="0.2">
      <c r="I174" s="4">
        <v>167</v>
      </c>
      <c r="K174" s="14">
        <v>5.9990627981375146</v>
      </c>
      <c r="L174" s="10">
        <v>6419.9895267575421</v>
      </c>
      <c r="O174" s="14">
        <v>6.6914918403833248</v>
      </c>
      <c r="P174" s="10">
        <v>9463.9883593617269</v>
      </c>
      <c r="R174" s="19">
        <f t="shared" si="30"/>
        <v>0.69242904224581014</v>
      </c>
      <c r="S174" s="23">
        <f t="shared" si="31"/>
        <v>3043.9988326041848</v>
      </c>
      <c r="U174" s="23">
        <f t="shared" si="32"/>
        <v>4396.116637065571</v>
      </c>
      <c r="AA174" s="18">
        <f t="shared" si="33"/>
        <v>1</v>
      </c>
      <c r="AF174" s="23">
        <f t="shared" si="34"/>
        <v>31577.45327968632</v>
      </c>
      <c r="AL174" s="18">
        <f t="shared" si="35"/>
        <v>1</v>
      </c>
    </row>
    <row r="175" spans="9:38" x14ac:dyDescent="0.2">
      <c r="I175" s="4">
        <v>168</v>
      </c>
      <c r="K175" s="14">
        <v>6.581916530531398</v>
      </c>
      <c r="L175" s="10">
        <v>7789.5772103501367</v>
      </c>
      <c r="O175" s="14">
        <v>6.96149408541228</v>
      </c>
      <c r="P175" s="10">
        <v>9555.6052720847056</v>
      </c>
      <c r="R175" s="19">
        <f t="shared" si="30"/>
        <v>0.37957755488088196</v>
      </c>
      <c r="S175" s="23">
        <f t="shared" si="31"/>
        <v>1766.0280617345688</v>
      </c>
      <c r="U175" s="23">
        <f t="shared" si="32"/>
        <v>4652.6145685531355</v>
      </c>
      <c r="AA175" s="18">
        <f t="shared" si="33"/>
        <v>1</v>
      </c>
      <c r="AF175" s="23">
        <f t="shared" si="34"/>
        <v>17212.849682309527</v>
      </c>
      <c r="AL175" s="18">
        <f t="shared" si="35"/>
        <v>1</v>
      </c>
    </row>
    <row r="176" spans="9:38" x14ac:dyDescent="0.2">
      <c r="I176" s="4">
        <v>169</v>
      </c>
      <c r="K176" s="14">
        <v>6.5803026969641589</v>
      </c>
      <c r="L176" s="10">
        <v>5951.4799659200389</v>
      </c>
      <c r="O176" s="14">
        <v>6.5886436395916972</v>
      </c>
      <c r="P176" s="10">
        <v>9122.0287130766719</v>
      </c>
      <c r="R176" s="19">
        <f t="shared" si="30"/>
        <v>8.3409426275382614E-3</v>
      </c>
      <c r="S176" s="23">
        <f t="shared" si="31"/>
        <v>3170.548747156633</v>
      </c>
      <c r="U176" s="23">
        <f t="shared" si="32"/>
        <v>380118.75740384823</v>
      </c>
      <c r="AA176" s="18">
        <f t="shared" si="33"/>
        <v>0</v>
      </c>
      <c r="AF176" s="23">
        <f t="shared" si="34"/>
        <v>-2753.5016157797199</v>
      </c>
      <c r="AL176" s="18">
        <f t="shared" si="35"/>
        <v>0</v>
      </c>
    </row>
    <row r="177" spans="9:38" x14ac:dyDescent="0.2">
      <c r="I177" s="4">
        <v>170</v>
      </c>
      <c r="K177" s="14">
        <v>6.2019496256612827</v>
      </c>
      <c r="L177" s="10">
        <v>6831.5554517416158</v>
      </c>
      <c r="O177" s="14">
        <v>6.6770795908760849</v>
      </c>
      <c r="P177" s="10">
        <v>9742.1635529181822</v>
      </c>
      <c r="R177" s="19">
        <f t="shared" si="30"/>
        <v>0.47512996521480222</v>
      </c>
      <c r="S177" s="23">
        <f t="shared" si="31"/>
        <v>2910.6081011765664</v>
      </c>
      <c r="U177" s="23">
        <f t="shared" si="32"/>
        <v>6125.9198835432435</v>
      </c>
      <c r="AA177" s="18">
        <f t="shared" si="33"/>
        <v>1</v>
      </c>
      <c r="AF177" s="23">
        <f t="shared" si="34"/>
        <v>20845.890159563543</v>
      </c>
      <c r="AL177" s="18">
        <f t="shared" si="35"/>
        <v>1</v>
      </c>
    </row>
    <row r="178" spans="9:38" x14ac:dyDescent="0.2">
      <c r="I178" s="4">
        <v>171</v>
      </c>
      <c r="K178" s="14">
        <v>5.8974718126201831</v>
      </c>
      <c r="L178" s="10">
        <v>6624.1311765564697</v>
      </c>
      <c r="O178" s="14">
        <v>7.0313632995142052</v>
      </c>
      <c r="P178" s="10">
        <v>9548.9743498068819</v>
      </c>
      <c r="R178" s="19">
        <f t="shared" si="30"/>
        <v>1.1338914868940222</v>
      </c>
      <c r="S178" s="23">
        <f t="shared" si="31"/>
        <v>2924.8431732504123</v>
      </c>
      <c r="U178" s="23">
        <f t="shared" si="32"/>
        <v>2579.473615471089</v>
      </c>
      <c r="AA178" s="18">
        <f t="shared" si="33"/>
        <v>1</v>
      </c>
      <c r="AF178" s="23">
        <f t="shared" si="34"/>
        <v>53769.731171450701</v>
      </c>
      <c r="AL178" s="18">
        <f t="shared" si="35"/>
        <v>1</v>
      </c>
    </row>
    <row r="179" spans="9:38" x14ac:dyDescent="0.2">
      <c r="I179" s="4">
        <v>172</v>
      </c>
      <c r="K179" s="14">
        <v>6.1373744867213791</v>
      </c>
      <c r="L179" s="10">
        <v>6733.3729957752666</v>
      </c>
      <c r="O179" s="14">
        <v>7.4792111413781548</v>
      </c>
      <c r="P179" s="10">
        <v>10160.924025548544</v>
      </c>
      <c r="R179" s="19">
        <f t="shared" si="30"/>
        <v>1.3418366546567757</v>
      </c>
      <c r="S179" s="23">
        <f t="shared" si="31"/>
        <v>3427.5510297732772</v>
      </c>
      <c r="U179" s="23">
        <f t="shared" si="32"/>
        <v>2554.3727829152199</v>
      </c>
      <c r="AA179" s="18">
        <f t="shared" si="33"/>
        <v>1</v>
      </c>
      <c r="AF179" s="23">
        <f t="shared" si="34"/>
        <v>63664.281703065506</v>
      </c>
      <c r="AL179" s="18">
        <f t="shared" si="35"/>
        <v>1</v>
      </c>
    </row>
    <row r="180" spans="9:38" x14ac:dyDescent="0.2">
      <c r="I180" s="4">
        <v>173</v>
      </c>
      <c r="K180" s="14">
        <v>6.8131832361206639</v>
      </c>
      <c r="L180" s="10">
        <v>6100.6579640432683</v>
      </c>
      <c r="O180" s="14">
        <v>7.3531260454808312</v>
      </c>
      <c r="P180" s="10">
        <v>10110.587063932557</v>
      </c>
      <c r="R180" s="19">
        <f t="shared" si="30"/>
        <v>0.53994280936016725</v>
      </c>
      <c r="S180" s="23">
        <f t="shared" si="31"/>
        <v>4009.9290998892884</v>
      </c>
      <c r="U180" s="23">
        <f t="shared" si="32"/>
        <v>7426.5811681816049</v>
      </c>
      <c r="AA180" s="18">
        <f t="shared" si="33"/>
        <v>1</v>
      </c>
      <c r="AF180" s="23">
        <f t="shared" si="34"/>
        <v>22987.211368119075</v>
      </c>
      <c r="AL180" s="18">
        <f t="shared" si="35"/>
        <v>1</v>
      </c>
    </row>
    <row r="181" spans="9:38" x14ac:dyDescent="0.2">
      <c r="I181" s="4">
        <v>174</v>
      </c>
      <c r="K181" s="14">
        <v>6.4777500478637116</v>
      </c>
      <c r="L181" s="10">
        <v>6914.4569044702521</v>
      </c>
      <c r="O181" s="14">
        <v>6.7760383846629466</v>
      </c>
      <c r="P181" s="10">
        <v>8978.3900445340241</v>
      </c>
      <c r="R181" s="19">
        <f t="shared" si="30"/>
        <v>0.29828833679923505</v>
      </c>
      <c r="S181" s="23">
        <f t="shared" si="31"/>
        <v>2063.933140063772</v>
      </c>
      <c r="U181" s="23">
        <f t="shared" si="32"/>
        <v>6919.2552488329975</v>
      </c>
      <c r="AA181" s="18">
        <f t="shared" si="33"/>
        <v>1</v>
      </c>
      <c r="AF181" s="23">
        <f t="shared" si="34"/>
        <v>12850.483699897981</v>
      </c>
      <c r="AL181" s="18">
        <f t="shared" si="35"/>
        <v>1</v>
      </c>
    </row>
    <row r="182" spans="9:38" x14ac:dyDescent="0.2">
      <c r="I182" s="4">
        <v>175</v>
      </c>
      <c r="K182" s="14">
        <v>6.5774486237089445</v>
      </c>
      <c r="L182" s="10">
        <v>6089.8950440955678</v>
      </c>
      <c r="O182" s="14">
        <v>7.1233405884549414</v>
      </c>
      <c r="P182" s="10">
        <v>9583.9026467726617</v>
      </c>
      <c r="R182" s="19">
        <f t="shared" si="30"/>
        <v>0.54589196474599699</v>
      </c>
      <c r="S182" s="23">
        <f t="shared" si="31"/>
        <v>3494.0076026770939</v>
      </c>
      <c r="U182" s="23">
        <f t="shared" si="32"/>
        <v>6400.5477792714028</v>
      </c>
      <c r="AA182" s="18">
        <f t="shared" si="33"/>
        <v>1</v>
      </c>
      <c r="AF182" s="23">
        <f t="shared" si="34"/>
        <v>23800.590634622757</v>
      </c>
      <c r="AL182" s="18">
        <f t="shared" si="35"/>
        <v>1</v>
      </c>
    </row>
    <row r="183" spans="9:38" x14ac:dyDescent="0.2">
      <c r="I183" s="4">
        <v>176</v>
      </c>
      <c r="K183" s="14">
        <v>6.0522636224401518</v>
      </c>
      <c r="L183" s="10">
        <v>7259.7289663709244</v>
      </c>
      <c r="O183" s="14">
        <v>7.424665066374927</v>
      </c>
      <c r="P183" s="10">
        <v>10072.84356853224</v>
      </c>
      <c r="R183" s="19">
        <f t="shared" si="30"/>
        <v>1.3724014439347751</v>
      </c>
      <c r="S183" s="23">
        <f t="shared" si="31"/>
        <v>2813.1146021613158</v>
      </c>
      <c r="U183" s="23">
        <f t="shared" si="32"/>
        <v>2049.7753150826707</v>
      </c>
      <c r="AA183" s="18">
        <f t="shared" si="33"/>
        <v>1</v>
      </c>
      <c r="AF183" s="23">
        <f t="shared" si="34"/>
        <v>65806.957594577441</v>
      </c>
      <c r="AL183" s="18">
        <f t="shared" si="35"/>
        <v>1</v>
      </c>
    </row>
    <row r="184" spans="9:38" x14ac:dyDescent="0.2">
      <c r="I184" s="4">
        <v>177</v>
      </c>
      <c r="K184" s="14">
        <v>6.7535310292990891</v>
      </c>
      <c r="L184" s="10">
        <v>7065.3401422879924</v>
      </c>
      <c r="O184" s="14">
        <v>7.4264524042698055</v>
      </c>
      <c r="P184" s="10">
        <v>9871.6008527485719</v>
      </c>
      <c r="R184" s="19">
        <f t="shared" si="30"/>
        <v>0.67292137497071636</v>
      </c>
      <c r="S184" s="23">
        <f t="shared" si="31"/>
        <v>2806.2607104605795</v>
      </c>
      <c r="U184" s="23">
        <f t="shared" si="32"/>
        <v>4170.2653754797138</v>
      </c>
      <c r="AA184" s="18">
        <f t="shared" si="33"/>
        <v>1</v>
      </c>
      <c r="AF184" s="23">
        <f t="shared" si="34"/>
        <v>30839.808038075244</v>
      </c>
      <c r="AL184" s="18">
        <f t="shared" si="35"/>
        <v>1</v>
      </c>
    </row>
    <row r="185" spans="9:38" x14ac:dyDescent="0.2">
      <c r="I185" s="4">
        <v>178</v>
      </c>
      <c r="K185" s="14">
        <v>6.6731350701804306</v>
      </c>
      <c r="L185" s="10">
        <v>7093.2268722342051</v>
      </c>
      <c r="O185" s="14">
        <v>7.735809652340496</v>
      </c>
      <c r="P185" s="10">
        <v>10025.634986669567</v>
      </c>
      <c r="R185" s="19">
        <f t="shared" si="30"/>
        <v>1.0626745821600654</v>
      </c>
      <c r="S185" s="23">
        <f t="shared" si="31"/>
        <v>2932.4081144353622</v>
      </c>
      <c r="U185" s="23">
        <f t="shared" si="32"/>
        <v>2759.4601053454653</v>
      </c>
      <c r="AA185" s="18">
        <f t="shared" si="33"/>
        <v>1</v>
      </c>
      <c r="AF185" s="23">
        <f t="shared" si="34"/>
        <v>50201.320993567904</v>
      </c>
      <c r="AL185" s="18">
        <f t="shared" si="35"/>
        <v>1</v>
      </c>
    </row>
    <row r="186" spans="9:38" x14ac:dyDescent="0.2">
      <c r="I186" s="4">
        <v>179</v>
      </c>
      <c r="K186" s="14">
        <v>6.5121413925053186</v>
      </c>
      <c r="L186" s="10">
        <v>7097.8029311386854</v>
      </c>
      <c r="O186" s="14">
        <v>6.4948787669650452</v>
      </c>
      <c r="P186" s="10">
        <v>9385.9456635828883</v>
      </c>
      <c r="R186" s="19">
        <f t="shared" si="30"/>
        <v>-1.7262625540273469E-2</v>
      </c>
      <c r="S186" s="23">
        <f t="shared" si="31"/>
        <v>2288.1427324442029</v>
      </c>
      <c r="U186" s="23">
        <f t="shared" si="32"/>
        <v>-132548.9408958097</v>
      </c>
      <c r="AA186" s="18">
        <f t="shared" si="33"/>
        <v>0</v>
      </c>
      <c r="AF186" s="23">
        <f t="shared" si="34"/>
        <v>-3151.2740094578762</v>
      </c>
      <c r="AL186" s="18">
        <f t="shared" si="35"/>
        <v>0</v>
      </c>
    </row>
    <row r="187" spans="9:38" x14ac:dyDescent="0.2">
      <c r="I187" s="4">
        <v>180</v>
      </c>
      <c r="K187" s="14">
        <v>6.2228980251351</v>
      </c>
      <c r="L187" s="10">
        <v>8248.6794041447047</v>
      </c>
      <c r="O187" s="14">
        <v>7.2166431720268349</v>
      </c>
      <c r="P187" s="10">
        <v>9630.3119844632347</v>
      </c>
      <c r="R187" s="19">
        <f t="shared" si="30"/>
        <v>0.99374514689173488</v>
      </c>
      <c r="S187" s="23">
        <f t="shared" si="31"/>
        <v>1381.63258031853</v>
      </c>
      <c r="U187" s="23">
        <f t="shared" si="32"/>
        <v>1390.3288832554713</v>
      </c>
      <c r="AA187" s="18">
        <f t="shared" si="33"/>
        <v>1</v>
      </c>
      <c r="AF187" s="23">
        <f t="shared" si="34"/>
        <v>48305.624764268214</v>
      </c>
      <c r="AL187" s="18">
        <f t="shared" si="35"/>
        <v>1</v>
      </c>
    </row>
    <row r="188" spans="9:38" x14ac:dyDescent="0.2">
      <c r="I188" s="4">
        <v>181</v>
      </c>
      <c r="K188" s="14">
        <v>6.0392510308307612</v>
      </c>
      <c r="L188" s="10">
        <v>6868.51978155704</v>
      </c>
      <c r="O188" s="14">
        <v>7.0444816831080868</v>
      </c>
      <c r="P188" s="10">
        <v>9507.3687227200917</v>
      </c>
      <c r="R188" s="19">
        <f t="shared" si="30"/>
        <v>1.0052306522773256</v>
      </c>
      <c r="S188" s="23">
        <f t="shared" si="31"/>
        <v>2638.8489411630517</v>
      </c>
      <c r="U188" s="23">
        <f t="shared" si="32"/>
        <v>2625.1178624376444</v>
      </c>
      <c r="AA188" s="18">
        <f t="shared" si="33"/>
        <v>1</v>
      </c>
      <c r="AF188" s="23">
        <f t="shared" si="34"/>
        <v>47622.683672703228</v>
      </c>
      <c r="AL188" s="18">
        <f t="shared" si="35"/>
        <v>1</v>
      </c>
    </row>
    <row r="189" spans="9:38" x14ac:dyDescent="0.2">
      <c r="I189" s="4">
        <v>182</v>
      </c>
      <c r="K189" s="14">
        <v>6.5757987590465543</v>
      </c>
      <c r="L189" s="10">
        <v>6326.3186581947639</v>
      </c>
      <c r="O189" s="14">
        <v>7.2684816897920905</v>
      </c>
      <c r="P189" s="10">
        <v>10120.073816046199</v>
      </c>
      <c r="R189" s="19">
        <f t="shared" si="30"/>
        <v>0.69268293074553622</v>
      </c>
      <c r="S189" s="23">
        <f t="shared" si="31"/>
        <v>3793.7551578514349</v>
      </c>
      <c r="U189" s="23">
        <f t="shared" si="32"/>
        <v>5476.9000208626585</v>
      </c>
      <c r="AA189" s="18">
        <f t="shared" si="33"/>
        <v>1</v>
      </c>
      <c r="AF189" s="23">
        <f t="shared" si="34"/>
        <v>30840.391379425379</v>
      </c>
      <c r="AL189" s="18">
        <f t="shared" si="35"/>
        <v>1</v>
      </c>
    </row>
    <row r="190" spans="9:38" x14ac:dyDescent="0.2">
      <c r="I190" s="4">
        <v>183</v>
      </c>
      <c r="K190" s="14">
        <v>6.541537527016013</v>
      </c>
      <c r="L190" s="10">
        <v>6162.750195686318</v>
      </c>
      <c r="O190" s="14">
        <v>7.236733561302291</v>
      </c>
      <c r="P190" s="10">
        <v>9923.945978054755</v>
      </c>
      <c r="R190" s="19">
        <f t="shared" si="30"/>
        <v>0.69519603428627796</v>
      </c>
      <c r="S190" s="23">
        <f t="shared" si="31"/>
        <v>3761.195782368437</v>
      </c>
      <c r="U190" s="23">
        <f t="shared" si="32"/>
        <v>5410.2664527277739</v>
      </c>
      <c r="AA190" s="18">
        <f t="shared" si="33"/>
        <v>1</v>
      </c>
      <c r="AF190" s="23">
        <f t="shared" si="34"/>
        <v>30998.605931945465</v>
      </c>
      <c r="AL190" s="18">
        <f t="shared" si="35"/>
        <v>1</v>
      </c>
    </row>
    <row r="191" spans="9:38" x14ac:dyDescent="0.2">
      <c r="I191" s="4">
        <v>184</v>
      </c>
      <c r="K191" s="14">
        <v>6.8205990634484275</v>
      </c>
      <c r="L191" s="10">
        <v>6680.3549895628776</v>
      </c>
      <c r="O191" s="14">
        <v>7.3441033394800614</v>
      </c>
      <c r="P191" s="10">
        <v>9405.6551590841482</v>
      </c>
      <c r="R191" s="19">
        <f t="shared" si="30"/>
        <v>0.52350427603163396</v>
      </c>
      <c r="S191" s="23">
        <f t="shared" si="31"/>
        <v>2725.3001695212706</v>
      </c>
      <c r="U191" s="23">
        <f t="shared" si="32"/>
        <v>5205.8794823608814</v>
      </c>
      <c r="AA191" s="18">
        <f t="shared" si="33"/>
        <v>1</v>
      </c>
      <c r="AF191" s="23">
        <f t="shared" si="34"/>
        <v>23449.91363206043</v>
      </c>
      <c r="AL191" s="18">
        <f t="shared" si="35"/>
        <v>1</v>
      </c>
    </row>
    <row r="192" spans="9:38" x14ac:dyDescent="0.2">
      <c r="I192" s="4">
        <v>185</v>
      </c>
      <c r="K192" s="14">
        <v>5.4126351674446509</v>
      </c>
      <c r="L192" s="10">
        <v>8287.9615331333589</v>
      </c>
      <c r="O192" s="14">
        <v>7.4233862126207013</v>
      </c>
      <c r="P192" s="10">
        <v>10039.944397182671</v>
      </c>
      <c r="R192" s="19">
        <f t="shared" si="30"/>
        <v>2.0107510451760504</v>
      </c>
      <c r="S192" s="23">
        <f t="shared" si="31"/>
        <v>1751.9828640493124</v>
      </c>
      <c r="U192" s="23">
        <f t="shared" si="32"/>
        <v>871.30769781393712</v>
      </c>
      <c r="AA192" s="18">
        <f t="shared" si="33"/>
        <v>1</v>
      </c>
      <c r="AF192" s="23">
        <f t="shared" si="34"/>
        <v>98785.569394753213</v>
      </c>
      <c r="AL192" s="18">
        <f t="shared" si="35"/>
        <v>1</v>
      </c>
    </row>
    <row r="193" spans="9:38" x14ac:dyDescent="0.2">
      <c r="I193" s="4">
        <v>186</v>
      </c>
      <c r="K193" s="14">
        <v>6.0170050842861329</v>
      </c>
      <c r="L193" s="10">
        <v>6475.4819381160532</v>
      </c>
      <c r="O193" s="14">
        <v>7.263551078166981</v>
      </c>
      <c r="P193" s="10">
        <v>9462.4319295142959</v>
      </c>
      <c r="R193" s="19">
        <f t="shared" si="30"/>
        <v>1.2465459938808481</v>
      </c>
      <c r="S193" s="23">
        <f t="shared" si="31"/>
        <v>2986.9499913982427</v>
      </c>
      <c r="U193" s="23">
        <f t="shared" si="32"/>
        <v>2396.1811325541448</v>
      </c>
      <c r="AA193" s="18">
        <f t="shared" si="33"/>
        <v>1</v>
      </c>
      <c r="AF193" s="23">
        <f t="shared" si="34"/>
        <v>59340.349702644162</v>
      </c>
      <c r="AL193" s="18">
        <f t="shared" si="35"/>
        <v>1</v>
      </c>
    </row>
    <row r="194" spans="9:38" x14ac:dyDescent="0.2">
      <c r="I194" s="4">
        <v>187</v>
      </c>
      <c r="K194" s="14">
        <v>6.2654212125122317</v>
      </c>
      <c r="L194" s="10">
        <v>7459.1378713969661</v>
      </c>
      <c r="O194" s="14">
        <v>7.1670208931506743</v>
      </c>
      <c r="P194" s="10">
        <v>9054.613363012395</v>
      </c>
      <c r="R194" s="19">
        <f t="shared" si="30"/>
        <v>0.90159968063844254</v>
      </c>
      <c r="S194" s="23">
        <f t="shared" si="31"/>
        <v>1595.4754916154288</v>
      </c>
      <c r="U194" s="23">
        <f t="shared" si="32"/>
        <v>1769.6052093603644</v>
      </c>
      <c r="AA194" s="18">
        <f t="shared" si="33"/>
        <v>1</v>
      </c>
      <c r="AF194" s="23">
        <f t="shared" si="34"/>
        <v>43484.508540306699</v>
      </c>
      <c r="AL194" s="18">
        <f t="shared" si="35"/>
        <v>1</v>
      </c>
    </row>
    <row r="195" spans="9:38" x14ac:dyDescent="0.2">
      <c r="I195" s="4">
        <v>188</v>
      </c>
      <c r="K195" s="14">
        <v>6.9125028828323369</v>
      </c>
      <c r="L195" s="10">
        <v>6346.6707731597444</v>
      </c>
      <c r="O195" s="14">
        <v>7.0861227600959014</v>
      </c>
      <c r="P195" s="10">
        <v>9849.4509534999925</v>
      </c>
      <c r="R195" s="19">
        <f t="shared" si="30"/>
        <v>0.17361987726356443</v>
      </c>
      <c r="S195" s="23">
        <f t="shared" si="31"/>
        <v>3502.7801803402481</v>
      </c>
      <c r="U195" s="23">
        <f t="shared" si="32"/>
        <v>20174.99514196083</v>
      </c>
      <c r="AA195" s="18">
        <f t="shared" si="33"/>
        <v>1</v>
      </c>
      <c r="AF195" s="23">
        <f t="shared" si="34"/>
        <v>5178.2136828379726</v>
      </c>
      <c r="AL195" s="18">
        <f t="shared" si="35"/>
        <v>1</v>
      </c>
    </row>
    <row r="196" spans="9:38" x14ac:dyDescent="0.2">
      <c r="I196" s="4">
        <v>189</v>
      </c>
      <c r="K196" s="14">
        <v>6.4875511256561227</v>
      </c>
      <c r="L196" s="10">
        <v>5933.5509420429307</v>
      </c>
      <c r="O196" s="14">
        <v>8.3196352762264656</v>
      </c>
      <c r="P196" s="10">
        <v>11773.431983325523</v>
      </c>
      <c r="R196" s="19">
        <f t="shared" si="30"/>
        <v>1.8320841505703429</v>
      </c>
      <c r="S196" s="23">
        <f t="shared" si="31"/>
        <v>5839.8810412825924</v>
      </c>
      <c r="U196" s="23">
        <f t="shared" si="32"/>
        <v>3187.5615754137652</v>
      </c>
      <c r="AA196" s="18">
        <f t="shared" si="33"/>
        <v>1</v>
      </c>
      <c r="AF196" s="23">
        <f t="shared" si="34"/>
        <v>85764.326487234546</v>
      </c>
      <c r="AL196" s="18">
        <f t="shared" si="35"/>
        <v>1</v>
      </c>
    </row>
    <row r="197" spans="9:38" x14ac:dyDescent="0.2">
      <c r="I197" s="4">
        <v>190</v>
      </c>
      <c r="K197" s="14">
        <v>6.5292633545892258</v>
      </c>
      <c r="L197" s="10">
        <v>6087.7376108754906</v>
      </c>
      <c r="O197" s="14">
        <v>7.1138265891072034</v>
      </c>
      <c r="P197" s="10">
        <v>9154.5378854949322</v>
      </c>
      <c r="R197" s="19">
        <f t="shared" si="30"/>
        <v>0.58456323451797765</v>
      </c>
      <c r="S197" s="23">
        <f t="shared" si="31"/>
        <v>3066.8002746194416</v>
      </c>
      <c r="U197" s="23">
        <f t="shared" si="32"/>
        <v>5246.3105674928056</v>
      </c>
      <c r="AA197" s="18">
        <f t="shared" si="33"/>
        <v>1</v>
      </c>
      <c r="AF197" s="23">
        <f t="shared" si="34"/>
        <v>26161.361451279437</v>
      </c>
      <c r="AL197" s="18">
        <f t="shared" si="35"/>
        <v>1</v>
      </c>
    </row>
    <row r="198" spans="9:38" x14ac:dyDescent="0.2">
      <c r="I198" s="4">
        <v>191</v>
      </c>
      <c r="K198" s="14">
        <v>6.3336692623176853</v>
      </c>
      <c r="L198" s="10">
        <v>6153.4979080954799</v>
      </c>
      <c r="O198" s="14">
        <v>7.2469452390757816</v>
      </c>
      <c r="P198" s="10">
        <v>10007.398620616994</v>
      </c>
      <c r="R198" s="19">
        <f t="shared" si="30"/>
        <v>0.91327597675809624</v>
      </c>
      <c r="S198" s="23">
        <f t="shared" si="31"/>
        <v>3853.9007125215139</v>
      </c>
      <c r="U198" s="23">
        <f t="shared" si="32"/>
        <v>4219.8643242559692</v>
      </c>
      <c r="AA198" s="18">
        <f t="shared" si="33"/>
        <v>1</v>
      </c>
      <c r="AF198" s="23">
        <f t="shared" si="34"/>
        <v>41809.898125383297</v>
      </c>
      <c r="AL198" s="18">
        <f t="shared" si="35"/>
        <v>1</v>
      </c>
    </row>
    <row r="199" spans="9:38" x14ac:dyDescent="0.2">
      <c r="I199" s="4">
        <v>192</v>
      </c>
      <c r="K199" s="14">
        <v>5.8451129333840548</v>
      </c>
      <c r="L199" s="10">
        <v>9317.7050981921602</v>
      </c>
      <c r="O199" s="14">
        <v>7.4234768690495798</v>
      </c>
      <c r="P199" s="10">
        <v>10172.050689462509</v>
      </c>
      <c r="R199" s="19">
        <f t="shared" si="30"/>
        <v>1.578363935665525</v>
      </c>
      <c r="S199" s="23">
        <f t="shared" si="31"/>
        <v>854.34559127034845</v>
      </c>
      <c r="U199" s="23">
        <f t="shared" si="32"/>
        <v>541.28555016059045</v>
      </c>
      <c r="AA199" s="18">
        <f t="shared" si="33"/>
        <v>1</v>
      </c>
      <c r="AF199" s="23">
        <f t="shared" si="34"/>
        <v>78063.851192005895</v>
      </c>
      <c r="AL199" s="18">
        <f t="shared" si="35"/>
        <v>1</v>
      </c>
    </row>
    <row r="200" spans="9:38" x14ac:dyDescent="0.2">
      <c r="I200" s="4">
        <v>193</v>
      </c>
      <c r="K200" s="14">
        <v>6.049424889877093</v>
      </c>
      <c r="L200" s="10">
        <v>7356.6161712226776</v>
      </c>
      <c r="O200" s="14">
        <v>6.7979124417495393</v>
      </c>
      <c r="P200" s="10">
        <v>9387.9790213431334</v>
      </c>
      <c r="R200" s="19">
        <f t="shared" ref="R200:R263" si="36">O200-K200</f>
        <v>0.74848755187244631</v>
      </c>
      <c r="S200" s="23">
        <f t="shared" ref="S200:S263" si="37">P200-L200</f>
        <v>2031.3628501204557</v>
      </c>
      <c r="U200" s="23">
        <f t="shared" ref="U200:U263" si="38">S200/R200</f>
        <v>2713.9567585843179</v>
      </c>
      <c r="AA200" s="18">
        <f t="shared" ref="AA200:AA263" si="39">IF(R200&lt;0,IF(U200&lt;Rc_,0,1),IF(U200&lt;Rc_,1,0))</f>
        <v>1</v>
      </c>
      <c r="AF200" s="23">
        <f t="shared" ref="AF200:AF263" si="40">R200*Rc_-S200</f>
        <v>35393.014743501859</v>
      </c>
      <c r="AL200" s="18">
        <f t="shared" ref="AL200:AL263" si="41">IF(AF200&gt;0,1,0)</f>
        <v>1</v>
      </c>
    </row>
    <row r="201" spans="9:38" x14ac:dyDescent="0.2">
      <c r="I201" s="4">
        <v>194</v>
      </c>
      <c r="K201" s="14">
        <v>6.9674391857363549</v>
      </c>
      <c r="L201" s="10">
        <v>8327.0022181350396</v>
      </c>
      <c r="O201" s="14">
        <v>7.3522330300432506</v>
      </c>
      <c r="P201" s="10">
        <v>9584.4480603234042</v>
      </c>
      <c r="R201" s="19">
        <f t="shared" si="36"/>
        <v>0.38479384430689567</v>
      </c>
      <c r="S201" s="23">
        <f t="shared" si="37"/>
        <v>1257.4458421883646</v>
      </c>
      <c r="U201" s="23">
        <f t="shared" si="38"/>
        <v>3267.8429262643758</v>
      </c>
      <c r="AA201" s="18">
        <f t="shared" si="39"/>
        <v>1</v>
      </c>
      <c r="AF201" s="23">
        <f t="shared" si="40"/>
        <v>17982.24637315642</v>
      </c>
      <c r="AL201" s="18">
        <f t="shared" si="41"/>
        <v>1</v>
      </c>
    </row>
    <row r="202" spans="9:38" x14ac:dyDescent="0.2">
      <c r="I202" s="4">
        <v>195</v>
      </c>
      <c r="K202" s="14">
        <v>6.6846105053358436</v>
      </c>
      <c r="L202" s="10">
        <v>8421.7753266463678</v>
      </c>
      <c r="O202" s="14">
        <v>7.7447659141376324</v>
      </c>
      <c r="P202" s="10">
        <v>10032.347306370468</v>
      </c>
      <c r="R202" s="19">
        <f t="shared" si="36"/>
        <v>1.0601554088017888</v>
      </c>
      <c r="S202" s="23">
        <f t="shared" si="37"/>
        <v>1610.5719797240999</v>
      </c>
      <c r="U202" s="23">
        <f t="shared" si="38"/>
        <v>1519.184797202897</v>
      </c>
      <c r="AA202" s="18">
        <f t="shared" si="39"/>
        <v>1</v>
      </c>
      <c r="AF202" s="23">
        <f t="shared" si="40"/>
        <v>51397.19846036534</v>
      </c>
      <c r="AL202" s="18">
        <f t="shared" si="41"/>
        <v>1</v>
      </c>
    </row>
    <row r="203" spans="9:38" x14ac:dyDescent="0.2">
      <c r="I203" s="4">
        <v>196</v>
      </c>
      <c r="K203" s="14">
        <v>6.3170628120258563</v>
      </c>
      <c r="L203" s="10">
        <v>6351.1894381421807</v>
      </c>
      <c r="O203" s="14">
        <v>6.6186613122594249</v>
      </c>
      <c r="P203" s="10">
        <v>9261.8016112966707</v>
      </c>
      <c r="R203" s="19">
        <f t="shared" si="36"/>
        <v>0.3015985002335686</v>
      </c>
      <c r="S203" s="23">
        <f t="shared" si="37"/>
        <v>2910.6121731544899</v>
      </c>
      <c r="U203" s="23">
        <f t="shared" si="38"/>
        <v>9650.6188555327972</v>
      </c>
      <c r="AA203" s="18">
        <f t="shared" si="39"/>
        <v>1</v>
      </c>
      <c r="AF203" s="23">
        <f t="shared" si="40"/>
        <v>12169.31283852394</v>
      </c>
      <c r="AL203" s="18">
        <f t="shared" si="41"/>
        <v>1</v>
      </c>
    </row>
    <row r="204" spans="9:38" x14ac:dyDescent="0.2">
      <c r="I204" s="4">
        <v>197</v>
      </c>
      <c r="K204" s="14">
        <v>5.9158378907935232</v>
      </c>
      <c r="L204" s="10">
        <v>6706.4385321222435</v>
      </c>
      <c r="O204" s="14">
        <v>7.5079531623542062</v>
      </c>
      <c r="P204" s="10">
        <v>10004.260087121758</v>
      </c>
      <c r="R204" s="19">
        <f t="shared" si="36"/>
        <v>1.592115271560683</v>
      </c>
      <c r="S204" s="23">
        <f t="shared" si="37"/>
        <v>3297.8215549995148</v>
      </c>
      <c r="U204" s="23">
        <f t="shared" si="38"/>
        <v>2071.3459721837858</v>
      </c>
      <c r="AA204" s="18">
        <f t="shared" si="39"/>
        <v>1</v>
      </c>
      <c r="AF204" s="23">
        <f t="shared" si="40"/>
        <v>76307.942023034644</v>
      </c>
      <c r="AL204" s="18">
        <f t="shared" si="41"/>
        <v>1</v>
      </c>
    </row>
    <row r="205" spans="9:38" x14ac:dyDescent="0.2">
      <c r="I205" s="4">
        <v>198</v>
      </c>
      <c r="K205" s="14">
        <v>5.7604380245765761</v>
      </c>
      <c r="L205" s="10">
        <v>5215.6149181061801</v>
      </c>
      <c r="O205" s="14">
        <v>6.404235539529922</v>
      </c>
      <c r="P205" s="10">
        <v>8787.2439181502195</v>
      </c>
      <c r="R205" s="19">
        <f t="shared" si="36"/>
        <v>0.64379751495334592</v>
      </c>
      <c r="S205" s="23">
        <f t="shared" si="37"/>
        <v>3571.6290000440395</v>
      </c>
      <c r="U205" s="23">
        <f t="shared" si="38"/>
        <v>5547.7520759036552</v>
      </c>
      <c r="AA205" s="18">
        <f t="shared" si="39"/>
        <v>1</v>
      </c>
      <c r="AF205" s="23">
        <f t="shared" si="40"/>
        <v>28618.246747623256</v>
      </c>
      <c r="AL205" s="18">
        <f t="shared" si="41"/>
        <v>1</v>
      </c>
    </row>
    <row r="206" spans="9:38" x14ac:dyDescent="0.2">
      <c r="I206" s="4">
        <v>199</v>
      </c>
      <c r="K206" s="14">
        <v>6.7715763223209571</v>
      </c>
      <c r="L206" s="10">
        <v>6164.5634619797256</v>
      </c>
      <c r="O206" s="14">
        <v>7.2582589076552839</v>
      </c>
      <c r="P206" s="10">
        <v>9565.0229642624745</v>
      </c>
      <c r="R206" s="19">
        <f t="shared" si="36"/>
        <v>0.48668258533432684</v>
      </c>
      <c r="S206" s="23">
        <f t="shared" si="37"/>
        <v>3400.4595022827489</v>
      </c>
      <c r="U206" s="23">
        <f t="shared" si="38"/>
        <v>6987.0170101664962</v>
      </c>
      <c r="AA206" s="18">
        <f t="shared" si="39"/>
        <v>1</v>
      </c>
      <c r="AF206" s="23">
        <f t="shared" si="40"/>
        <v>20933.669764433595</v>
      </c>
      <c r="AL206" s="18">
        <f t="shared" si="41"/>
        <v>1</v>
      </c>
    </row>
    <row r="207" spans="9:38" x14ac:dyDescent="0.2">
      <c r="I207" s="4">
        <v>200</v>
      </c>
      <c r="K207" s="14">
        <v>6.9458864379152692</v>
      </c>
      <c r="L207" s="10">
        <v>6465.6854044521124</v>
      </c>
      <c r="O207" s="14">
        <v>7.2156446608492093</v>
      </c>
      <c r="P207" s="10">
        <v>9605.5524552674378</v>
      </c>
      <c r="R207" s="19">
        <f t="shared" si="36"/>
        <v>0.26975822293394014</v>
      </c>
      <c r="S207" s="23">
        <f t="shared" si="37"/>
        <v>3139.8670508153255</v>
      </c>
      <c r="U207" s="23">
        <f t="shared" si="38"/>
        <v>11639.560109291768</v>
      </c>
      <c r="AA207" s="18">
        <f t="shared" si="39"/>
        <v>1</v>
      </c>
      <c r="AF207" s="23">
        <f t="shared" si="40"/>
        <v>10348.04409588168</v>
      </c>
      <c r="AL207" s="18">
        <f t="shared" si="41"/>
        <v>1</v>
      </c>
    </row>
    <row r="208" spans="9:38" x14ac:dyDescent="0.2">
      <c r="I208" s="4">
        <v>201</v>
      </c>
      <c r="K208" s="14">
        <v>6.5705387932145758</v>
      </c>
      <c r="L208" s="10">
        <v>7050.4388319636182</v>
      </c>
      <c r="O208" s="14">
        <v>7.2503626492291984</v>
      </c>
      <c r="P208" s="10">
        <v>9443.3718370361366</v>
      </c>
      <c r="R208" s="19">
        <f t="shared" si="36"/>
        <v>0.67982385601462259</v>
      </c>
      <c r="S208" s="23">
        <f t="shared" si="37"/>
        <v>2392.9330050725184</v>
      </c>
      <c r="U208" s="23">
        <f t="shared" si="38"/>
        <v>3519.9309113698532</v>
      </c>
      <c r="AA208" s="18">
        <f t="shared" si="39"/>
        <v>1</v>
      </c>
      <c r="AF208" s="23">
        <f t="shared" si="40"/>
        <v>31598.259795658611</v>
      </c>
      <c r="AL208" s="18">
        <f t="shared" si="41"/>
        <v>1</v>
      </c>
    </row>
    <row r="209" spans="9:38" x14ac:dyDescent="0.2">
      <c r="I209" s="4">
        <v>202</v>
      </c>
      <c r="K209" s="14">
        <v>6.3731419649712846</v>
      </c>
      <c r="L209" s="10">
        <v>5780.6632100317302</v>
      </c>
      <c r="O209" s="14">
        <v>6.8031108994850742</v>
      </c>
      <c r="P209" s="10">
        <v>9723.6333231996377</v>
      </c>
      <c r="R209" s="19">
        <f t="shared" si="36"/>
        <v>0.42996893451378959</v>
      </c>
      <c r="S209" s="23">
        <f t="shared" si="37"/>
        <v>3942.9701131679076</v>
      </c>
      <c r="U209" s="23">
        <f t="shared" si="38"/>
        <v>9170.3604531956062</v>
      </c>
      <c r="AA209" s="18">
        <f t="shared" si="39"/>
        <v>1</v>
      </c>
      <c r="AF209" s="23">
        <f t="shared" si="40"/>
        <v>17555.476612521572</v>
      </c>
      <c r="AL209" s="18">
        <f t="shared" si="41"/>
        <v>1</v>
      </c>
    </row>
    <row r="210" spans="9:38" x14ac:dyDescent="0.2">
      <c r="I210" s="4">
        <v>203</v>
      </c>
      <c r="K210" s="14">
        <v>6.0786435402905727</v>
      </c>
      <c r="L210" s="10">
        <v>8507.132971292056</v>
      </c>
      <c r="O210" s="14">
        <v>7.8540358221472033</v>
      </c>
      <c r="P210" s="10">
        <v>10546.303208934258</v>
      </c>
      <c r="R210" s="19">
        <f t="shared" si="36"/>
        <v>1.7753922818566306</v>
      </c>
      <c r="S210" s="23">
        <f t="shared" si="37"/>
        <v>2039.1702376422018</v>
      </c>
      <c r="U210" s="23">
        <f t="shared" si="38"/>
        <v>1148.5744635037634</v>
      </c>
      <c r="AA210" s="18">
        <f t="shared" si="39"/>
        <v>1</v>
      </c>
      <c r="AF210" s="23">
        <f t="shared" si="40"/>
        <v>86730.443855189325</v>
      </c>
      <c r="AL210" s="18">
        <f t="shared" si="41"/>
        <v>1</v>
      </c>
    </row>
    <row r="211" spans="9:38" x14ac:dyDescent="0.2">
      <c r="I211" s="4">
        <v>204</v>
      </c>
      <c r="K211" s="14">
        <v>5.9139836751932719</v>
      </c>
      <c r="L211" s="10">
        <v>6821.5689014416139</v>
      </c>
      <c r="O211" s="14">
        <v>6.8927673199214867</v>
      </c>
      <c r="P211" s="10">
        <v>9704.2408021785159</v>
      </c>
      <c r="R211" s="19">
        <f t="shared" si="36"/>
        <v>0.97878364472821477</v>
      </c>
      <c r="S211" s="23">
        <f t="shared" si="37"/>
        <v>2882.671900736902</v>
      </c>
      <c r="U211" s="23">
        <f t="shared" si="38"/>
        <v>2945.1574066068015</v>
      </c>
      <c r="AA211" s="18">
        <f t="shared" si="39"/>
        <v>1</v>
      </c>
      <c r="AF211" s="23">
        <f t="shared" si="40"/>
        <v>46056.510335673833</v>
      </c>
      <c r="AL211" s="18">
        <f t="shared" si="41"/>
        <v>1</v>
      </c>
    </row>
    <row r="212" spans="9:38" x14ac:dyDescent="0.2">
      <c r="I212" s="4">
        <v>205</v>
      </c>
      <c r="K212" s="14">
        <v>6.4818321069801108</v>
      </c>
      <c r="L212" s="10">
        <v>6117.6626853015287</v>
      </c>
      <c r="O212" s="14">
        <v>6.2300993545407835</v>
      </c>
      <c r="P212" s="10">
        <v>8517.1743143085987</v>
      </c>
      <c r="R212" s="19">
        <f t="shared" si="36"/>
        <v>-0.25173275243932736</v>
      </c>
      <c r="S212" s="23">
        <f t="shared" si="37"/>
        <v>2399.51162900707</v>
      </c>
      <c r="U212" s="23">
        <f t="shared" si="38"/>
        <v>-9531.9802677857751</v>
      </c>
      <c r="AA212" s="18">
        <f t="shared" si="39"/>
        <v>0</v>
      </c>
      <c r="AF212" s="23">
        <f t="shared" si="40"/>
        <v>-14986.149250973438</v>
      </c>
      <c r="AL212" s="18">
        <f t="shared" si="41"/>
        <v>0</v>
      </c>
    </row>
    <row r="213" spans="9:38" x14ac:dyDescent="0.2">
      <c r="I213" s="4">
        <v>206</v>
      </c>
      <c r="K213" s="14">
        <v>6.1334651645814757</v>
      </c>
      <c r="L213" s="10">
        <v>6463.7266512613542</v>
      </c>
      <c r="O213" s="14">
        <v>7.4198436570224722</v>
      </c>
      <c r="P213" s="10">
        <v>9897.4855430108801</v>
      </c>
      <c r="R213" s="19">
        <f t="shared" si="36"/>
        <v>1.2863784924409964</v>
      </c>
      <c r="S213" s="23">
        <f t="shared" si="37"/>
        <v>3433.7588917495259</v>
      </c>
      <c r="U213" s="23">
        <f t="shared" si="38"/>
        <v>2669.3223743454537</v>
      </c>
      <c r="AA213" s="18">
        <f t="shared" si="39"/>
        <v>1</v>
      </c>
      <c r="AF213" s="23">
        <f t="shared" si="40"/>
        <v>60885.165730300301</v>
      </c>
      <c r="AL213" s="18">
        <f t="shared" si="41"/>
        <v>1</v>
      </c>
    </row>
    <row r="214" spans="9:38" x14ac:dyDescent="0.2">
      <c r="I214" s="4">
        <v>207</v>
      </c>
      <c r="K214" s="14">
        <v>6.1747089150474679</v>
      </c>
      <c r="L214" s="10">
        <v>8166.7659448621889</v>
      </c>
      <c r="O214" s="14">
        <v>7.8485826147799695</v>
      </c>
      <c r="P214" s="10">
        <v>10272.863024335502</v>
      </c>
      <c r="R214" s="19">
        <f t="shared" si="36"/>
        <v>1.6738736997325017</v>
      </c>
      <c r="S214" s="23">
        <f t="shared" si="37"/>
        <v>2106.097079473313</v>
      </c>
      <c r="U214" s="23">
        <f t="shared" si="38"/>
        <v>1258.2174388724095</v>
      </c>
      <c r="AA214" s="18">
        <f t="shared" si="39"/>
        <v>1</v>
      </c>
      <c r="AF214" s="23">
        <f t="shared" si="40"/>
        <v>81587.58790715177</v>
      </c>
      <c r="AL214" s="18">
        <f t="shared" si="41"/>
        <v>1</v>
      </c>
    </row>
    <row r="215" spans="9:38" x14ac:dyDescent="0.2">
      <c r="I215" s="4">
        <v>208</v>
      </c>
      <c r="K215" s="14">
        <v>6.4814557439899874</v>
      </c>
      <c r="L215" s="10">
        <v>9352.3850784515598</v>
      </c>
      <c r="O215" s="14">
        <v>7.5246476579758736</v>
      </c>
      <c r="P215" s="10">
        <v>10568.561389791246</v>
      </c>
      <c r="R215" s="19">
        <f t="shared" si="36"/>
        <v>1.0431919139858863</v>
      </c>
      <c r="S215" s="23">
        <f t="shared" si="37"/>
        <v>1216.1763113396864</v>
      </c>
      <c r="U215" s="23">
        <f t="shared" si="38"/>
        <v>1165.8222183613864</v>
      </c>
      <c r="AA215" s="18">
        <f t="shared" si="39"/>
        <v>1</v>
      </c>
      <c r="AF215" s="23">
        <f t="shared" si="40"/>
        <v>50943.419387954629</v>
      </c>
      <c r="AL215" s="18">
        <f t="shared" si="41"/>
        <v>1</v>
      </c>
    </row>
    <row r="216" spans="9:38" x14ac:dyDescent="0.2">
      <c r="I216" s="4">
        <v>209</v>
      </c>
      <c r="K216" s="14">
        <v>6.7856976475802124</v>
      </c>
      <c r="L216" s="10">
        <v>6090.351942005459</v>
      </c>
      <c r="O216" s="14">
        <v>6.8864352491193062</v>
      </c>
      <c r="P216" s="10">
        <v>9610.9020316152291</v>
      </c>
      <c r="R216" s="19">
        <f t="shared" si="36"/>
        <v>0.10073760153909372</v>
      </c>
      <c r="S216" s="23">
        <f t="shared" si="37"/>
        <v>3520.5500896097701</v>
      </c>
      <c r="U216" s="23">
        <f t="shared" si="38"/>
        <v>34947.725931746878</v>
      </c>
      <c r="AA216" s="18">
        <f t="shared" si="39"/>
        <v>1</v>
      </c>
      <c r="AF216" s="23">
        <f t="shared" si="40"/>
        <v>1516.3299873449159</v>
      </c>
      <c r="AL216" s="18">
        <f t="shared" si="41"/>
        <v>1</v>
      </c>
    </row>
    <row r="217" spans="9:38" x14ac:dyDescent="0.2">
      <c r="I217" s="4">
        <v>210</v>
      </c>
      <c r="K217" s="14">
        <v>7.0323926044664793</v>
      </c>
      <c r="L217" s="10">
        <v>7701.4762787104301</v>
      </c>
      <c r="O217" s="14">
        <v>7.0472618713300896</v>
      </c>
      <c r="P217" s="10">
        <v>9824.3125016501563</v>
      </c>
      <c r="R217" s="19">
        <f t="shared" si="36"/>
        <v>1.4869266863610342E-2</v>
      </c>
      <c r="S217" s="23">
        <f t="shared" si="37"/>
        <v>2122.8362229397262</v>
      </c>
      <c r="U217" s="23">
        <f t="shared" si="38"/>
        <v>142766.70412950605</v>
      </c>
      <c r="AA217" s="18">
        <f t="shared" si="39"/>
        <v>0</v>
      </c>
      <c r="AF217" s="23">
        <f t="shared" si="40"/>
        <v>-1379.3728797592091</v>
      </c>
      <c r="AL217" s="18">
        <f t="shared" si="41"/>
        <v>0</v>
      </c>
    </row>
    <row r="218" spans="9:38" x14ac:dyDescent="0.2">
      <c r="I218" s="4">
        <v>211</v>
      </c>
      <c r="K218" s="14">
        <v>6.014667226275475</v>
      </c>
      <c r="L218" s="10">
        <v>5513.0033842537496</v>
      </c>
      <c r="O218" s="14">
        <v>7.2800352720059003</v>
      </c>
      <c r="P218" s="10">
        <v>9558.3718150408513</v>
      </c>
      <c r="R218" s="19">
        <f t="shared" si="36"/>
        <v>1.2653680457304253</v>
      </c>
      <c r="S218" s="23">
        <f t="shared" si="37"/>
        <v>4045.3684307871017</v>
      </c>
      <c r="U218" s="23">
        <f t="shared" si="38"/>
        <v>3196.9895592328949</v>
      </c>
      <c r="AA218" s="18">
        <f t="shared" si="39"/>
        <v>1</v>
      </c>
      <c r="AF218" s="23">
        <f t="shared" si="40"/>
        <v>59223.03385573416</v>
      </c>
      <c r="AL218" s="18">
        <f t="shared" si="41"/>
        <v>1</v>
      </c>
    </row>
    <row r="219" spans="9:38" x14ac:dyDescent="0.2">
      <c r="I219" s="4">
        <v>212</v>
      </c>
      <c r="K219" s="14">
        <v>6.6735550700968087</v>
      </c>
      <c r="L219" s="10">
        <v>7763.9367953322944</v>
      </c>
      <c r="O219" s="14">
        <v>7.0739189095471557</v>
      </c>
      <c r="P219" s="10">
        <v>9266.7422414236044</v>
      </c>
      <c r="R219" s="19">
        <f t="shared" si="36"/>
        <v>0.40036383945034704</v>
      </c>
      <c r="S219" s="23">
        <f t="shared" si="37"/>
        <v>1502.8054460913099</v>
      </c>
      <c r="U219" s="23">
        <f t="shared" si="38"/>
        <v>3753.5993464207131</v>
      </c>
      <c r="AA219" s="18">
        <f t="shared" si="39"/>
        <v>1</v>
      </c>
      <c r="AF219" s="23">
        <f t="shared" si="40"/>
        <v>18515.386526426038</v>
      </c>
      <c r="AL219" s="18">
        <f t="shared" si="41"/>
        <v>1</v>
      </c>
    </row>
    <row r="220" spans="9:38" x14ac:dyDescent="0.2">
      <c r="I220" s="4">
        <v>213</v>
      </c>
      <c r="K220" s="14">
        <v>6.0495563450114718</v>
      </c>
      <c r="L220" s="10">
        <v>5425.2374445313635</v>
      </c>
      <c r="O220" s="14">
        <v>7.1236129992208079</v>
      </c>
      <c r="P220" s="10">
        <v>9785.7522713779144</v>
      </c>
      <c r="R220" s="19">
        <f t="shared" si="36"/>
        <v>1.0740566542093362</v>
      </c>
      <c r="S220" s="23">
        <f t="shared" si="37"/>
        <v>4360.5148268465509</v>
      </c>
      <c r="U220" s="23">
        <f t="shared" si="38"/>
        <v>4059.855511119692</v>
      </c>
      <c r="AA220" s="18">
        <f t="shared" si="39"/>
        <v>1</v>
      </c>
      <c r="AF220" s="23">
        <f t="shared" si="40"/>
        <v>49342.317883620257</v>
      </c>
      <c r="AL220" s="18">
        <f t="shared" si="41"/>
        <v>1</v>
      </c>
    </row>
    <row r="221" spans="9:38" x14ac:dyDescent="0.2">
      <c r="I221" s="4">
        <v>214</v>
      </c>
      <c r="K221" s="14">
        <v>6.5508155047360495</v>
      </c>
      <c r="L221" s="10">
        <v>5754.8129768056651</v>
      </c>
      <c r="O221" s="14">
        <v>7.6583743307924053</v>
      </c>
      <c r="P221" s="10">
        <v>10696.123769136602</v>
      </c>
      <c r="R221" s="19">
        <f t="shared" si="36"/>
        <v>1.1075588260563558</v>
      </c>
      <c r="S221" s="23">
        <f t="shared" si="37"/>
        <v>4941.3107923309371</v>
      </c>
      <c r="U221" s="23">
        <f t="shared" si="38"/>
        <v>4461.4431992973969</v>
      </c>
      <c r="AA221" s="18">
        <f t="shared" si="39"/>
        <v>1</v>
      </c>
      <c r="AF221" s="23">
        <f t="shared" si="40"/>
        <v>50436.630510486852</v>
      </c>
      <c r="AL221" s="18">
        <f t="shared" si="41"/>
        <v>1</v>
      </c>
    </row>
    <row r="222" spans="9:38" x14ac:dyDescent="0.2">
      <c r="I222" s="4">
        <v>215</v>
      </c>
      <c r="K222" s="14">
        <v>6.2922059480227883</v>
      </c>
      <c r="L222" s="10">
        <v>7497.829083102195</v>
      </c>
      <c r="O222" s="14">
        <v>6.9575590529824876</v>
      </c>
      <c r="P222" s="10">
        <v>9760.4200760535186</v>
      </c>
      <c r="R222" s="19">
        <f t="shared" si="36"/>
        <v>0.66535310495969924</v>
      </c>
      <c r="S222" s="23">
        <f t="shared" si="37"/>
        <v>2262.5909929513236</v>
      </c>
      <c r="U222" s="23">
        <f t="shared" si="38"/>
        <v>3400.5868103499265</v>
      </c>
      <c r="AA222" s="18">
        <f t="shared" si="39"/>
        <v>1</v>
      </c>
      <c r="AF222" s="23">
        <f t="shared" si="40"/>
        <v>31005.064255033642</v>
      </c>
      <c r="AL222" s="18">
        <f t="shared" si="41"/>
        <v>1</v>
      </c>
    </row>
    <row r="223" spans="9:38" x14ac:dyDescent="0.2">
      <c r="I223" s="4">
        <v>216</v>
      </c>
      <c r="K223" s="14">
        <v>6.423390952788953</v>
      </c>
      <c r="L223" s="10">
        <v>6502.4125663887917</v>
      </c>
      <c r="O223" s="14">
        <v>6.8684802569660492</v>
      </c>
      <c r="P223" s="10">
        <v>9941.9935135638734</v>
      </c>
      <c r="R223" s="19">
        <f t="shared" si="36"/>
        <v>0.44508930417709625</v>
      </c>
      <c r="S223" s="23">
        <f t="shared" si="37"/>
        <v>3439.5809471750817</v>
      </c>
      <c r="U223" s="23">
        <f t="shared" si="38"/>
        <v>7727.8445356811126</v>
      </c>
      <c r="AA223" s="18">
        <f t="shared" si="39"/>
        <v>1</v>
      </c>
      <c r="AF223" s="23">
        <f t="shared" si="40"/>
        <v>18814.884261679734</v>
      </c>
      <c r="AL223" s="18">
        <f t="shared" si="41"/>
        <v>1</v>
      </c>
    </row>
    <row r="224" spans="9:38" x14ac:dyDescent="0.2">
      <c r="I224" s="4">
        <v>217</v>
      </c>
      <c r="K224" s="14">
        <v>6.1051326965327428</v>
      </c>
      <c r="L224" s="10">
        <v>5886.0682797937634</v>
      </c>
      <c r="O224" s="14">
        <v>7.2316710954402028</v>
      </c>
      <c r="P224" s="10">
        <v>9528.8585127589577</v>
      </c>
      <c r="R224" s="19">
        <f t="shared" si="36"/>
        <v>1.12653839890746</v>
      </c>
      <c r="S224" s="23">
        <f t="shared" si="37"/>
        <v>3642.7902329651943</v>
      </c>
      <c r="U224" s="23">
        <f t="shared" si="38"/>
        <v>3233.6139065459702</v>
      </c>
      <c r="AA224" s="18">
        <f t="shared" si="39"/>
        <v>1</v>
      </c>
      <c r="AF224" s="23">
        <f t="shared" si="40"/>
        <v>52684.129712407805</v>
      </c>
      <c r="AL224" s="18">
        <f t="shared" si="41"/>
        <v>1</v>
      </c>
    </row>
    <row r="225" spans="9:38" x14ac:dyDescent="0.2">
      <c r="I225" s="4">
        <v>218</v>
      </c>
      <c r="K225" s="14">
        <v>6.3280335931943874</v>
      </c>
      <c r="L225" s="10">
        <v>9526.1952093626514</v>
      </c>
      <c r="O225" s="14">
        <v>6.9203321447225745</v>
      </c>
      <c r="P225" s="10">
        <v>9836.1373684678638</v>
      </c>
      <c r="R225" s="19">
        <f t="shared" si="36"/>
        <v>0.59229855152818711</v>
      </c>
      <c r="S225" s="23">
        <f t="shared" si="37"/>
        <v>309.94215910521234</v>
      </c>
      <c r="U225" s="23">
        <f t="shared" si="38"/>
        <v>523.28704553730859</v>
      </c>
      <c r="AA225" s="18">
        <f t="shared" si="39"/>
        <v>1</v>
      </c>
      <c r="AF225" s="23">
        <f t="shared" si="40"/>
        <v>29304.985417304142</v>
      </c>
      <c r="AL225" s="18">
        <f t="shared" si="41"/>
        <v>1</v>
      </c>
    </row>
    <row r="226" spans="9:38" x14ac:dyDescent="0.2">
      <c r="I226" s="4">
        <v>219</v>
      </c>
      <c r="K226" s="14">
        <v>6.5086213217177633</v>
      </c>
      <c r="L226" s="10">
        <v>5885.0235397905681</v>
      </c>
      <c r="O226" s="14">
        <v>7.4090622378656299</v>
      </c>
      <c r="P226" s="10">
        <v>10158.789345669305</v>
      </c>
      <c r="R226" s="19">
        <f t="shared" si="36"/>
        <v>0.90044091614786659</v>
      </c>
      <c r="S226" s="23">
        <f t="shared" si="37"/>
        <v>4273.7658058787374</v>
      </c>
      <c r="U226" s="23">
        <f t="shared" si="38"/>
        <v>4746.3034267280209</v>
      </c>
      <c r="AA226" s="18">
        <f t="shared" si="39"/>
        <v>1</v>
      </c>
      <c r="AF226" s="23">
        <f t="shared" si="40"/>
        <v>40748.280001514591</v>
      </c>
      <c r="AL226" s="18">
        <f t="shared" si="41"/>
        <v>1</v>
      </c>
    </row>
    <row r="227" spans="9:38" x14ac:dyDescent="0.2">
      <c r="I227" s="4">
        <v>220</v>
      </c>
      <c r="K227" s="14">
        <v>6.6209247097522663</v>
      </c>
      <c r="L227" s="10">
        <v>5921.1616585755492</v>
      </c>
      <c r="O227" s="14">
        <v>7.5880918717140382</v>
      </c>
      <c r="P227" s="10">
        <v>10499.073250534839</v>
      </c>
      <c r="R227" s="19">
        <f t="shared" si="36"/>
        <v>0.96716716196177188</v>
      </c>
      <c r="S227" s="23">
        <f t="shared" si="37"/>
        <v>4577.9115919592896</v>
      </c>
      <c r="U227" s="23">
        <f t="shared" si="38"/>
        <v>4733.3199182172357</v>
      </c>
      <c r="AA227" s="18">
        <f t="shared" si="39"/>
        <v>1</v>
      </c>
      <c r="AF227" s="23">
        <f t="shared" si="40"/>
        <v>43780.446506129309</v>
      </c>
      <c r="AL227" s="18">
        <f t="shared" si="41"/>
        <v>1</v>
      </c>
    </row>
    <row r="228" spans="9:38" x14ac:dyDescent="0.2">
      <c r="I228" s="4">
        <v>221</v>
      </c>
      <c r="K228" s="14">
        <v>6.4948063404151855</v>
      </c>
      <c r="L228" s="10">
        <v>7166.5792894105089</v>
      </c>
      <c r="O228" s="14">
        <v>6.8074123746020794</v>
      </c>
      <c r="P228" s="10">
        <v>9556.5734916771653</v>
      </c>
      <c r="R228" s="19">
        <f t="shared" si="36"/>
        <v>0.31260603418689392</v>
      </c>
      <c r="S228" s="23">
        <f t="shared" si="37"/>
        <v>2389.9942022666564</v>
      </c>
      <c r="U228" s="23">
        <f t="shared" si="38"/>
        <v>7645.3872954921271</v>
      </c>
      <c r="AA228" s="18">
        <f t="shared" si="39"/>
        <v>1</v>
      </c>
      <c r="AF228" s="23">
        <f t="shared" si="40"/>
        <v>13240.30750707804</v>
      </c>
      <c r="AL228" s="18">
        <f t="shared" si="41"/>
        <v>1</v>
      </c>
    </row>
    <row r="229" spans="9:38" x14ac:dyDescent="0.2">
      <c r="I229" s="4">
        <v>222</v>
      </c>
      <c r="K229" s="14">
        <v>5.9059247122787246</v>
      </c>
      <c r="L229" s="10">
        <v>6390.7690658717584</v>
      </c>
      <c r="O229" s="14">
        <v>7.0340923166553679</v>
      </c>
      <c r="P229" s="10">
        <v>10173.307796674986</v>
      </c>
      <c r="R229" s="19">
        <f t="shared" si="36"/>
        <v>1.1281676043766433</v>
      </c>
      <c r="S229" s="23">
        <f t="shared" si="37"/>
        <v>3782.5387308032277</v>
      </c>
      <c r="U229" s="23">
        <f t="shared" si="38"/>
        <v>3352.8162979766007</v>
      </c>
      <c r="AA229" s="18">
        <f t="shared" si="39"/>
        <v>1</v>
      </c>
      <c r="AF229" s="23">
        <f t="shared" si="40"/>
        <v>52625.841488028935</v>
      </c>
      <c r="AL229" s="18">
        <f t="shared" si="41"/>
        <v>1</v>
      </c>
    </row>
    <row r="230" spans="9:38" x14ac:dyDescent="0.2">
      <c r="I230" s="4">
        <v>223</v>
      </c>
      <c r="K230" s="14">
        <v>6.1201578884863723</v>
      </c>
      <c r="L230" s="10">
        <v>7345.3526005066933</v>
      </c>
      <c r="O230" s="14">
        <v>7.3214360973580259</v>
      </c>
      <c r="P230" s="10">
        <v>9784.7141240572328</v>
      </c>
      <c r="R230" s="19">
        <f t="shared" si="36"/>
        <v>1.2012782088716536</v>
      </c>
      <c r="S230" s="23">
        <f t="shared" si="37"/>
        <v>2439.3615235505395</v>
      </c>
      <c r="U230" s="23">
        <f t="shared" si="38"/>
        <v>2030.6382863981216</v>
      </c>
      <c r="AA230" s="18">
        <f t="shared" si="39"/>
        <v>1</v>
      </c>
      <c r="AF230" s="23">
        <f t="shared" si="40"/>
        <v>57624.548920032139</v>
      </c>
      <c r="AL230" s="18">
        <f t="shared" si="41"/>
        <v>1</v>
      </c>
    </row>
    <row r="231" spans="9:38" x14ac:dyDescent="0.2">
      <c r="I231" s="4">
        <v>224</v>
      </c>
      <c r="K231" s="14">
        <v>6.4334199412191087</v>
      </c>
      <c r="L231" s="10">
        <v>8077.7989634538271</v>
      </c>
      <c r="O231" s="14">
        <v>7.1181059281566039</v>
      </c>
      <c r="P231" s="10">
        <v>9730.2647563640221</v>
      </c>
      <c r="R231" s="19">
        <f t="shared" si="36"/>
        <v>0.68468598693749527</v>
      </c>
      <c r="S231" s="23">
        <f t="shared" si="37"/>
        <v>1652.465792910195</v>
      </c>
      <c r="U231" s="23">
        <f t="shared" si="38"/>
        <v>2413.4651861380185</v>
      </c>
      <c r="AA231" s="18">
        <f t="shared" si="39"/>
        <v>1</v>
      </c>
      <c r="AF231" s="23">
        <f t="shared" si="40"/>
        <v>32581.83355396457</v>
      </c>
      <c r="AL231" s="18">
        <f t="shared" si="41"/>
        <v>1</v>
      </c>
    </row>
    <row r="232" spans="9:38" x14ac:dyDescent="0.2">
      <c r="I232" s="4">
        <v>225</v>
      </c>
      <c r="K232" s="14">
        <v>6.7498535898081009</v>
      </c>
      <c r="L232" s="10">
        <v>7528.8083640425666</v>
      </c>
      <c r="O232" s="14">
        <v>7.5841681149833686</v>
      </c>
      <c r="P232" s="10">
        <v>9819.2438545977129</v>
      </c>
      <c r="R232" s="19">
        <f t="shared" si="36"/>
        <v>0.83431452517526772</v>
      </c>
      <c r="S232" s="23">
        <f t="shared" si="37"/>
        <v>2290.4354905551463</v>
      </c>
      <c r="U232" s="23">
        <f t="shared" si="38"/>
        <v>2745.2902010473636</v>
      </c>
      <c r="AA232" s="18">
        <f t="shared" si="39"/>
        <v>1</v>
      </c>
      <c r="AF232" s="23">
        <f t="shared" si="40"/>
        <v>39425.290768208244</v>
      </c>
      <c r="AL232" s="18">
        <f t="shared" si="41"/>
        <v>1</v>
      </c>
    </row>
    <row r="233" spans="9:38" x14ac:dyDescent="0.2">
      <c r="I233" s="4">
        <v>226</v>
      </c>
      <c r="K233" s="14">
        <v>6.9058351073245907</v>
      </c>
      <c r="L233" s="10">
        <v>10256.199783629881</v>
      </c>
      <c r="O233" s="14">
        <v>6.7681774682828966</v>
      </c>
      <c r="P233" s="10">
        <v>9422.325781117861</v>
      </c>
      <c r="R233" s="19">
        <f t="shared" si="36"/>
        <v>-0.13765763904169415</v>
      </c>
      <c r="S233" s="23">
        <f t="shared" si="37"/>
        <v>-833.87400251202052</v>
      </c>
      <c r="U233" s="23">
        <f t="shared" si="38"/>
        <v>6057.5933767064998</v>
      </c>
      <c r="AA233" s="18">
        <f t="shared" si="39"/>
        <v>0</v>
      </c>
      <c r="AF233" s="23">
        <f t="shared" si="40"/>
        <v>-6049.0079495726868</v>
      </c>
      <c r="AL233" s="18">
        <f t="shared" si="41"/>
        <v>0</v>
      </c>
    </row>
    <row r="234" spans="9:38" x14ac:dyDescent="0.2">
      <c r="I234" s="4">
        <v>227</v>
      </c>
      <c r="K234" s="14">
        <v>6.1441166540313876</v>
      </c>
      <c r="L234" s="10">
        <v>6082.3993679123605</v>
      </c>
      <c r="O234" s="14">
        <v>7.2603639603594869</v>
      </c>
      <c r="P234" s="10">
        <v>9502.996391399507</v>
      </c>
      <c r="R234" s="19">
        <f t="shared" si="36"/>
        <v>1.1162473063280993</v>
      </c>
      <c r="S234" s="23">
        <f t="shared" si="37"/>
        <v>3420.5970234871465</v>
      </c>
      <c r="U234" s="23">
        <f t="shared" si="38"/>
        <v>3064.3720294736622</v>
      </c>
      <c r="AA234" s="18">
        <f t="shared" si="39"/>
        <v>1</v>
      </c>
      <c r="AF234" s="23">
        <f t="shared" si="40"/>
        <v>52391.768292917819</v>
      </c>
      <c r="AL234" s="18">
        <f t="shared" si="41"/>
        <v>1</v>
      </c>
    </row>
    <row r="235" spans="9:38" x14ac:dyDescent="0.2">
      <c r="I235" s="4">
        <v>228</v>
      </c>
      <c r="K235" s="14">
        <v>6.2965089853220375</v>
      </c>
      <c r="L235" s="10">
        <v>8219.0436104543096</v>
      </c>
      <c r="O235" s="14">
        <v>7.6849216368009206</v>
      </c>
      <c r="P235" s="10">
        <v>10766.899726043328</v>
      </c>
      <c r="R235" s="19">
        <f t="shared" si="36"/>
        <v>1.388412651478883</v>
      </c>
      <c r="S235" s="23">
        <f t="shared" si="37"/>
        <v>2547.8561155890184</v>
      </c>
      <c r="U235" s="23">
        <f t="shared" si="38"/>
        <v>1835.0856374544999</v>
      </c>
      <c r="AA235" s="18">
        <f t="shared" si="39"/>
        <v>1</v>
      </c>
      <c r="AF235" s="23">
        <f t="shared" si="40"/>
        <v>66872.776458355132</v>
      </c>
      <c r="AL235" s="18">
        <f t="shared" si="41"/>
        <v>1</v>
      </c>
    </row>
    <row r="236" spans="9:38" x14ac:dyDescent="0.2">
      <c r="I236" s="4">
        <v>229</v>
      </c>
      <c r="K236" s="14">
        <v>6.4171022389085364</v>
      </c>
      <c r="L236" s="10">
        <v>8048.3093162504301</v>
      </c>
      <c r="O236" s="14">
        <v>7.7566559520660965</v>
      </c>
      <c r="P236" s="10">
        <v>9525.8123234874856</v>
      </c>
      <c r="R236" s="19">
        <f t="shared" si="36"/>
        <v>1.3395537131575601</v>
      </c>
      <c r="S236" s="23">
        <f t="shared" si="37"/>
        <v>1477.5030072370555</v>
      </c>
      <c r="U236" s="23">
        <f t="shared" si="38"/>
        <v>1102.9815323749317</v>
      </c>
      <c r="AA236" s="18">
        <f t="shared" si="39"/>
        <v>1</v>
      </c>
      <c r="AF236" s="23">
        <f t="shared" si="40"/>
        <v>65500.182650640942</v>
      </c>
      <c r="AL236" s="18">
        <f t="shared" si="41"/>
        <v>1</v>
      </c>
    </row>
    <row r="237" spans="9:38" x14ac:dyDescent="0.2">
      <c r="I237" s="4">
        <v>230</v>
      </c>
      <c r="K237" s="14">
        <v>7.106654293308134</v>
      </c>
      <c r="L237" s="10">
        <v>8303.7278770651374</v>
      </c>
      <c r="O237" s="14">
        <v>7.6636034653029323</v>
      </c>
      <c r="P237" s="10">
        <v>10005.634037339982</v>
      </c>
      <c r="R237" s="19">
        <f t="shared" si="36"/>
        <v>0.55694917199479832</v>
      </c>
      <c r="S237" s="23">
        <f t="shared" si="37"/>
        <v>1701.9061602748443</v>
      </c>
      <c r="U237" s="23">
        <f t="shared" si="38"/>
        <v>3055.7656710022711</v>
      </c>
      <c r="AA237" s="18">
        <f t="shared" si="39"/>
        <v>1</v>
      </c>
      <c r="AF237" s="23">
        <f t="shared" si="40"/>
        <v>26145.552439465071</v>
      </c>
      <c r="AL237" s="18">
        <f t="shared" si="41"/>
        <v>1</v>
      </c>
    </row>
    <row r="238" spans="9:38" x14ac:dyDescent="0.2">
      <c r="I238" s="4">
        <v>231</v>
      </c>
      <c r="K238" s="14">
        <v>6.2168748761189008</v>
      </c>
      <c r="L238" s="10">
        <v>7869.9879252766395</v>
      </c>
      <c r="O238" s="14">
        <v>7.288124867112117</v>
      </c>
      <c r="P238" s="10">
        <v>10270.883406769941</v>
      </c>
      <c r="R238" s="19">
        <f t="shared" si="36"/>
        <v>1.0712499909932163</v>
      </c>
      <c r="S238" s="23">
        <f t="shared" si="37"/>
        <v>2400.8954814933013</v>
      </c>
      <c r="U238" s="23">
        <f t="shared" si="38"/>
        <v>2241.2093364568391</v>
      </c>
      <c r="AA238" s="18">
        <f t="shared" si="39"/>
        <v>1</v>
      </c>
      <c r="AF238" s="23">
        <f t="shared" si="40"/>
        <v>51161.604068167515</v>
      </c>
      <c r="AL238" s="18">
        <f t="shared" si="41"/>
        <v>1</v>
      </c>
    </row>
    <row r="239" spans="9:38" x14ac:dyDescent="0.2">
      <c r="I239" s="4">
        <v>232</v>
      </c>
      <c r="K239" s="14">
        <v>6.5051279573517808</v>
      </c>
      <c r="L239" s="10">
        <v>5967.2836581471201</v>
      </c>
      <c r="O239" s="14">
        <v>6.6817625457663166</v>
      </c>
      <c r="P239" s="10">
        <v>9392.5739841594022</v>
      </c>
      <c r="R239" s="19">
        <f t="shared" si="36"/>
        <v>0.17663458841453572</v>
      </c>
      <c r="S239" s="23">
        <f t="shared" si="37"/>
        <v>3425.2903260122821</v>
      </c>
      <c r="U239" s="23">
        <f t="shared" si="38"/>
        <v>19391.956902425154</v>
      </c>
      <c r="AA239" s="18">
        <f t="shared" si="39"/>
        <v>1</v>
      </c>
      <c r="AF239" s="23">
        <f t="shared" si="40"/>
        <v>5406.4390947145039</v>
      </c>
      <c r="AL239" s="18">
        <f t="shared" si="41"/>
        <v>1</v>
      </c>
    </row>
    <row r="240" spans="9:38" x14ac:dyDescent="0.2">
      <c r="I240" s="4">
        <v>233</v>
      </c>
      <c r="K240" s="14">
        <v>6.0091613660340508</v>
      </c>
      <c r="L240" s="10">
        <v>6476.108401709087</v>
      </c>
      <c r="O240" s="14">
        <v>7.3061715804672733</v>
      </c>
      <c r="P240" s="10">
        <v>9822.7367342452253</v>
      </c>
      <c r="R240" s="19">
        <f t="shared" si="36"/>
        <v>1.2970102144332225</v>
      </c>
      <c r="S240" s="23">
        <f t="shared" si="37"/>
        <v>3346.6283325361383</v>
      </c>
      <c r="U240" s="23">
        <f t="shared" si="38"/>
        <v>2580.2636673902939</v>
      </c>
      <c r="AA240" s="18">
        <f t="shared" si="39"/>
        <v>1</v>
      </c>
      <c r="AF240" s="23">
        <f t="shared" si="40"/>
        <v>61503.882389124992</v>
      </c>
      <c r="AL240" s="18">
        <f t="shared" si="41"/>
        <v>1</v>
      </c>
    </row>
    <row r="241" spans="9:38" x14ac:dyDescent="0.2">
      <c r="I241" s="4">
        <v>234</v>
      </c>
      <c r="K241" s="14">
        <v>6.574945673636134</v>
      </c>
      <c r="L241" s="10">
        <v>7880.5685652897846</v>
      </c>
      <c r="O241" s="14">
        <v>7.365825835945734</v>
      </c>
      <c r="P241" s="10">
        <v>9629.6927570393382</v>
      </c>
      <c r="R241" s="19">
        <f t="shared" si="36"/>
        <v>0.79088016230960001</v>
      </c>
      <c r="S241" s="23">
        <f t="shared" si="37"/>
        <v>1749.1241917495536</v>
      </c>
      <c r="U241" s="23">
        <f t="shared" si="38"/>
        <v>2211.617227370582</v>
      </c>
      <c r="AA241" s="18">
        <f t="shared" si="39"/>
        <v>1</v>
      </c>
      <c r="AF241" s="23">
        <f t="shared" si="40"/>
        <v>37794.883923730449</v>
      </c>
      <c r="AL241" s="18">
        <f t="shared" si="41"/>
        <v>1</v>
      </c>
    </row>
    <row r="242" spans="9:38" x14ac:dyDescent="0.2">
      <c r="I242" s="4">
        <v>235</v>
      </c>
      <c r="K242" s="14">
        <v>6.4641739716002542</v>
      </c>
      <c r="L242" s="10">
        <v>8244.1729451931751</v>
      </c>
      <c r="O242" s="14">
        <v>7.0711754711543673</v>
      </c>
      <c r="P242" s="10">
        <v>9498.1624233372786</v>
      </c>
      <c r="R242" s="19">
        <f t="shared" si="36"/>
        <v>0.60700149955411309</v>
      </c>
      <c r="S242" s="23">
        <f t="shared" si="37"/>
        <v>1253.9894781441035</v>
      </c>
      <c r="U242" s="23">
        <f t="shared" si="38"/>
        <v>2065.8754205142004</v>
      </c>
      <c r="AA242" s="18">
        <f t="shared" si="39"/>
        <v>1</v>
      </c>
      <c r="AF242" s="23">
        <f t="shared" si="40"/>
        <v>29096.085499561552</v>
      </c>
      <c r="AL242" s="18">
        <f t="shared" si="41"/>
        <v>1</v>
      </c>
    </row>
    <row r="243" spans="9:38" x14ac:dyDescent="0.2">
      <c r="I243" s="4">
        <v>236</v>
      </c>
      <c r="K243" s="14">
        <v>5.5624069425776375</v>
      </c>
      <c r="L243" s="10">
        <v>7863.8542425391697</v>
      </c>
      <c r="O243" s="14">
        <v>7.4140067296996142</v>
      </c>
      <c r="P243" s="10">
        <v>10026.280899739528</v>
      </c>
      <c r="R243" s="19">
        <f t="shared" si="36"/>
        <v>1.8515997871219767</v>
      </c>
      <c r="S243" s="23">
        <f t="shared" si="37"/>
        <v>2162.426657200358</v>
      </c>
      <c r="U243" s="23">
        <f t="shared" si="38"/>
        <v>1167.8693593724772</v>
      </c>
      <c r="AA243" s="18">
        <f t="shared" si="39"/>
        <v>1</v>
      </c>
      <c r="AF243" s="23">
        <f t="shared" si="40"/>
        <v>90417.562698898488</v>
      </c>
      <c r="AL243" s="18">
        <f t="shared" si="41"/>
        <v>1</v>
      </c>
    </row>
    <row r="244" spans="9:38" x14ac:dyDescent="0.2">
      <c r="I244" s="4">
        <v>237</v>
      </c>
      <c r="K244" s="14">
        <v>6.3537547083284514</v>
      </c>
      <c r="L244" s="10">
        <v>7689.3777540603305</v>
      </c>
      <c r="O244" s="14">
        <v>7.3783977550140518</v>
      </c>
      <c r="P244" s="10">
        <v>10785.894438318464</v>
      </c>
      <c r="R244" s="19">
        <f t="shared" si="36"/>
        <v>1.0246430466856005</v>
      </c>
      <c r="S244" s="23">
        <f t="shared" si="37"/>
        <v>3096.5166842581339</v>
      </c>
      <c r="U244" s="23">
        <f t="shared" si="38"/>
        <v>3022.0443053553099</v>
      </c>
      <c r="AA244" s="18">
        <f t="shared" si="39"/>
        <v>1</v>
      </c>
      <c r="AF244" s="23">
        <f t="shared" si="40"/>
        <v>48135.63565002189</v>
      </c>
      <c r="AL244" s="18">
        <f t="shared" si="41"/>
        <v>1</v>
      </c>
    </row>
    <row r="245" spans="9:38" x14ac:dyDescent="0.2">
      <c r="I245" s="4">
        <v>238</v>
      </c>
      <c r="K245" s="14">
        <v>6.1324829655492179</v>
      </c>
      <c r="L245" s="10">
        <v>9230.3137021167313</v>
      </c>
      <c r="O245" s="14">
        <v>7.6437986188079154</v>
      </c>
      <c r="P245" s="10">
        <v>10960.462001566919</v>
      </c>
      <c r="R245" s="19">
        <f t="shared" si="36"/>
        <v>1.5113156532586975</v>
      </c>
      <c r="S245" s="23">
        <f t="shared" si="37"/>
        <v>1730.1482994501876</v>
      </c>
      <c r="U245" s="23">
        <f t="shared" si="38"/>
        <v>1144.7961223187515</v>
      </c>
      <c r="AA245" s="18">
        <f t="shared" si="39"/>
        <v>1</v>
      </c>
      <c r="AF245" s="23">
        <f t="shared" si="40"/>
        <v>73835.634363484685</v>
      </c>
      <c r="AL245" s="18">
        <f t="shared" si="41"/>
        <v>1</v>
      </c>
    </row>
    <row r="246" spans="9:38" x14ac:dyDescent="0.2">
      <c r="I246" s="4">
        <v>239</v>
      </c>
      <c r="K246" s="14">
        <v>6.7311436758113654</v>
      </c>
      <c r="L246" s="10">
        <v>7698.5454635866199</v>
      </c>
      <c r="O246" s="14">
        <v>7.2690453917206312</v>
      </c>
      <c r="P246" s="10">
        <v>9945.4856336194898</v>
      </c>
      <c r="R246" s="19">
        <f t="shared" si="36"/>
        <v>0.53790171590926583</v>
      </c>
      <c r="S246" s="23">
        <f t="shared" si="37"/>
        <v>2246.9401700328699</v>
      </c>
      <c r="U246" s="23">
        <f t="shared" si="38"/>
        <v>4177.2318317197705</v>
      </c>
      <c r="AA246" s="18">
        <f t="shared" si="39"/>
        <v>1</v>
      </c>
      <c r="AF246" s="23">
        <f t="shared" si="40"/>
        <v>24648.145625430421</v>
      </c>
      <c r="AL246" s="18">
        <f t="shared" si="41"/>
        <v>1</v>
      </c>
    </row>
    <row r="247" spans="9:38" x14ac:dyDescent="0.2">
      <c r="I247" s="4">
        <v>240</v>
      </c>
      <c r="K247" s="14">
        <v>6.0117539771324724</v>
      </c>
      <c r="L247" s="10">
        <v>6437.1515832256164</v>
      </c>
      <c r="O247" s="14">
        <v>6.8623006544433114</v>
      </c>
      <c r="P247" s="10">
        <v>9591.6976741196304</v>
      </c>
      <c r="R247" s="19">
        <f t="shared" si="36"/>
        <v>0.85054667731083899</v>
      </c>
      <c r="S247" s="23">
        <f t="shared" si="37"/>
        <v>3154.546090894014</v>
      </c>
      <c r="U247" s="23">
        <f t="shared" si="38"/>
        <v>3708.8453521065962</v>
      </c>
      <c r="AA247" s="18">
        <f t="shared" si="39"/>
        <v>1</v>
      </c>
      <c r="AF247" s="23">
        <f t="shared" si="40"/>
        <v>39372.787774647935</v>
      </c>
      <c r="AL247" s="18">
        <f t="shared" si="41"/>
        <v>1</v>
      </c>
    </row>
    <row r="248" spans="9:38" x14ac:dyDescent="0.2">
      <c r="I248" s="4">
        <v>241</v>
      </c>
      <c r="K248" s="14">
        <v>6.3250326170325968</v>
      </c>
      <c r="L248" s="10">
        <v>5755.4072864070386</v>
      </c>
      <c r="O248" s="14">
        <v>6.7169411526125824</v>
      </c>
      <c r="P248" s="10">
        <v>9695.6330747253051</v>
      </c>
      <c r="R248" s="19">
        <f t="shared" si="36"/>
        <v>0.39190853557998562</v>
      </c>
      <c r="S248" s="23">
        <f t="shared" si="37"/>
        <v>3940.2257883182665</v>
      </c>
      <c r="U248" s="23">
        <f t="shared" si="38"/>
        <v>10053.942261010276</v>
      </c>
      <c r="AA248" s="18">
        <f t="shared" si="39"/>
        <v>1</v>
      </c>
      <c r="AF248" s="23">
        <f t="shared" si="40"/>
        <v>15655.200990681014</v>
      </c>
      <c r="AL248" s="18">
        <f t="shared" si="41"/>
        <v>1</v>
      </c>
    </row>
    <row r="249" spans="9:38" x14ac:dyDescent="0.2">
      <c r="I249" s="4">
        <v>242</v>
      </c>
      <c r="K249" s="14">
        <v>6.1170331268485176</v>
      </c>
      <c r="L249" s="10">
        <v>8157.5644015263042</v>
      </c>
      <c r="O249" s="14">
        <v>7.2344203393895485</v>
      </c>
      <c r="P249" s="10">
        <v>9633.2492429500871</v>
      </c>
      <c r="R249" s="19">
        <f t="shared" si="36"/>
        <v>1.1173872125410309</v>
      </c>
      <c r="S249" s="23">
        <f t="shared" si="37"/>
        <v>1475.6848414237829</v>
      </c>
      <c r="U249" s="23">
        <f t="shared" si="38"/>
        <v>1320.6566397587042</v>
      </c>
      <c r="AA249" s="18">
        <f t="shared" si="39"/>
        <v>1</v>
      </c>
      <c r="AF249" s="23">
        <f t="shared" si="40"/>
        <v>54393.675785627762</v>
      </c>
      <c r="AL249" s="18">
        <f t="shared" si="41"/>
        <v>1</v>
      </c>
    </row>
    <row r="250" spans="9:38" x14ac:dyDescent="0.2">
      <c r="I250" s="4">
        <v>243</v>
      </c>
      <c r="K250" s="14">
        <v>6.8604030403993281</v>
      </c>
      <c r="L250" s="10">
        <v>7457.3905831655629</v>
      </c>
      <c r="O250" s="14">
        <v>6.8427672152368668</v>
      </c>
      <c r="P250" s="10">
        <v>10215.789893238474</v>
      </c>
      <c r="R250" s="19">
        <f t="shared" si="36"/>
        <v>-1.7635825162461316E-2</v>
      </c>
      <c r="S250" s="23">
        <f t="shared" si="37"/>
        <v>2758.3993100729112</v>
      </c>
      <c r="U250" s="23">
        <f t="shared" si="38"/>
        <v>-156408.8600710498</v>
      </c>
      <c r="AA250" s="18">
        <f t="shared" si="39"/>
        <v>0</v>
      </c>
      <c r="AF250" s="23">
        <f t="shared" si="40"/>
        <v>-3640.190568195977</v>
      </c>
      <c r="AL250" s="18">
        <f t="shared" si="41"/>
        <v>0</v>
      </c>
    </row>
    <row r="251" spans="9:38" x14ac:dyDescent="0.2">
      <c r="I251" s="4">
        <v>244</v>
      </c>
      <c r="K251" s="14">
        <v>6.2270047548705216</v>
      </c>
      <c r="L251" s="10">
        <v>6870.8288635424815</v>
      </c>
      <c r="O251" s="14">
        <v>7.6015669896433584</v>
      </c>
      <c r="P251" s="10">
        <v>10633.956573614623</v>
      </c>
      <c r="R251" s="19">
        <f t="shared" si="36"/>
        <v>1.3745622347728368</v>
      </c>
      <c r="S251" s="23">
        <f t="shared" si="37"/>
        <v>3763.1277100721418</v>
      </c>
      <c r="U251" s="23">
        <f t="shared" si="38"/>
        <v>2737.6917646031825</v>
      </c>
      <c r="AA251" s="18">
        <f t="shared" si="39"/>
        <v>1</v>
      </c>
      <c r="AF251" s="23">
        <f t="shared" si="40"/>
        <v>64964.984028569692</v>
      </c>
      <c r="AL251" s="18">
        <f t="shared" si="41"/>
        <v>1</v>
      </c>
    </row>
    <row r="252" spans="9:38" x14ac:dyDescent="0.2">
      <c r="I252" s="4">
        <v>245</v>
      </c>
      <c r="K252" s="14">
        <v>6.3815600974704294</v>
      </c>
      <c r="L252" s="10">
        <v>6066.8182531168286</v>
      </c>
      <c r="O252" s="14">
        <v>6.9269432537800046</v>
      </c>
      <c r="P252" s="10">
        <v>9803.6483263090213</v>
      </c>
      <c r="R252" s="19">
        <f t="shared" si="36"/>
        <v>0.54538315630957523</v>
      </c>
      <c r="S252" s="23">
        <f t="shared" si="37"/>
        <v>3736.8300731921927</v>
      </c>
      <c r="U252" s="23">
        <f t="shared" si="38"/>
        <v>6851.7518921524224</v>
      </c>
      <c r="AA252" s="18">
        <f t="shared" si="39"/>
        <v>1</v>
      </c>
      <c r="AF252" s="23">
        <f t="shared" si="40"/>
        <v>23532.327742286569</v>
      </c>
      <c r="AL252" s="18">
        <f t="shared" si="41"/>
        <v>1</v>
      </c>
    </row>
    <row r="253" spans="9:38" x14ac:dyDescent="0.2">
      <c r="I253" s="4">
        <v>246</v>
      </c>
      <c r="K253" s="14">
        <v>7.5511196273362842</v>
      </c>
      <c r="L253" s="10">
        <v>7329.8290608581119</v>
      </c>
      <c r="O253" s="14">
        <v>7.278266442342658</v>
      </c>
      <c r="P253" s="10">
        <v>10046.431859681306</v>
      </c>
      <c r="R253" s="19">
        <f t="shared" si="36"/>
        <v>-0.27285318499362621</v>
      </c>
      <c r="S253" s="23">
        <f t="shared" si="37"/>
        <v>2716.6027988231945</v>
      </c>
      <c r="U253" s="23">
        <f t="shared" si="38"/>
        <v>-9956.2803303419514</v>
      </c>
      <c r="AA253" s="18">
        <f t="shared" si="39"/>
        <v>0</v>
      </c>
      <c r="AF253" s="23">
        <f t="shared" si="40"/>
        <v>-16359.262048504504</v>
      </c>
      <c r="AL253" s="18">
        <f t="shared" si="41"/>
        <v>0</v>
      </c>
    </row>
    <row r="254" spans="9:38" x14ac:dyDescent="0.2">
      <c r="I254" s="4">
        <v>247</v>
      </c>
      <c r="K254" s="14">
        <v>6.5414131417618</v>
      </c>
      <c r="L254" s="10">
        <v>6202.6779022127948</v>
      </c>
      <c r="O254" s="14">
        <v>6.7427795879335237</v>
      </c>
      <c r="P254" s="10">
        <v>9229.432287187441</v>
      </c>
      <c r="R254" s="19">
        <f t="shared" si="36"/>
        <v>0.20136644617172372</v>
      </c>
      <c r="S254" s="23">
        <f t="shared" si="37"/>
        <v>3026.7543849746462</v>
      </c>
      <c r="U254" s="23">
        <f t="shared" si="38"/>
        <v>15031.076142613421</v>
      </c>
      <c r="AA254" s="18">
        <f t="shared" si="39"/>
        <v>1</v>
      </c>
      <c r="AF254" s="23">
        <f t="shared" si="40"/>
        <v>7041.5679236115402</v>
      </c>
      <c r="AL254" s="18">
        <f t="shared" si="41"/>
        <v>1</v>
      </c>
    </row>
    <row r="255" spans="9:38" x14ac:dyDescent="0.2">
      <c r="I255" s="4">
        <v>248</v>
      </c>
      <c r="K255" s="14">
        <v>5.7496445920257688</v>
      </c>
      <c r="L255" s="10">
        <v>6700.9169610871886</v>
      </c>
      <c r="O255" s="14">
        <v>7.2494213186696053</v>
      </c>
      <c r="P255" s="10">
        <v>9653.2830398502447</v>
      </c>
      <c r="R255" s="19">
        <f t="shared" si="36"/>
        <v>1.4997767266438364</v>
      </c>
      <c r="S255" s="23">
        <f t="shared" si="37"/>
        <v>2952.3660787630561</v>
      </c>
      <c r="U255" s="23">
        <f t="shared" si="38"/>
        <v>1968.5370670938389</v>
      </c>
      <c r="AA255" s="18">
        <f t="shared" si="39"/>
        <v>1</v>
      </c>
      <c r="AF255" s="23">
        <f t="shared" si="40"/>
        <v>72036.470253428764</v>
      </c>
      <c r="AL255" s="18">
        <f t="shared" si="41"/>
        <v>1</v>
      </c>
    </row>
    <row r="256" spans="9:38" x14ac:dyDescent="0.2">
      <c r="I256" s="4">
        <v>249</v>
      </c>
      <c r="K256" s="14">
        <v>6.4394841206022129</v>
      </c>
      <c r="L256" s="10">
        <v>8316.2459090129032</v>
      </c>
      <c r="O256" s="14">
        <v>7.2268137917939068</v>
      </c>
      <c r="P256" s="10">
        <v>10504.463568457122</v>
      </c>
      <c r="R256" s="19">
        <f t="shared" si="36"/>
        <v>0.78732967119169395</v>
      </c>
      <c r="S256" s="23">
        <f t="shared" si="37"/>
        <v>2188.217659444219</v>
      </c>
      <c r="U256" s="23">
        <f t="shared" si="38"/>
        <v>2779.2902255698755</v>
      </c>
      <c r="AA256" s="18">
        <f t="shared" si="39"/>
        <v>1</v>
      </c>
      <c r="AF256" s="23">
        <f t="shared" si="40"/>
        <v>37178.265900140475</v>
      </c>
      <c r="AL256" s="18">
        <f t="shared" si="41"/>
        <v>1</v>
      </c>
    </row>
    <row r="257" spans="9:38" x14ac:dyDescent="0.2">
      <c r="I257" s="4">
        <v>250</v>
      </c>
      <c r="K257" s="14">
        <v>6.7223450097114252</v>
      </c>
      <c r="L257" s="10">
        <v>6290.3222395930215</v>
      </c>
      <c r="O257" s="14">
        <v>7.1629319426366758</v>
      </c>
      <c r="P257" s="10">
        <v>9881.2114976094872</v>
      </c>
      <c r="R257" s="19">
        <f t="shared" si="36"/>
        <v>0.44058693292525053</v>
      </c>
      <c r="S257" s="23">
        <f t="shared" si="37"/>
        <v>3590.8892580164656</v>
      </c>
      <c r="U257" s="23">
        <f t="shared" si="38"/>
        <v>8150.2400313485732</v>
      </c>
      <c r="AA257" s="18">
        <f t="shared" si="39"/>
        <v>1</v>
      </c>
      <c r="AF257" s="23">
        <f t="shared" si="40"/>
        <v>18438.457388246061</v>
      </c>
      <c r="AL257" s="18">
        <f t="shared" si="41"/>
        <v>1</v>
      </c>
    </row>
    <row r="258" spans="9:38" x14ac:dyDescent="0.2">
      <c r="I258" s="4">
        <v>251</v>
      </c>
      <c r="K258" s="14">
        <v>6.2442837606738308</v>
      </c>
      <c r="L258" s="10">
        <v>7742.6668349981901</v>
      </c>
      <c r="O258" s="14">
        <v>6.8104306921221607</v>
      </c>
      <c r="P258" s="10">
        <v>9004.8304536134528</v>
      </c>
      <c r="R258" s="19">
        <f t="shared" si="36"/>
        <v>0.56614693144832984</v>
      </c>
      <c r="S258" s="23">
        <f t="shared" si="37"/>
        <v>1262.1636186152627</v>
      </c>
      <c r="U258" s="23">
        <f t="shared" si="38"/>
        <v>2229.3923158540615</v>
      </c>
      <c r="AA258" s="18">
        <f t="shared" si="39"/>
        <v>1</v>
      </c>
      <c r="AF258" s="23">
        <f t="shared" si="40"/>
        <v>27045.182953801232</v>
      </c>
      <c r="AL258" s="18">
        <f t="shared" si="41"/>
        <v>1</v>
      </c>
    </row>
    <row r="259" spans="9:38" x14ac:dyDescent="0.2">
      <c r="I259" s="4">
        <v>252</v>
      </c>
      <c r="K259" s="14">
        <v>7.2871869145178296</v>
      </c>
      <c r="L259" s="10">
        <v>8394.5107992424291</v>
      </c>
      <c r="O259" s="14">
        <v>7.0156723805682031</v>
      </c>
      <c r="P259" s="10">
        <v>9968.6754089235328</v>
      </c>
      <c r="R259" s="19">
        <f t="shared" si="36"/>
        <v>-0.27151453394962655</v>
      </c>
      <c r="S259" s="23">
        <f t="shared" si="37"/>
        <v>1574.1646096811037</v>
      </c>
      <c r="U259" s="23">
        <f t="shared" si="38"/>
        <v>-5797.7176646210573</v>
      </c>
      <c r="AA259" s="18">
        <f t="shared" si="39"/>
        <v>0</v>
      </c>
      <c r="AF259" s="23">
        <f t="shared" si="40"/>
        <v>-15149.89130716243</v>
      </c>
      <c r="AL259" s="18">
        <f t="shared" si="41"/>
        <v>0</v>
      </c>
    </row>
    <row r="260" spans="9:38" x14ac:dyDescent="0.2">
      <c r="I260" s="4">
        <v>253</v>
      </c>
      <c r="K260" s="14">
        <v>6.5685336383595372</v>
      </c>
      <c r="L260" s="10">
        <v>5996.3950952339583</v>
      </c>
      <c r="O260" s="14">
        <v>7.2776927183817444</v>
      </c>
      <c r="P260" s="10">
        <v>9770.9446866248472</v>
      </c>
      <c r="R260" s="19">
        <f t="shared" si="36"/>
        <v>0.70915908002220718</v>
      </c>
      <c r="S260" s="23">
        <f t="shared" si="37"/>
        <v>3774.549591390889</v>
      </c>
      <c r="U260" s="23">
        <f t="shared" si="38"/>
        <v>5322.5710531305467</v>
      </c>
      <c r="AA260" s="18">
        <f t="shared" si="39"/>
        <v>1</v>
      </c>
      <c r="AF260" s="23">
        <f t="shared" si="40"/>
        <v>31683.404409719471</v>
      </c>
      <c r="AL260" s="18">
        <f t="shared" si="41"/>
        <v>1</v>
      </c>
    </row>
    <row r="261" spans="9:38" x14ac:dyDescent="0.2">
      <c r="I261" s="4">
        <v>254</v>
      </c>
      <c r="K261" s="14">
        <v>6.2573066562472146</v>
      </c>
      <c r="L261" s="10">
        <v>6739.7546085300237</v>
      </c>
      <c r="O261" s="14">
        <v>6.9388051519778511</v>
      </c>
      <c r="P261" s="10">
        <v>9338.9907275982641</v>
      </c>
      <c r="R261" s="19">
        <f t="shared" si="36"/>
        <v>0.68149849573063648</v>
      </c>
      <c r="S261" s="23">
        <f t="shared" si="37"/>
        <v>2599.2361190682404</v>
      </c>
      <c r="U261" s="23">
        <f t="shared" si="38"/>
        <v>3814.0012565715087</v>
      </c>
      <c r="AA261" s="18">
        <f t="shared" si="39"/>
        <v>1</v>
      </c>
      <c r="AF261" s="23">
        <f t="shared" si="40"/>
        <v>31475.688667463583</v>
      </c>
      <c r="AL261" s="18">
        <f t="shared" si="41"/>
        <v>1</v>
      </c>
    </row>
    <row r="262" spans="9:38" x14ac:dyDescent="0.2">
      <c r="I262" s="4">
        <v>255</v>
      </c>
      <c r="K262" s="14">
        <v>6.9058847749136234</v>
      </c>
      <c r="L262" s="10">
        <v>8739.8992358571904</v>
      </c>
      <c r="O262" s="14">
        <v>7.4215255188881031</v>
      </c>
      <c r="P262" s="10">
        <v>10313.464959204955</v>
      </c>
      <c r="R262" s="19">
        <f t="shared" si="36"/>
        <v>0.51564074397447968</v>
      </c>
      <c r="S262" s="23">
        <f t="shared" si="37"/>
        <v>1573.565723347765</v>
      </c>
      <c r="U262" s="23">
        <f t="shared" si="38"/>
        <v>3051.6706480930152</v>
      </c>
      <c r="AA262" s="18">
        <f t="shared" si="39"/>
        <v>1</v>
      </c>
      <c r="AF262" s="23">
        <f t="shared" si="40"/>
        <v>24208.47147537622</v>
      </c>
      <c r="AL262" s="18">
        <f t="shared" si="41"/>
        <v>1</v>
      </c>
    </row>
    <row r="263" spans="9:38" x14ac:dyDescent="0.2">
      <c r="I263" s="4">
        <v>256</v>
      </c>
      <c r="K263" s="14">
        <v>7.0038860019724778</v>
      </c>
      <c r="L263" s="10">
        <v>8772.8558984447845</v>
      </c>
      <c r="O263" s="14">
        <v>6.5389982402745588</v>
      </c>
      <c r="P263" s="10">
        <v>9207.1448685132636</v>
      </c>
      <c r="R263" s="19">
        <f t="shared" si="36"/>
        <v>-0.46488776169791901</v>
      </c>
      <c r="S263" s="23">
        <f t="shared" si="37"/>
        <v>434.2889700684791</v>
      </c>
      <c r="U263" s="23">
        <f t="shared" si="38"/>
        <v>-934.18025994557627</v>
      </c>
      <c r="AA263" s="18">
        <f t="shared" si="39"/>
        <v>0</v>
      </c>
      <c r="AF263" s="23">
        <f t="shared" si="40"/>
        <v>-23678.677054964428</v>
      </c>
      <c r="AL263" s="18">
        <f t="shared" si="41"/>
        <v>0</v>
      </c>
    </row>
    <row r="264" spans="9:38" x14ac:dyDescent="0.2">
      <c r="I264" s="4">
        <v>257</v>
      </c>
      <c r="K264" s="14">
        <v>6.3320518502011804</v>
      </c>
      <c r="L264" s="10">
        <v>7578.2569733790697</v>
      </c>
      <c r="O264" s="14">
        <v>7.20822850272687</v>
      </c>
      <c r="P264" s="10">
        <v>9603.1620067509593</v>
      </c>
      <c r="R264" s="19">
        <f t="shared" ref="R264:R327" si="42">O264-K264</f>
        <v>0.87617665252568955</v>
      </c>
      <c r="S264" s="23">
        <f t="shared" ref="S264:S327" si="43">P264-L264</f>
        <v>2024.9050333718897</v>
      </c>
      <c r="U264" s="23">
        <f t="shared" ref="U264:U327" si="44">S264/R264</f>
        <v>2311.0693802840397</v>
      </c>
      <c r="AA264" s="18">
        <f t="shared" ref="AA264:AA327" si="45">IF(R264&lt;0,IF(U264&lt;Rc_,0,1),IF(U264&lt;Rc_,1,0))</f>
        <v>1</v>
      </c>
      <c r="AF264" s="23">
        <f t="shared" ref="AF264:AF327" si="46">R264*Rc_-S264</f>
        <v>41783.927592912587</v>
      </c>
      <c r="AL264" s="18">
        <f t="shared" ref="AL264:AL327" si="47">IF(AF264&gt;0,1,0)</f>
        <v>1</v>
      </c>
    </row>
    <row r="265" spans="9:38" x14ac:dyDescent="0.2">
      <c r="I265" s="4">
        <v>258</v>
      </c>
      <c r="K265" s="14">
        <v>6.7311178848897155</v>
      </c>
      <c r="L265" s="10">
        <v>5651.9166913734816</v>
      </c>
      <c r="O265" s="14">
        <v>7.7408723653196496</v>
      </c>
      <c r="P265" s="10">
        <v>10241.391056754472</v>
      </c>
      <c r="R265" s="19">
        <f t="shared" si="42"/>
        <v>1.0097544804299341</v>
      </c>
      <c r="S265" s="23">
        <f t="shared" si="43"/>
        <v>4589.4743653809901</v>
      </c>
      <c r="U265" s="23">
        <f t="shared" si="44"/>
        <v>4545.138896959269</v>
      </c>
      <c r="AA265" s="18">
        <f t="shared" si="45"/>
        <v>1</v>
      </c>
      <c r="AF265" s="23">
        <f t="shared" si="46"/>
        <v>45898.24965611571</v>
      </c>
      <c r="AL265" s="18">
        <f t="shared" si="47"/>
        <v>1</v>
      </c>
    </row>
    <row r="266" spans="9:38" x14ac:dyDescent="0.2">
      <c r="I266" s="4">
        <v>259</v>
      </c>
      <c r="K266" s="14">
        <v>6.0223650492545948</v>
      </c>
      <c r="L266" s="10">
        <v>9550.8525635273563</v>
      </c>
      <c r="O266" s="14">
        <v>7.434517728315698</v>
      </c>
      <c r="P266" s="10">
        <v>10454.716173221688</v>
      </c>
      <c r="R266" s="19">
        <f t="shared" si="42"/>
        <v>1.4121526790611032</v>
      </c>
      <c r="S266" s="23">
        <f t="shared" si="43"/>
        <v>903.8636096943319</v>
      </c>
      <c r="U266" s="23">
        <f t="shared" si="44"/>
        <v>640.06082564335964</v>
      </c>
      <c r="AA266" s="18">
        <f t="shared" si="45"/>
        <v>1</v>
      </c>
      <c r="AF266" s="23">
        <f t="shared" si="46"/>
        <v>69703.770343360826</v>
      </c>
      <c r="AL266" s="18">
        <f t="shared" si="47"/>
        <v>1</v>
      </c>
    </row>
    <row r="267" spans="9:38" x14ac:dyDescent="0.2">
      <c r="I267" s="4">
        <v>260</v>
      </c>
      <c r="K267" s="14">
        <v>6.3044649326310891</v>
      </c>
      <c r="L267" s="10">
        <v>7419.0231176113721</v>
      </c>
      <c r="O267" s="14">
        <v>7.086479025018007</v>
      </c>
      <c r="P267" s="10">
        <v>9820.6878009998782</v>
      </c>
      <c r="R267" s="19">
        <f t="shared" si="42"/>
        <v>0.78201409238691788</v>
      </c>
      <c r="S267" s="23">
        <f t="shared" si="43"/>
        <v>2401.6646833885061</v>
      </c>
      <c r="U267" s="23">
        <f t="shared" si="44"/>
        <v>3071.1271149321337</v>
      </c>
      <c r="AA267" s="18">
        <f t="shared" si="45"/>
        <v>1</v>
      </c>
      <c r="AF267" s="23">
        <f t="shared" si="46"/>
        <v>36699.039935957393</v>
      </c>
      <c r="AL267" s="18">
        <f t="shared" si="47"/>
        <v>1</v>
      </c>
    </row>
    <row r="268" spans="9:38" x14ac:dyDescent="0.2">
      <c r="I268" s="4">
        <v>261</v>
      </c>
      <c r="K268" s="14">
        <v>6.2307928351872883</v>
      </c>
      <c r="L268" s="10">
        <v>8164.6106623843743</v>
      </c>
      <c r="O268" s="14">
        <v>6.8254453782492366</v>
      </c>
      <c r="P268" s="10">
        <v>10317.947909512079</v>
      </c>
      <c r="R268" s="19">
        <f t="shared" si="42"/>
        <v>0.59465254306194826</v>
      </c>
      <c r="S268" s="23">
        <f t="shared" si="43"/>
        <v>2153.3372471277044</v>
      </c>
      <c r="U268" s="23">
        <f t="shared" si="44"/>
        <v>3621.1688190886612</v>
      </c>
      <c r="AA268" s="18">
        <f t="shared" si="45"/>
        <v>1</v>
      </c>
      <c r="AF268" s="23">
        <f t="shared" si="46"/>
        <v>27579.289905969708</v>
      </c>
      <c r="AL268" s="18">
        <f t="shared" si="47"/>
        <v>1</v>
      </c>
    </row>
    <row r="269" spans="9:38" x14ac:dyDescent="0.2">
      <c r="I269" s="4">
        <v>262</v>
      </c>
      <c r="K269" s="14">
        <v>6.6201720330938407</v>
      </c>
      <c r="L269" s="10">
        <v>8077.4813946051108</v>
      </c>
      <c r="O269" s="14">
        <v>6.7716315230538182</v>
      </c>
      <c r="P269" s="10">
        <v>9537.1927670284385</v>
      </c>
      <c r="R269" s="19">
        <f t="shared" si="42"/>
        <v>0.15145948995997749</v>
      </c>
      <c r="S269" s="23">
        <f t="shared" si="43"/>
        <v>1459.7113724233277</v>
      </c>
      <c r="U269" s="23">
        <f t="shared" si="44"/>
        <v>9637.6356001796266</v>
      </c>
      <c r="AA269" s="18">
        <f t="shared" si="45"/>
        <v>1</v>
      </c>
      <c r="AF269" s="23">
        <f t="shared" si="46"/>
        <v>6113.2631255755468</v>
      </c>
      <c r="AL269" s="18">
        <f t="shared" si="47"/>
        <v>1</v>
      </c>
    </row>
    <row r="270" spans="9:38" x14ac:dyDescent="0.2">
      <c r="I270" s="4">
        <v>263</v>
      </c>
      <c r="K270" s="14">
        <v>6.1850262694485272</v>
      </c>
      <c r="L270" s="10">
        <v>8079.7330173991168</v>
      </c>
      <c r="O270" s="14">
        <v>7.2963690060849569</v>
      </c>
      <c r="P270" s="10">
        <v>9576.6022271356924</v>
      </c>
      <c r="R270" s="19">
        <f t="shared" si="42"/>
        <v>1.1113427366364297</v>
      </c>
      <c r="S270" s="23">
        <f t="shared" si="43"/>
        <v>1496.8692097365756</v>
      </c>
      <c r="U270" s="23">
        <f t="shared" si="44"/>
        <v>1346.9015096701612</v>
      </c>
      <c r="AA270" s="18">
        <f t="shared" si="45"/>
        <v>1</v>
      </c>
      <c r="AF270" s="23">
        <f t="shared" si="46"/>
        <v>54070.267622084903</v>
      </c>
      <c r="AL270" s="18">
        <f t="shared" si="47"/>
        <v>1</v>
      </c>
    </row>
    <row r="271" spans="9:38" x14ac:dyDescent="0.2">
      <c r="I271" s="4">
        <v>264</v>
      </c>
      <c r="K271" s="14">
        <v>5.7420542712997005</v>
      </c>
      <c r="L271" s="10">
        <v>5736.3197474033232</v>
      </c>
      <c r="O271" s="14">
        <v>7.6751489864930464</v>
      </c>
      <c r="P271" s="10">
        <v>10155.246694001276</v>
      </c>
      <c r="R271" s="19">
        <f t="shared" si="42"/>
        <v>1.933094715193346</v>
      </c>
      <c r="S271" s="23">
        <f t="shared" si="43"/>
        <v>4418.9269465979532</v>
      </c>
      <c r="U271" s="23">
        <f t="shared" si="44"/>
        <v>2285.9340061648127</v>
      </c>
      <c r="AA271" s="18">
        <f t="shared" si="45"/>
        <v>1</v>
      </c>
      <c r="AF271" s="23">
        <f t="shared" si="46"/>
        <v>92235.808813069336</v>
      </c>
      <c r="AL271" s="18">
        <f t="shared" si="47"/>
        <v>1</v>
      </c>
    </row>
    <row r="272" spans="9:38" x14ac:dyDescent="0.2">
      <c r="I272" s="4">
        <v>265</v>
      </c>
      <c r="K272" s="14">
        <v>6.2271256812087517</v>
      </c>
      <c r="L272" s="10">
        <v>6774.8279580052877</v>
      </c>
      <c r="O272" s="14">
        <v>7.1159995009837891</v>
      </c>
      <c r="P272" s="10">
        <v>9616.6533131014821</v>
      </c>
      <c r="R272" s="19">
        <f t="shared" si="42"/>
        <v>0.88887381977503743</v>
      </c>
      <c r="S272" s="23">
        <f t="shared" si="43"/>
        <v>2841.8253550961945</v>
      </c>
      <c r="U272" s="23">
        <f t="shared" si="44"/>
        <v>3197.1077242610477</v>
      </c>
      <c r="AA272" s="18">
        <f t="shared" si="45"/>
        <v>1</v>
      </c>
      <c r="AF272" s="23">
        <f t="shared" si="46"/>
        <v>41601.865633655674</v>
      </c>
      <c r="AL272" s="18">
        <f t="shared" si="47"/>
        <v>1</v>
      </c>
    </row>
    <row r="273" spans="9:38" x14ac:dyDescent="0.2">
      <c r="I273" s="4">
        <v>266</v>
      </c>
      <c r="K273" s="14">
        <v>6.3248144664318779</v>
      </c>
      <c r="L273" s="10">
        <v>8365.3262248062892</v>
      </c>
      <c r="O273" s="14">
        <v>7.1389796164867825</v>
      </c>
      <c r="P273" s="10">
        <v>9547.44445059795</v>
      </c>
      <c r="R273" s="19">
        <f t="shared" si="42"/>
        <v>0.81416515005490453</v>
      </c>
      <c r="S273" s="23">
        <f t="shared" si="43"/>
        <v>1182.1182257916607</v>
      </c>
      <c r="U273" s="23">
        <f t="shared" si="44"/>
        <v>1451.9391129821054</v>
      </c>
      <c r="AA273" s="18">
        <f t="shared" si="45"/>
        <v>1</v>
      </c>
      <c r="AF273" s="23">
        <f t="shared" si="46"/>
        <v>39526.139276953567</v>
      </c>
      <c r="AL273" s="18">
        <f t="shared" si="47"/>
        <v>1</v>
      </c>
    </row>
    <row r="274" spans="9:38" x14ac:dyDescent="0.2">
      <c r="I274" s="4">
        <v>267</v>
      </c>
      <c r="K274" s="14">
        <v>6.1372092715088842</v>
      </c>
      <c r="L274" s="10">
        <v>5996.2333943823887</v>
      </c>
      <c r="O274" s="14">
        <v>6.8601012876989076</v>
      </c>
      <c r="P274" s="10">
        <v>10108.159469317294</v>
      </c>
      <c r="R274" s="19">
        <f t="shared" si="42"/>
        <v>0.72289201619002341</v>
      </c>
      <c r="S274" s="23">
        <f t="shared" si="43"/>
        <v>4111.926074934905</v>
      </c>
      <c r="U274" s="23">
        <f t="shared" si="44"/>
        <v>5688.1608633702508</v>
      </c>
      <c r="AA274" s="18">
        <f t="shared" si="45"/>
        <v>1</v>
      </c>
      <c r="AF274" s="23">
        <f t="shared" si="46"/>
        <v>32032.674734566266</v>
      </c>
      <c r="AL274" s="18">
        <f t="shared" si="47"/>
        <v>1</v>
      </c>
    </row>
    <row r="275" spans="9:38" x14ac:dyDescent="0.2">
      <c r="I275" s="4">
        <v>268</v>
      </c>
      <c r="K275" s="14">
        <v>6.4072987462394542</v>
      </c>
      <c r="L275" s="10">
        <v>5532.3020352590011</v>
      </c>
      <c r="O275" s="14">
        <v>8.0954769776974445</v>
      </c>
      <c r="P275" s="10">
        <v>10504.56158591141</v>
      </c>
      <c r="R275" s="19">
        <f t="shared" si="42"/>
        <v>1.6881782314579903</v>
      </c>
      <c r="S275" s="23">
        <f t="shared" si="43"/>
        <v>4972.2595506524085</v>
      </c>
      <c r="U275" s="23">
        <f t="shared" si="44"/>
        <v>2945.3404018591868</v>
      </c>
      <c r="AA275" s="18">
        <f t="shared" si="45"/>
        <v>1</v>
      </c>
      <c r="AF275" s="23">
        <f t="shared" si="46"/>
        <v>79436.652022247101</v>
      </c>
      <c r="AL275" s="18">
        <f t="shared" si="47"/>
        <v>1</v>
      </c>
    </row>
    <row r="276" spans="9:38" x14ac:dyDescent="0.2">
      <c r="I276" s="4">
        <v>269</v>
      </c>
      <c r="K276" s="14">
        <v>6.4692034467187423</v>
      </c>
      <c r="L276" s="10">
        <v>7094.0798128025017</v>
      </c>
      <c r="O276" s="14">
        <v>7.0484991991946826</v>
      </c>
      <c r="P276" s="10">
        <v>9920.8892487471021</v>
      </c>
      <c r="R276" s="19">
        <f t="shared" si="42"/>
        <v>0.57929575247594034</v>
      </c>
      <c r="S276" s="23">
        <f t="shared" si="43"/>
        <v>2826.8094359446004</v>
      </c>
      <c r="U276" s="23">
        <f t="shared" si="44"/>
        <v>4879.7344428345432</v>
      </c>
      <c r="AA276" s="18">
        <f t="shared" si="45"/>
        <v>1</v>
      </c>
      <c r="AF276" s="23">
        <f t="shared" si="46"/>
        <v>26137.978187852415</v>
      </c>
      <c r="AL276" s="18">
        <f t="shared" si="47"/>
        <v>1</v>
      </c>
    </row>
    <row r="277" spans="9:38" x14ac:dyDescent="0.2">
      <c r="I277" s="4">
        <v>270</v>
      </c>
      <c r="K277" s="14">
        <v>6.6327297701107746</v>
      </c>
      <c r="L277" s="10">
        <v>6285.9631587582062</v>
      </c>
      <c r="O277" s="14">
        <v>6.9483734119553704</v>
      </c>
      <c r="P277" s="10">
        <v>9940.93182112246</v>
      </c>
      <c r="R277" s="19">
        <f t="shared" si="42"/>
        <v>0.31564364184459581</v>
      </c>
      <c r="S277" s="23">
        <f t="shared" si="43"/>
        <v>3654.9686623642538</v>
      </c>
      <c r="U277" s="23">
        <f t="shared" si="44"/>
        <v>11579.414814139494</v>
      </c>
      <c r="AA277" s="18">
        <f t="shared" si="45"/>
        <v>1</v>
      </c>
      <c r="AF277" s="23">
        <f t="shared" si="46"/>
        <v>12127.213429865536</v>
      </c>
      <c r="AL277" s="18">
        <f t="shared" si="47"/>
        <v>1</v>
      </c>
    </row>
    <row r="278" spans="9:38" x14ac:dyDescent="0.2">
      <c r="I278" s="4">
        <v>271</v>
      </c>
      <c r="K278" s="14">
        <v>6.0496587626607656</v>
      </c>
      <c r="L278" s="10">
        <v>6332.2768278075328</v>
      </c>
      <c r="O278" s="14">
        <v>6.9942191418812341</v>
      </c>
      <c r="P278" s="10">
        <v>9395.3260361431076</v>
      </c>
      <c r="R278" s="19">
        <f t="shared" si="42"/>
        <v>0.94456037922046843</v>
      </c>
      <c r="S278" s="23">
        <f t="shared" si="43"/>
        <v>3063.0492083355748</v>
      </c>
      <c r="U278" s="23">
        <f t="shared" si="44"/>
        <v>3242.8305015963761</v>
      </c>
      <c r="AA278" s="18">
        <f t="shared" si="45"/>
        <v>1</v>
      </c>
      <c r="AF278" s="23">
        <f t="shared" si="46"/>
        <v>44164.969752687844</v>
      </c>
      <c r="AL278" s="18">
        <f t="shared" si="47"/>
        <v>1</v>
      </c>
    </row>
    <row r="279" spans="9:38" x14ac:dyDescent="0.2">
      <c r="I279" s="4">
        <v>272</v>
      </c>
      <c r="K279" s="14">
        <v>5.9563453189984932</v>
      </c>
      <c r="L279" s="10">
        <v>7334.4006423351984</v>
      </c>
      <c r="O279" s="14">
        <v>6.7960683737650349</v>
      </c>
      <c r="P279" s="10">
        <v>9228.2357651939983</v>
      </c>
      <c r="R279" s="19">
        <f t="shared" si="42"/>
        <v>0.83972305476654174</v>
      </c>
      <c r="S279" s="23">
        <f t="shared" si="43"/>
        <v>1893.8351228587999</v>
      </c>
      <c r="U279" s="23">
        <f t="shared" si="44"/>
        <v>2255.3091904631824</v>
      </c>
      <c r="AA279" s="18">
        <f t="shared" si="45"/>
        <v>1</v>
      </c>
      <c r="AF279" s="23">
        <f t="shared" si="46"/>
        <v>40092.317615468288</v>
      </c>
      <c r="AL279" s="18">
        <f t="shared" si="47"/>
        <v>1</v>
      </c>
    </row>
    <row r="280" spans="9:38" x14ac:dyDescent="0.2">
      <c r="I280" s="4">
        <v>273</v>
      </c>
      <c r="K280" s="14">
        <v>6.4940426934815312</v>
      </c>
      <c r="L280" s="10">
        <v>5880.274234124583</v>
      </c>
      <c r="O280" s="14">
        <v>7.2732266125430725</v>
      </c>
      <c r="P280" s="10">
        <v>9559.8801163419103</v>
      </c>
      <c r="R280" s="19">
        <f t="shared" si="42"/>
        <v>0.77918391906154127</v>
      </c>
      <c r="S280" s="23">
        <f t="shared" si="43"/>
        <v>3679.6058822173272</v>
      </c>
      <c r="U280" s="23">
        <f t="shared" si="44"/>
        <v>4722.3842692352919</v>
      </c>
      <c r="AA280" s="18">
        <f t="shared" si="45"/>
        <v>1</v>
      </c>
      <c r="AF280" s="23">
        <f t="shared" si="46"/>
        <v>35279.590070859733</v>
      </c>
      <c r="AL280" s="18">
        <f t="shared" si="47"/>
        <v>1</v>
      </c>
    </row>
    <row r="281" spans="9:38" x14ac:dyDescent="0.2">
      <c r="I281" s="4">
        <v>274</v>
      </c>
      <c r="K281" s="14">
        <v>5.8512700575183807</v>
      </c>
      <c r="L281" s="10">
        <v>6355.4554512645755</v>
      </c>
      <c r="O281" s="14">
        <v>7.6705952259962622</v>
      </c>
      <c r="P281" s="10">
        <v>10790.114683760719</v>
      </c>
      <c r="R281" s="19">
        <f t="shared" si="42"/>
        <v>1.8193251684778815</v>
      </c>
      <c r="S281" s="23">
        <f t="shared" si="43"/>
        <v>4434.6592324961439</v>
      </c>
      <c r="U281" s="23">
        <f t="shared" si="44"/>
        <v>2437.5297551708982</v>
      </c>
      <c r="AA281" s="18">
        <f t="shared" si="45"/>
        <v>1</v>
      </c>
      <c r="AF281" s="23">
        <f t="shared" si="46"/>
        <v>86531.599191397938</v>
      </c>
      <c r="AL281" s="18">
        <f t="shared" si="47"/>
        <v>1</v>
      </c>
    </row>
    <row r="282" spans="9:38" x14ac:dyDescent="0.2">
      <c r="I282" s="4">
        <v>275</v>
      </c>
      <c r="K282" s="14">
        <v>6.6396367349489411</v>
      </c>
      <c r="L282" s="10">
        <v>8743.9485015833961</v>
      </c>
      <c r="O282" s="14">
        <v>7.2831174696586007</v>
      </c>
      <c r="P282" s="10">
        <v>10565.933589385371</v>
      </c>
      <c r="R282" s="19">
        <f t="shared" si="42"/>
        <v>0.64348073470965961</v>
      </c>
      <c r="S282" s="23">
        <f t="shared" si="43"/>
        <v>1821.9850878019752</v>
      </c>
      <c r="U282" s="23">
        <f t="shared" si="44"/>
        <v>2831.4524266589897</v>
      </c>
      <c r="AA282" s="18">
        <f t="shared" si="45"/>
        <v>1</v>
      </c>
      <c r="AF282" s="23">
        <f t="shared" si="46"/>
        <v>30352.051647681004</v>
      </c>
      <c r="AL282" s="18">
        <f t="shared" si="47"/>
        <v>1</v>
      </c>
    </row>
    <row r="283" spans="9:38" x14ac:dyDescent="0.2">
      <c r="I283" s="4">
        <v>276</v>
      </c>
      <c r="K283" s="14">
        <v>6.5721476236860079</v>
      </c>
      <c r="L283" s="10">
        <v>7639.1840820750294</v>
      </c>
      <c r="O283" s="14">
        <v>7.5972760990638708</v>
      </c>
      <c r="P283" s="10">
        <v>9981.0671598212484</v>
      </c>
      <c r="R283" s="19">
        <f t="shared" si="42"/>
        <v>1.0251284753778629</v>
      </c>
      <c r="S283" s="23">
        <f t="shared" si="43"/>
        <v>2341.883077746219</v>
      </c>
      <c r="U283" s="23">
        <f t="shared" si="44"/>
        <v>2284.4776376765844</v>
      </c>
      <c r="AA283" s="18">
        <f t="shared" si="45"/>
        <v>1</v>
      </c>
      <c r="AF283" s="23">
        <f t="shared" si="46"/>
        <v>48914.540691146925</v>
      </c>
      <c r="AL283" s="18">
        <f t="shared" si="47"/>
        <v>1</v>
      </c>
    </row>
    <row r="284" spans="9:38" x14ac:dyDescent="0.2">
      <c r="I284" s="4">
        <v>277</v>
      </c>
      <c r="K284" s="14">
        <v>6.0658062146104843</v>
      </c>
      <c r="L284" s="10">
        <v>6296.2977933148177</v>
      </c>
      <c r="O284" s="14">
        <v>6.7577127640029619</v>
      </c>
      <c r="P284" s="10">
        <v>9715.4854148808699</v>
      </c>
      <c r="R284" s="19">
        <f t="shared" si="42"/>
        <v>0.69190654939247764</v>
      </c>
      <c r="S284" s="23">
        <f t="shared" si="43"/>
        <v>3419.1876215660523</v>
      </c>
      <c r="U284" s="23">
        <f t="shared" si="44"/>
        <v>4941.6899212303151</v>
      </c>
      <c r="AA284" s="18">
        <f t="shared" si="45"/>
        <v>1</v>
      </c>
      <c r="AF284" s="23">
        <f t="shared" si="46"/>
        <v>31176.139848057828</v>
      </c>
      <c r="AL284" s="18">
        <f t="shared" si="47"/>
        <v>1</v>
      </c>
    </row>
    <row r="285" spans="9:38" x14ac:dyDescent="0.2">
      <c r="I285" s="4">
        <v>278</v>
      </c>
      <c r="K285" s="14">
        <v>6.8338823925257834</v>
      </c>
      <c r="L285" s="10">
        <v>8336.7969948971859</v>
      </c>
      <c r="O285" s="14">
        <v>7.3719671601379879</v>
      </c>
      <c r="P285" s="10">
        <v>9350.6385385649482</v>
      </c>
      <c r="R285" s="19">
        <f t="shared" si="42"/>
        <v>0.53808476761220447</v>
      </c>
      <c r="S285" s="23">
        <f t="shared" si="43"/>
        <v>1013.8415436677624</v>
      </c>
      <c r="U285" s="23">
        <f t="shared" si="44"/>
        <v>1884.1669653031954</v>
      </c>
      <c r="AA285" s="18">
        <f t="shared" si="45"/>
        <v>1</v>
      </c>
      <c r="AF285" s="23">
        <f t="shared" si="46"/>
        <v>25890.396836942462</v>
      </c>
      <c r="AL285" s="18">
        <f t="shared" si="47"/>
        <v>1</v>
      </c>
    </row>
    <row r="286" spans="9:38" x14ac:dyDescent="0.2">
      <c r="I286" s="4">
        <v>279</v>
      </c>
      <c r="K286" s="14">
        <v>6.5327735590077625</v>
      </c>
      <c r="L286" s="10">
        <v>8720.018389402032</v>
      </c>
      <c r="O286" s="14">
        <v>7.4985459526952649</v>
      </c>
      <c r="P286" s="10">
        <v>10033.861315189595</v>
      </c>
      <c r="R286" s="19">
        <f t="shared" si="42"/>
        <v>0.96577239368750245</v>
      </c>
      <c r="S286" s="23">
        <f t="shared" si="43"/>
        <v>1313.8429257875632</v>
      </c>
      <c r="U286" s="23">
        <f t="shared" si="44"/>
        <v>1360.4063797796719</v>
      </c>
      <c r="AA286" s="18">
        <f t="shared" si="45"/>
        <v>1</v>
      </c>
      <c r="AF286" s="23">
        <f t="shared" si="46"/>
        <v>46974.776758587563</v>
      </c>
      <c r="AL286" s="18">
        <f t="shared" si="47"/>
        <v>1</v>
      </c>
    </row>
    <row r="287" spans="9:38" x14ac:dyDescent="0.2">
      <c r="I287" s="4">
        <v>280</v>
      </c>
      <c r="K287" s="14">
        <v>6.0079163857006712</v>
      </c>
      <c r="L287" s="10">
        <v>9303.9046417445588</v>
      </c>
      <c r="O287" s="14">
        <v>7.6252998457435561</v>
      </c>
      <c r="P287" s="10">
        <v>10734.842007389514</v>
      </c>
      <c r="R287" s="19">
        <f t="shared" si="42"/>
        <v>1.6173834600428849</v>
      </c>
      <c r="S287" s="23">
        <f t="shared" si="43"/>
        <v>1430.9373656449552</v>
      </c>
      <c r="U287" s="23">
        <f t="shared" si="44"/>
        <v>884.72362986017799</v>
      </c>
      <c r="AA287" s="18">
        <f t="shared" si="45"/>
        <v>1</v>
      </c>
      <c r="AF287" s="23">
        <f t="shared" si="46"/>
        <v>79438.235636499288</v>
      </c>
      <c r="AL287" s="18">
        <f t="shared" si="47"/>
        <v>1</v>
      </c>
    </row>
    <row r="288" spans="9:38" x14ac:dyDescent="0.2">
      <c r="I288" s="4">
        <v>281</v>
      </c>
      <c r="K288" s="14">
        <v>6.5008167796358816</v>
      </c>
      <c r="L288" s="10">
        <v>8415.3059501108801</v>
      </c>
      <c r="O288" s="14">
        <v>7.3079307471463668</v>
      </c>
      <c r="P288" s="10">
        <v>10292.946973001082</v>
      </c>
      <c r="R288" s="19">
        <f t="shared" si="42"/>
        <v>0.80711396751048525</v>
      </c>
      <c r="S288" s="23">
        <f t="shared" si="43"/>
        <v>1877.6410228902023</v>
      </c>
      <c r="U288" s="23">
        <f t="shared" si="44"/>
        <v>2326.3641796235052</v>
      </c>
      <c r="AA288" s="18">
        <f t="shared" si="45"/>
        <v>1</v>
      </c>
      <c r="AF288" s="23">
        <f t="shared" si="46"/>
        <v>38478.057352634059</v>
      </c>
      <c r="AL288" s="18">
        <f t="shared" si="47"/>
        <v>1</v>
      </c>
    </row>
    <row r="289" spans="9:38" x14ac:dyDescent="0.2">
      <c r="I289" s="4">
        <v>282</v>
      </c>
      <c r="K289" s="14">
        <v>6.4490543897116188</v>
      </c>
      <c r="L289" s="10">
        <v>7224.857074201248</v>
      </c>
      <c r="O289" s="14">
        <v>6.7832406868036195</v>
      </c>
      <c r="P289" s="10">
        <v>9420.5785458347036</v>
      </c>
      <c r="R289" s="19">
        <f t="shared" si="42"/>
        <v>0.33418629709200065</v>
      </c>
      <c r="S289" s="23">
        <f t="shared" si="43"/>
        <v>2195.7214716334556</v>
      </c>
      <c r="U289" s="23">
        <f t="shared" si="44"/>
        <v>6570.3515995121097</v>
      </c>
      <c r="AA289" s="18">
        <f t="shared" si="45"/>
        <v>1</v>
      </c>
      <c r="AF289" s="23">
        <f t="shared" si="46"/>
        <v>14513.593382966577</v>
      </c>
      <c r="AL289" s="18">
        <f t="shared" si="47"/>
        <v>1</v>
      </c>
    </row>
    <row r="290" spans="9:38" x14ac:dyDescent="0.2">
      <c r="I290" s="4">
        <v>283</v>
      </c>
      <c r="K290" s="14">
        <v>7.1493045856437512</v>
      </c>
      <c r="L290" s="10">
        <v>7204.8484062789366</v>
      </c>
      <c r="O290" s="14">
        <v>7.5916377228189091</v>
      </c>
      <c r="P290" s="10">
        <v>10378.210786702159</v>
      </c>
      <c r="R290" s="19">
        <f t="shared" si="42"/>
        <v>0.44233313717515799</v>
      </c>
      <c r="S290" s="23">
        <f t="shared" si="43"/>
        <v>3173.362380423222</v>
      </c>
      <c r="U290" s="23">
        <f t="shared" si="44"/>
        <v>7174.1457144473743</v>
      </c>
      <c r="AA290" s="18">
        <f t="shared" si="45"/>
        <v>1</v>
      </c>
      <c r="AF290" s="23">
        <f t="shared" si="46"/>
        <v>18943.294478334676</v>
      </c>
      <c r="AL290" s="18">
        <f t="shared" si="47"/>
        <v>1</v>
      </c>
    </row>
    <row r="291" spans="9:38" x14ac:dyDescent="0.2">
      <c r="I291" s="4">
        <v>284</v>
      </c>
      <c r="K291" s="14">
        <v>5.8965412245392477</v>
      </c>
      <c r="L291" s="10">
        <v>8115.0010699297372</v>
      </c>
      <c r="O291" s="14">
        <v>7.3848763918897866</v>
      </c>
      <c r="P291" s="10">
        <v>10125.38529279519</v>
      </c>
      <c r="R291" s="19">
        <f t="shared" si="42"/>
        <v>1.4883351673505389</v>
      </c>
      <c r="S291" s="23">
        <f t="shared" si="43"/>
        <v>2010.384222865453</v>
      </c>
      <c r="U291" s="23">
        <f t="shared" si="44"/>
        <v>1350.7604113421846</v>
      </c>
      <c r="AA291" s="18">
        <f t="shared" si="45"/>
        <v>1</v>
      </c>
      <c r="AF291" s="23">
        <f t="shared" si="46"/>
        <v>72406.374144661488</v>
      </c>
      <c r="AL291" s="18">
        <f t="shared" si="47"/>
        <v>1</v>
      </c>
    </row>
    <row r="292" spans="9:38" x14ac:dyDescent="0.2">
      <c r="I292" s="4">
        <v>285</v>
      </c>
      <c r="K292" s="14">
        <v>6.7035882862435869</v>
      </c>
      <c r="L292" s="10">
        <v>6585.0033302977554</v>
      </c>
      <c r="O292" s="14">
        <v>7.0274649139644216</v>
      </c>
      <c r="P292" s="10">
        <v>9668.869739455331</v>
      </c>
      <c r="R292" s="19">
        <f t="shared" si="42"/>
        <v>0.3238766277208347</v>
      </c>
      <c r="S292" s="23">
        <f t="shared" si="43"/>
        <v>3083.8664091575756</v>
      </c>
      <c r="U292" s="23">
        <f t="shared" si="44"/>
        <v>9521.7318732110325</v>
      </c>
      <c r="AA292" s="18">
        <f t="shared" si="45"/>
        <v>1</v>
      </c>
      <c r="AF292" s="23">
        <f t="shared" si="46"/>
        <v>13109.964976884159</v>
      </c>
      <c r="AL292" s="18">
        <f t="shared" si="47"/>
        <v>1</v>
      </c>
    </row>
    <row r="293" spans="9:38" x14ac:dyDescent="0.2">
      <c r="I293" s="4">
        <v>286</v>
      </c>
      <c r="K293" s="14">
        <v>6.5564102573755223</v>
      </c>
      <c r="L293" s="10">
        <v>9491.8241728337671</v>
      </c>
      <c r="O293" s="14">
        <v>7.2559454103501624</v>
      </c>
      <c r="P293" s="10">
        <v>10278.935582309834</v>
      </c>
      <c r="R293" s="19">
        <f t="shared" si="42"/>
        <v>0.69953515297464008</v>
      </c>
      <c r="S293" s="23">
        <f t="shared" si="43"/>
        <v>787.11140947606691</v>
      </c>
      <c r="U293" s="23">
        <f t="shared" si="44"/>
        <v>1125.1920738064778</v>
      </c>
      <c r="AA293" s="18">
        <f t="shared" si="45"/>
        <v>1</v>
      </c>
      <c r="AF293" s="23">
        <f t="shared" si="46"/>
        <v>34189.646239255933</v>
      </c>
      <c r="AL293" s="18">
        <f t="shared" si="47"/>
        <v>1</v>
      </c>
    </row>
    <row r="294" spans="9:38" x14ac:dyDescent="0.2">
      <c r="I294" s="4">
        <v>287</v>
      </c>
      <c r="K294" s="14">
        <v>6.8013615178820874</v>
      </c>
      <c r="L294" s="10">
        <v>6489.8760601246158</v>
      </c>
      <c r="O294" s="14">
        <v>7.9399958393254266</v>
      </c>
      <c r="P294" s="10">
        <v>10729.386932500578</v>
      </c>
      <c r="R294" s="19">
        <f t="shared" si="42"/>
        <v>1.1386343214433392</v>
      </c>
      <c r="S294" s="23">
        <f t="shared" si="43"/>
        <v>4239.5108723759622</v>
      </c>
      <c r="U294" s="23">
        <f t="shared" si="44"/>
        <v>3723.3295997980586</v>
      </c>
      <c r="AA294" s="18">
        <f t="shared" si="45"/>
        <v>1</v>
      </c>
      <c r="AF294" s="23">
        <f t="shared" si="46"/>
        <v>52692.205199790995</v>
      </c>
      <c r="AL294" s="18">
        <f t="shared" si="47"/>
        <v>1</v>
      </c>
    </row>
    <row r="295" spans="9:38" x14ac:dyDescent="0.2">
      <c r="I295" s="4">
        <v>288</v>
      </c>
      <c r="K295" s="14">
        <v>6.5723133528770799</v>
      </c>
      <c r="L295" s="10">
        <v>6318.7368909208344</v>
      </c>
      <c r="O295" s="14">
        <v>7.1755102168196983</v>
      </c>
      <c r="P295" s="10">
        <v>9807.5951048912993</v>
      </c>
      <c r="R295" s="19">
        <f t="shared" si="42"/>
        <v>0.6031968639426184</v>
      </c>
      <c r="S295" s="23">
        <f t="shared" si="43"/>
        <v>3488.8582139704649</v>
      </c>
      <c r="U295" s="23">
        <f t="shared" si="44"/>
        <v>5783.946208152629</v>
      </c>
      <c r="AA295" s="18">
        <f t="shared" si="45"/>
        <v>1</v>
      </c>
      <c r="AF295" s="23">
        <f t="shared" si="46"/>
        <v>26670.984983160452</v>
      </c>
      <c r="AL295" s="18">
        <f t="shared" si="47"/>
        <v>1</v>
      </c>
    </row>
    <row r="296" spans="9:38" x14ac:dyDescent="0.2">
      <c r="I296" s="4">
        <v>289</v>
      </c>
      <c r="K296" s="14">
        <v>5.9735827539694171</v>
      </c>
      <c r="L296" s="10">
        <v>7805.4981054404498</v>
      </c>
      <c r="O296" s="14">
        <v>7.7619585594983116</v>
      </c>
      <c r="P296" s="10">
        <v>9736.3119760008813</v>
      </c>
      <c r="R296" s="19">
        <f t="shared" si="42"/>
        <v>1.7883758055288945</v>
      </c>
      <c r="S296" s="23">
        <f t="shared" si="43"/>
        <v>1930.8138705604315</v>
      </c>
      <c r="U296" s="23">
        <f t="shared" si="44"/>
        <v>1079.6466070448835</v>
      </c>
      <c r="AA296" s="18">
        <f t="shared" si="45"/>
        <v>1</v>
      </c>
      <c r="AF296" s="23">
        <f t="shared" si="46"/>
        <v>87487.976405884285</v>
      </c>
      <c r="AL296" s="18">
        <f t="shared" si="47"/>
        <v>1</v>
      </c>
    </row>
    <row r="297" spans="9:38" x14ac:dyDescent="0.2">
      <c r="I297" s="4">
        <v>290</v>
      </c>
      <c r="K297" s="14">
        <v>6.410502943315751</v>
      </c>
      <c r="L297" s="10">
        <v>5925.4616192950552</v>
      </c>
      <c r="O297" s="14">
        <v>6.8695198841048999</v>
      </c>
      <c r="P297" s="10">
        <v>9152.7290337039158</v>
      </c>
      <c r="R297" s="19">
        <f t="shared" si="42"/>
        <v>0.4590169407891489</v>
      </c>
      <c r="S297" s="23">
        <f t="shared" si="43"/>
        <v>3227.2674144088605</v>
      </c>
      <c r="U297" s="23">
        <f t="shared" si="44"/>
        <v>7030.8241976004056</v>
      </c>
      <c r="AA297" s="18">
        <f t="shared" si="45"/>
        <v>1</v>
      </c>
      <c r="AF297" s="23">
        <f t="shared" si="46"/>
        <v>19723.579625048584</v>
      </c>
      <c r="AL297" s="18">
        <f t="shared" si="47"/>
        <v>1</v>
      </c>
    </row>
    <row r="298" spans="9:38" x14ac:dyDescent="0.2">
      <c r="I298" s="4">
        <v>291</v>
      </c>
      <c r="K298" s="14">
        <v>6.2817810331506223</v>
      </c>
      <c r="L298" s="10">
        <v>6570.7382597307969</v>
      </c>
      <c r="O298" s="14">
        <v>6.9667739997545723</v>
      </c>
      <c r="P298" s="10">
        <v>9155.3199216134271</v>
      </c>
      <c r="R298" s="19">
        <f t="shared" si="42"/>
        <v>0.68499296660395004</v>
      </c>
      <c r="S298" s="23">
        <f t="shared" si="43"/>
        <v>2584.5816618826302</v>
      </c>
      <c r="U298" s="23">
        <f t="shared" si="44"/>
        <v>3773.1506568548261</v>
      </c>
      <c r="AA298" s="18">
        <f t="shared" si="45"/>
        <v>1</v>
      </c>
      <c r="AF298" s="23">
        <f t="shared" si="46"/>
        <v>31665.066668314874</v>
      </c>
      <c r="AL298" s="18">
        <f t="shared" si="47"/>
        <v>1</v>
      </c>
    </row>
    <row r="299" spans="9:38" x14ac:dyDescent="0.2">
      <c r="I299" s="4">
        <v>292</v>
      </c>
      <c r="K299" s="14">
        <v>6.2483232108131297</v>
      </c>
      <c r="L299" s="10">
        <v>6396.6867258266102</v>
      </c>
      <c r="O299" s="14">
        <v>7.864112496254231</v>
      </c>
      <c r="P299" s="10">
        <v>10385.065363701246</v>
      </c>
      <c r="R299" s="19">
        <f t="shared" si="42"/>
        <v>1.6157892854411013</v>
      </c>
      <c r="S299" s="23">
        <f t="shared" si="43"/>
        <v>3988.3786378746354</v>
      </c>
      <c r="U299" s="23">
        <f t="shared" si="44"/>
        <v>2468.3779461910658</v>
      </c>
      <c r="AA299" s="18">
        <f t="shared" si="45"/>
        <v>1</v>
      </c>
      <c r="AF299" s="23">
        <f t="shared" si="46"/>
        <v>76801.085634180432</v>
      </c>
      <c r="AL299" s="18">
        <f t="shared" si="47"/>
        <v>1</v>
      </c>
    </row>
    <row r="300" spans="9:38" x14ac:dyDescent="0.2">
      <c r="I300" s="4">
        <v>293</v>
      </c>
      <c r="K300" s="14">
        <v>6.1081451650841707</v>
      </c>
      <c r="L300" s="10">
        <v>6087.8578512166741</v>
      </c>
      <c r="O300" s="14">
        <v>7.1820667779247875</v>
      </c>
      <c r="P300" s="10">
        <v>9643.3906815844693</v>
      </c>
      <c r="R300" s="19">
        <f t="shared" si="42"/>
        <v>1.0739216128406168</v>
      </c>
      <c r="S300" s="23">
        <f t="shared" si="43"/>
        <v>3555.5328303677952</v>
      </c>
      <c r="U300" s="23">
        <f t="shared" si="44"/>
        <v>3310.7936257685506</v>
      </c>
      <c r="AA300" s="18">
        <f t="shared" si="45"/>
        <v>1</v>
      </c>
      <c r="AF300" s="23">
        <f t="shared" si="46"/>
        <v>50140.547811663047</v>
      </c>
      <c r="AL300" s="18">
        <f t="shared" si="47"/>
        <v>1</v>
      </c>
    </row>
    <row r="301" spans="9:38" x14ac:dyDescent="0.2">
      <c r="I301" s="4">
        <v>294</v>
      </c>
      <c r="K301" s="14">
        <v>6.6480809389425461</v>
      </c>
      <c r="L301" s="10">
        <v>8633.3008290893868</v>
      </c>
      <c r="O301" s="14">
        <v>7.8974200203080587</v>
      </c>
      <c r="P301" s="10">
        <v>9935.0023631516888</v>
      </c>
      <c r="R301" s="19">
        <f t="shared" si="42"/>
        <v>1.2493390813655125</v>
      </c>
      <c r="S301" s="23">
        <f t="shared" si="43"/>
        <v>1301.701534062302</v>
      </c>
      <c r="U301" s="23">
        <f t="shared" si="44"/>
        <v>1041.91212255968</v>
      </c>
      <c r="AA301" s="18">
        <f t="shared" si="45"/>
        <v>1</v>
      </c>
      <c r="AF301" s="23">
        <f t="shared" si="46"/>
        <v>61165.252534213323</v>
      </c>
      <c r="AL301" s="18">
        <f t="shared" si="47"/>
        <v>1</v>
      </c>
    </row>
    <row r="302" spans="9:38" x14ac:dyDescent="0.2">
      <c r="I302" s="4">
        <v>295</v>
      </c>
      <c r="K302" s="14">
        <v>6.0739391162469829</v>
      </c>
      <c r="L302" s="10">
        <v>7483.1712172019652</v>
      </c>
      <c r="O302" s="14">
        <v>7.4089294974050359</v>
      </c>
      <c r="P302" s="10">
        <v>9873.7935710737365</v>
      </c>
      <c r="R302" s="19">
        <f t="shared" si="42"/>
        <v>1.334990381158053</v>
      </c>
      <c r="S302" s="23">
        <f t="shared" si="43"/>
        <v>2390.6223538717713</v>
      </c>
      <c r="U302" s="23">
        <f t="shared" si="44"/>
        <v>1790.7412574748278</v>
      </c>
      <c r="AA302" s="18">
        <f t="shared" si="45"/>
        <v>1</v>
      </c>
      <c r="AF302" s="23">
        <f t="shared" si="46"/>
        <v>64358.896704030878</v>
      </c>
      <c r="AL302" s="18">
        <f t="shared" si="47"/>
        <v>1</v>
      </c>
    </row>
    <row r="303" spans="9:38" x14ac:dyDescent="0.2">
      <c r="I303" s="4">
        <v>296</v>
      </c>
      <c r="K303" s="14">
        <v>5.9718003353473303</v>
      </c>
      <c r="L303" s="10">
        <v>5685.5900999232654</v>
      </c>
      <c r="O303" s="14">
        <v>6.7755822753061627</v>
      </c>
      <c r="P303" s="10">
        <v>9820.2196759107446</v>
      </c>
      <c r="R303" s="19">
        <f t="shared" si="42"/>
        <v>0.8037819399588324</v>
      </c>
      <c r="S303" s="23">
        <f t="shared" si="43"/>
        <v>4134.6295759874793</v>
      </c>
      <c r="U303" s="23">
        <f t="shared" si="44"/>
        <v>5143.9692414577567</v>
      </c>
      <c r="AA303" s="18">
        <f t="shared" si="45"/>
        <v>1</v>
      </c>
      <c r="AF303" s="23">
        <f t="shared" si="46"/>
        <v>36054.467421954141</v>
      </c>
      <c r="AL303" s="18">
        <f t="shared" si="47"/>
        <v>1</v>
      </c>
    </row>
    <row r="304" spans="9:38" x14ac:dyDescent="0.2">
      <c r="I304" s="4">
        <v>297</v>
      </c>
      <c r="K304" s="14">
        <v>6.5814308851227921</v>
      </c>
      <c r="L304" s="10">
        <v>6913.1531851075415</v>
      </c>
      <c r="O304" s="14">
        <v>7.4225482009754922</v>
      </c>
      <c r="P304" s="10">
        <v>10077.651103847256</v>
      </c>
      <c r="R304" s="19">
        <f t="shared" si="42"/>
        <v>0.84111731585270011</v>
      </c>
      <c r="S304" s="23">
        <f t="shared" si="43"/>
        <v>3164.4979187397148</v>
      </c>
      <c r="U304" s="23">
        <f t="shared" si="44"/>
        <v>3762.255108886493</v>
      </c>
      <c r="AA304" s="18">
        <f t="shared" si="45"/>
        <v>1</v>
      </c>
      <c r="AF304" s="23">
        <f t="shared" si="46"/>
        <v>38891.367873895288</v>
      </c>
      <c r="AL304" s="18">
        <f t="shared" si="47"/>
        <v>1</v>
      </c>
    </row>
    <row r="305" spans="9:38" x14ac:dyDescent="0.2">
      <c r="I305" s="4">
        <v>298</v>
      </c>
      <c r="K305" s="14">
        <v>6.8804098230682529</v>
      </c>
      <c r="L305" s="10">
        <v>8019.005027939178</v>
      </c>
      <c r="O305" s="14">
        <v>7.004439080342113</v>
      </c>
      <c r="P305" s="10">
        <v>9261.0250006783062</v>
      </c>
      <c r="R305" s="19">
        <f t="shared" si="42"/>
        <v>0.12402925727386016</v>
      </c>
      <c r="S305" s="23">
        <f t="shared" si="43"/>
        <v>1242.0199727391282</v>
      </c>
      <c r="U305" s="23">
        <f t="shared" si="44"/>
        <v>10013.927359064261</v>
      </c>
      <c r="AA305" s="18">
        <f t="shared" si="45"/>
        <v>1</v>
      </c>
      <c r="AF305" s="23">
        <f t="shared" si="46"/>
        <v>4959.4428909538801</v>
      </c>
      <c r="AL305" s="18">
        <f t="shared" si="47"/>
        <v>1</v>
      </c>
    </row>
    <row r="306" spans="9:38" x14ac:dyDescent="0.2">
      <c r="I306" s="4">
        <v>299</v>
      </c>
      <c r="K306" s="14">
        <v>6.802419807522841</v>
      </c>
      <c r="L306" s="10">
        <v>6855.3610027395034</v>
      </c>
      <c r="O306" s="14">
        <v>7.6863487952909875</v>
      </c>
      <c r="P306" s="10">
        <v>9505.8741383312463</v>
      </c>
      <c r="R306" s="19">
        <f t="shared" si="42"/>
        <v>0.88392898776814643</v>
      </c>
      <c r="S306" s="23">
        <f t="shared" si="43"/>
        <v>2650.5131355917429</v>
      </c>
      <c r="U306" s="23">
        <f t="shared" si="44"/>
        <v>2998.5589026603679</v>
      </c>
      <c r="AA306" s="18">
        <f t="shared" si="45"/>
        <v>1</v>
      </c>
      <c r="AF306" s="23">
        <f t="shared" si="46"/>
        <v>41545.936252815583</v>
      </c>
      <c r="AL306" s="18">
        <f t="shared" si="47"/>
        <v>1</v>
      </c>
    </row>
    <row r="307" spans="9:38" x14ac:dyDescent="0.2">
      <c r="I307" s="4">
        <v>300</v>
      </c>
      <c r="K307" s="14">
        <v>6.7535138361520328</v>
      </c>
      <c r="L307" s="10">
        <v>7377.8597277925701</v>
      </c>
      <c r="O307" s="14">
        <v>6.8641830225204377</v>
      </c>
      <c r="P307" s="10">
        <v>9752.1538317214017</v>
      </c>
      <c r="R307" s="19">
        <f t="shared" si="42"/>
        <v>0.11066918636840484</v>
      </c>
      <c r="S307" s="23">
        <f t="shared" si="43"/>
        <v>2374.2941039288316</v>
      </c>
      <c r="U307" s="23">
        <f t="shared" si="44"/>
        <v>21453.976322054841</v>
      </c>
      <c r="AA307" s="18">
        <f t="shared" si="45"/>
        <v>1</v>
      </c>
      <c r="AF307" s="23">
        <f t="shared" si="46"/>
        <v>3159.1652144914106</v>
      </c>
      <c r="AL307" s="18">
        <f t="shared" si="47"/>
        <v>1</v>
      </c>
    </row>
    <row r="308" spans="9:38" x14ac:dyDescent="0.2">
      <c r="I308" s="4">
        <v>301</v>
      </c>
      <c r="K308" s="14">
        <v>6.114404538652102</v>
      </c>
      <c r="L308" s="10">
        <v>8214.2189248742252</v>
      </c>
      <c r="O308" s="14">
        <v>7.4034932879532915</v>
      </c>
      <c r="P308" s="10">
        <v>9498.0811436129316</v>
      </c>
      <c r="R308" s="19">
        <f t="shared" si="42"/>
        <v>1.2890887493011896</v>
      </c>
      <c r="S308" s="23">
        <f t="shared" si="43"/>
        <v>1283.8622187387064</v>
      </c>
      <c r="U308" s="23">
        <f t="shared" si="44"/>
        <v>995.94556188213073</v>
      </c>
      <c r="AA308" s="18">
        <f t="shared" si="45"/>
        <v>1</v>
      </c>
      <c r="AF308" s="23">
        <f t="shared" si="46"/>
        <v>63170.575246320768</v>
      </c>
      <c r="AL308" s="18">
        <f t="shared" si="47"/>
        <v>1</v>
      </c>
    </row>
    <row r="309" spans="9:38" x14ac:dyDescent="0.2">
      <c r="I309" s="4">
        <v>302</v>
      </c>
      <c r="K309" s="14">
        <v>6.7061582482031756</v>
      </c>
      <c r="L309" s="10">
        <v>8116.0286824714658</v>
      </c>
      <c r="O309" s="14">
        <v>6.6823471036191346</v>
      </c>
      <c r="P309" s="10">
        <v>9389.3607103227459</v>
      </c>
      <c r="R309" s="19">
        <f t="shared" si="42"/>
        <v>-2.3811144584040989E-2</v>
      </c>
      <c r="S309" s="23">
        <f t="shared" si="43"/>
        <v>1273.3320278512801</v>
      </c>
      <c r="U309" s="23">
        <f t="shared" si="44"/>
        <v>-53476.304902398901</v>
      </c>
      <c r="AA309" s="18">
        <f t="shared" si="45"/>
        <v>0</v>
      </c>
      <c r="AF309" s="23">
        <f t="shared" si="46"/>
        <v>-2463.8892570533299</v>
      </c>
      <c r="AL309" s="18">
        <f t="shared" si="47"/>
        <v>0</v>
      </c>
    </row>
    <row r="310" spans="9:38" x14ac:dyDescent="0.2">
      <c r="I310" s="4">
        <v>303</v>
      </c>
      <c r="K310" s="14">
        <v>6.7147184924719241</v>
      </c>
      <c r="L310" s="10">
        <v>9626.5989515747533</v>
      </c>
      <c r="O310" s="14">
        <v>7.5237285605177746</v>
      </c>
      <c r="P310" s="10">
        <v>10184.200910674939</v>
      </c>
      <c r="R310" s="19">
        <f t="shared" si="42"/>
        <v>0.80901006804585052</v>
      </c>
      <c r="S310" s="23">
        <f t="shared" si="43"/>
        <v>557.60195910018592</v>
      </c>
      <c r="U310" s="23">
        <f t="shared" si="44"/>
        <v>689.23982670211205</v>
      </c>
      <c r="AA310" s="18">
        <f t="shared" si="45"/>
        <v>1</v>
      </c>
      <c r="AF310" s="23">
        <f t="shared" si="46"/>
        <v>39892.901443192342</v>
      </c>
      <c r="AL310" s="18">
        <f t="shared" si="47"/>
        <v>1</v>
      </c>
    </row>
    <row r="311" spans="9:38" x14ac:dyDescent="0.2">
      <c r="I311" s="4">
        <v>304</v>
      </c>
      <c r="K311" s="14">
        <v>6.6801940473162951</v>
      </c>
      <c r="L311" s="10">
        <v>7475.8724136644696</v>
      </c>
      <c r="O311" s="14">
        <v>7.5530120116213197</v>
      </c>
      <c r="P311" s="10">
        <v>10467.144373162402</v>
      </c>
      <c r="R311" s="19">
        <f t="shared" si="42"/>
        <v>0.87281796430502467</v>
      </c>
      <c r="S311" s="23">
        <f t="shared" si="43"/>
        <v>2991.2719594979326</v>
      </c>
      <c r="U311" s="23">
        <f t="shared" si="44"/>
        <v>3427.1429803575506</v>
      </c>
      <c r="AA311" s="18">
        <f t="shared" si="45"/>
        <v>1</v>
      </c>
      <c r="AF311" s="23">
        <f t="shared" si="46"/>
        <v>40649.626255753297</v>
      </c>
      <c r="AL311" s="18">
        <f t="shared" si="47"/>
        <v>1</v>
      </c>
    </row>
    <row r="312" spans="9:38" x14ac:dyDescent="0.2">
      <c r="I312" s="4">
        <v>305</v>
      </c>
      <c r="K312" s="14">
        <v>6.3664193153502184</v>
      </c>
      <c r="L312" s="10">
        <v>6881.8590789420841</v>
      </c>
      <c r="O312" s="14">
        <v>7.2444651872289549</v>
      </c>
      <c r="P312" s="10">
        <v>9794.1875499826965</v>
      </c>
      <c r="R312" s="19">
        <f t="shared" si="42"/>
        <v>0.87804587187873651</v>
      </c>
      <c r="S312" s="23">
        <f t="shared" si="43"/>
        <v>2912.3284710406124</v>
      </c>
      <c r="U312" s="23">
        <f t="shared" si="44"/>
        <v>3316.8295237345214</v>
      </c>
      <c r="AA312" s="18">
        <f t="shared" si="45"/>
        <v>1</v>
      </c>
      <c r="AF312" s="23">
        <f t="shared" si="46"/>
        <v>40989.96512289621</v>
      </c>
      <c r="AL312" s="18">
        <f t="shared" si="47"/>
        <v>1</v>
      </c>
    </row>
    <row r="313" spans="9:38" x14ac:dyDescent="0.2">
      <c r="I313" s="4">
        <v>306</v>
      </c>
      <c r="K313" s="14">
        <v>6.0708198207995521</v>
      </c>
      <c r="L313" s="10">
        <v>7841.0225829793453</v>
      </c>
      <c r="O313" s="14">
        <v>7.4906110470995619</v>
      </c>
      <c r="P313" s="10">
        <v>9808.5010261181851</v>
      </c>
      <c r="R313" s="19">
        <f t="shared" si="42"/>
        <v>1.4197912263000099</v>
      </c>
      <c r="S313" s="23">
        <f t="shared" si="43"/>
        <v>1967.4784431388398</v>
      </c>
      <c r="U313" s="23">
        <f t="shared" si="44"/>
        <v>1385.7519378156098</v>
      </c>
      <c r="AA313" s="18">
        <f t="shared" si="45"/>
        <v>1</v>
      </c>
      <c r="AF313" s="23">
        <f t="shared" si="46"/>
        <v>69022.082871861654</v>
      </c>
      <c r="AL313" s="18">
        <f t="shared" si="47"/>
        <v>1</v>
      </c>
    </row>
    <row r="314" spans="9:38" x14ac:dyDescent="0.2">
      <c r="I314" s="4">
        <v>307</v>
      </c>
      <c r="K314" s="14">
        <v>6.0506613470180977</v>
      </c>
      <c r="L314" s="10">
        <v>5551.7025420133587</v>
      </c>
      <c r="O314" s="14">
        <v>6.4408858796798256</v>
      </c>
      <c r="P314" s="10">
        <v>9017.2054696012201</v>
      </c>
      <c r="R314" s="19">
        <f t="shared" si="42"/>
        <v>0.39022453266172796</v>
      </c>
      <c r="S314" s="23">
        <f t="shared" si="43"/>
        <v>3465.5029275878614</v>
      </c>
      <c r="U314" s="23">
        <f t="shared" si="44"/>
        <v>8880.7920505397469</v>
      </c>
      <c r="AA314" s="18">
        <f t="shared" si="45"/>
        <v>1</v>
      </c>
      <c r="AF314" s="23">
        <f t="shared" si="46"/>
        <v>16045.723705498534</v>
      </c>
      <c r="AL314" s="18">
        <f t="shared" si="47"/>
        <v>1</v>
      </c>
    </row>
    <row r="315" spans="9:38" x14ac:dyDescent="0.2">
      <c r="I315" s="4">
        <v>308</v>
      </c>
      <c r="K315" s="14">
        <v>6.2339206485843253</v>
      </c>
      <c r="L315" s="10">
        <v>6992.6994737545392</v>
      </c>
      <c r="O315" s="14">
        <v>7.2887551598092708</v>
      </c>
      <c r="P315" s="10">
        <v>10204.513888543532</v>
      </c>
      <c r="R315" s="19">
        <f t="shared" si="42"/>
        <v>1.0548345112249455</v>
      </c>
      <c r="S315" s="23">
        <f t="shared" si="43"/>
        <v>3211.8144147889925</v>
      </c>
      <c r="U315" s="23">
        <f t="shared" si="44"/>
        <v>3044.8514725397213</v>
      </c>
      <c r="AA315" s="18">
        <f t="shared" si="45"/>
        <v>1</v>
      </c>
      <c r="AF315" s="23">
        <f t="shared" si="46"/>
        <v>49529.911146458289</v>
      </c>
      <c r="AL315" s="18">
        <f t="shared" si="47"/>
        <v>1</v>
      </c>
    </row>
    <row r="316" spans="9:38" x14ac:dyDescent="0.2">
      <c r="I316" s="4">
        <v>309</v>
      </c>
      <c r="K316" s="14">
        <v>7.7945287728878574</v>
      </c>
      <c r="L316" s="10">
        <v>6773.3836714067675</v>
      </c>
      <c r="O316" s="14">
        <v>7.0922598226289937</v>
      </c>
      <c r="P316" s="10">
        <v>10125.928392558673</v>
      </c>
      <c r="R316" s="19">
        <f t="shared" si="42"/>
        <v>-0.70226895025886371</v>
      </c>
      <c r="S316" s="23">
        <f t="shared" si="43"/>
        <v>3352.5447211519058</v>
      </c>
      <c r="U316" s="23">
        <f t="shared" si="44"/>
        <v>-4773.8757635747997</v>
      </c>
      <c r="AA316" s="18">
        <f t="shared" si="45"/>
        <v>0</v>
      </c>
      <c r="AF316" s="23">
        <f t="shared" si="46"/>
        <v>-38465.992234095094</v>
      </c>
      <c r="AL316" s="18">
        <f t="shared" si="47"/>
        <v>0</v>
      </c>
    </row>
    <row r="317" spans="9:38" x14ac:dyDescent="0.2">
      <c r="I317" s="4">
        <v>310</v>
      </c>
      <c r="K317" s="14">
        <v>6.2703609686956829</v>
      </c>
      <c r="L317" s="10">
        <v>6481.7332268304572</v>
      </c>
      <c r="O317" s="14">
        <v>6.9702636838705292</v>
      </c>
      <c r="P317" s="10">
        <v>9931.5333832969591</v>
      </c>
      <c r="R317" s="19">
        <f t="shared" si="42"/>
        <v>0.69990271517484626</v>
      </c>
      <c r="S317" s="23">
        <f t="shared" si="43"/>
        <v>3449.8001564665019</v>
      </c>
      <c r="U317" s="23">
        <f t="shared" si="44"/>
        <v>4928.9709579204728</v>
      </c>
      <c r="AA317" s="18">
        <f t="shared" si="45"/>
        <v>1</v>
      </c>
      <c r="AF317" s="23">
        <f t="shared" si="46"/>
        <v>31545.335602275809</v>
      </c>
      <c r="AL317" s="18">
        <f t="shared" si="47"/>
        <v>1</v>
      </c>
    </row>
    <row r="318" spans="9:38" x14ac:dyDescent="0.2">
      <c r="I318" s="4">
        <v>311</v>
      </c>
      <c r="K318" s="14">
        <v>6.4100381860251323</v>
      </c>
      <c r="L318" s="10">
        <v>7065.758650705754</v>
      </c>
      <c r="O318" s="14">
        <v>7.3350743657931297</v>
      </c>
      <c r="P318" s="10">
        <v>10390.162739808926</v>
      </c>
      <c r="R318" s="19">
        <f t="shared" si="42"/>
        <v>0.92503617976799735</v>
      </c>
      <c r="S318" s="23">
        <f t="shared" si="43"/>
        <v>3324.4040891031718</v>
      </c>
      <c r="U318" s="23">
        <f t="shared" si="44"/>
        <v>3593.8098009711848</v>
      </c>
      <c r="AA318" s="18">
        <f t="shared" si="45"/>
        <v>1</v>
      </c>
      <c r="AF318" s="23">
        <f t="shared" si="46"/>
        <v>42927.4048992967</v>
      </c>
      <c r="AL318" s="18">
        <f t="shared" si="47"/>
        <v>1</v>
      </c>
    </row>
    <row r="319" spans="9:38" x14ac:dyDescent="0.2">
      <c r="I319" s="4">
        <v>312</v>
      </c>
      <c r="K319" s="14">
        <v>6.1825961222189623</v>
      </c>
      <c r="L319" s="10">
        <v>6037.2605650714513</v>
      </c>
      <c r="O319" s="14">
        <v>7.622566982461259</v>
      </c>
      <c r="P319" s="10">
        <v>9279.3029296076747</v>
      </c>
      <c r="R319" s="19">
        <f t="shared" si="42"/>
        <v>1.4399708602422967</v>
      </c>
      <c r="S319" s="23">
        <f t="shared" si="43"/>
        <v>3242.0423645362234</v>
      </c>
      <c r="U319" s="23">
        <f t="shared" si="44"/>
        <v>2251.4638691998957</v>
      </c>
      <c r="AA319" s="18">
        <f t="shared" si="45"/>
        <v>1</v>
      </c>
      <c r="AF319" s="23">
        <f t="shared" si="46"/>
        <v>68756.500647578621</v>
      </c>
      <c r="AL319" s="18">
        <f t="shared" si="47"/>
        <v>1</v>
      </c>
    </row>
    <row r="320" spans="9:38" x14ac:dyDescent="0.2">
      <c r="I320" s="4">
        <v>313</v>
      </c>
      <c r="K320" s="14">
        <v>6.0558952471785732</v>
      </c>
      <c r="L320" s="10">
        <v>7976.4519801321558</v>
      </c>
      <c r="O320" s="14">
        <v>7.7510563019465533</v>
      </c>
      <c r="P320" s="10">
        <v>10361.86274615603</v>
      </c>
      <c r="R320" s="19">
        <f t="shared" si="42"/>
        <v>1.6951610547679801</v>
      </c>
      <c r="S320" s="23">
        <f t="shared" si="43"/>
        <v>2385.4107660238742</v>
      </c>
      <c r="U320" s="23">
        <f t="shared" si="44"/>
        <v>1407.1882782549944</v>
      </c>
      <c r="AA320" s="18">
        <f t="shared" si="45"/>
        <v>1</v>
      </c>
      <c r="AF320" s="23">
        <f t="shared" si="46"/>
        <v>82372.641972375117</v>
      </c>
      <c r="AL320" s="18">
        <f t="shared" si="47"/>
        <v>1</v>
      </c>
    </row>
    <row r="321" spans="9:38" x14ac:dyDescent="0.2">
      <c r="I321" s="4">
        <v>314</v>
      </c>
      <c r="K321" s="14">
        <v>5.955086316295688</v>
      </c>
      <c r="L321" s="10">
        <v>6550.048668308521</v>
      </c>
      <c r="O321" s="14">
        <v>7.0469771978232725</v>
      </c>
      <c r="P321" s="10">
        <v>9713.2950260765228</v>
      </c>
      <c r="R321" s="19">
        <f t="shared" si="42"/>
        <v>1.0918908815275845</v>
      </c>
      <c r="S321" s="23">
        <f t="shared" si="43"/>
        <v>3163.2463577680019</v>
      </c>
      <c r="U321" s="23">
        <f t="shared" si="44"/>
        <v>2897.0352361057689</v>
      </c>
      <c r="AA321" s="18">
        <f t="shared" si="45"/>
        <v>1</v>
      </c>
      <c r="AF321" s="23">
        <f t="shared" si="46"/>
        <v>51431.297718611226</v>
      </c>
      <c r="AL321" s="18">
        <f t="shared" si="47"/>
        <v>1</v>
      </c>
    </row>
    <row r="322" spans="9:38" x14ac:dyDescent="0.2">
      <c r="I322" s="4">
        <v>315</v>
      </c>
      <c r="K322" s="14">
        <v>7.1845156046551146</v>
      </c>
      <c r="L322" s="10">
        <v>6589.3247770758999</v>
      </c>
      <c r="O322" s="14">
        <v>7.1900561315139662</v>
      </c>
      <c r="P322" s="10">
        <v>9570.4594501317315</v>
      </c>
      <c r="R322" s="19">
        <f t="shared" si="42"/>
        <v>5.5405268588515355E-3</v>
      </c>
      <c r="S322" s="23">
        <f t="shared" si="43"/>
        <v>2981.1346730558316</v>
      </c>
      <c r="U322" s="23">
        <f t="shared" si="44"/>
        <v>538059.7818586831</v>
      </c>
      <c r="AA322" s="18">
        <f t="shared" si="45"/>
        <v>0</v>
      </c>
      <c r="AF322" s="23">
        <f t="shared" si="46"/>
        <v>-2704.1083301132549</v>
      </c>
      <c r="AL322" s="18">
        <f t="shared" si="47"/>
        <v>0</v>
      </c>
    </row>
    <row r="323" spans="9:38" x14ac:dyDescent="0.2">
      <c r="I323" s="4">
        <v>316</v>
      </c>
      <c r="K323" s="14">
        <v>6.729045034021242</v>
      </c>
      <c r="L323" s="10">
        <v>5774.6397352057047</v>
      </c>
      <c r="O323" s="14">
        <v>7.2885176920444579</v>
      </c>
      <c r="P323" s="10">
        <v>9552.2366374071516</v>
      </c>
      <c r="R323" s="19">
        <f t="shared" si="42"/>
        <v>0.55947265802321589</v>
      </c>
      <c r="S323" s="23">
        <f t="shared" si="43"/>
        <v>3777.5969022014469</v>
      </c>
      <c r="U323" s="23">
        <f t="shared" si="44"/>
        <v>6752.0670546239489</v>
      </c>
      <c r="AA323" s="18">
        <f t="shared" si="45"/>
        <v>1</v>
      </c>
      <c r="AF323" s="23">
        <f t="shared" si="46"/>
        <v>24196.035998959349</v>
      </c>
      <c r="AL323" s="18">
        <f t="shared" si="47"/>
        <v>1</v>
      </c>
    </row>
    <row r="324" spans="9:38" x14ac:dyDescent="0.2">
      <c r="I324" s="4">
        <v>317</v>
      </c>
      <c r="K324" s="14">
        <v>6.2555343253005109</v>
      </c>
      <c r="L324" s="10">
        <v>7253.2946058173493</v>
      </c>
      <c r="O324" s="14">
        <v>6.9848006869938501</v>
      </c>
      <c r="P324" s="10">
        <v>10259.348151731996</v>
      </c>
      <c r="R324" s="19">
        <f t="shared" si="42"/>
        <v>0.72926636169333925</v>
      </c>
      <c r="S324" s="23">
        <f t="shared" si="43"/>
        <v>3006.0535459146467</v>
      </c>
      <c r="U324" s="23">
        <f t="shared" si="44"/>
        <v>4122.0241379770505</v>
      </c>
      <c r="AA324" s="18">
        <f t="shared" si="45"/>
        <v>1</v>
      </c>
      <c r="AF324" s="23">
        <f t="shared" si="46"/>
        <v>33457.264538752315</v>
      </c>
      <c r="AL324" s="18">
        <f t="shared" si="47"/>
        <v>1</v>
      </c>
    </row>
    <row r="325" spans="9:38" x14ac:dyDescent="0.2">
      <c r="I325" s="4">
        <v>318</v>
      </c>
      <c r="K325" s="14">
        <v>6.3387489359419078</v>
      </c>
      <c r="L325" s="10">
        <v>8145.1438558218406</v>
      </c>
      <c r="O325" s="14">
        <v>6.9727215694290443</v>
      </c>
      <c r="P325" s="10">
        <v>9010.8947886266014</v>
      </c>
      <c r="R325" s="19">
        <f t="shared" si="42"/>
        <v>0.63397263348713651</v>
      </c>
      <c r="S325" s="23">
        <f t="shared" si="43"/>
        <v>865.75093280476085</v>
      </c>
      <c r="U325" s="23">
        <f t="shared" si="44"/>
        <v>1365.5966946755079</v>
      </c>
      <c r="AA325" s="18">
        <f t="shared" si="45"/>
        <v>1</v>
      </c>
      <c r="AF325" s="23">
        <f t="shared" si="46"/>
        <v>30832.880741552064</v>
      </c>
      <c r="AL325" s="18">
        <f t="shared" si="47"/>
        <v>1</v>
      </c>
    </row>
    <row r="326" spans="9:38" x14ac:dyDescent="0.2">
      <c r="I326" s="4">
        <v>319</v>
      </c>
      <c r="K326" s="14">
        <v>7.0434085335664438</v>
      </c>
      <c r="L326" s="10">
        <v>7623.9231045333909</v>
      </c>
      <c r="O326" s="14">
        <v>6.9587562491208006</v>
      </c>
      <c r="P326" s="10">
        <v>9365.2060605511724</v>
      </c>
      <c r="R326" s="19">
        <f t="shared" si="42"/>
        <v>-8.4652284445643211E-2</v>
      </c>
      <c r="S326" s="23">
        <f t="shared" si="43"/>
        <v>1741.2829560177815</v>
      </c>
      <c r="U326" s="23">
        <f t="shared" si="44"/>
        <v>-20569.828297261032</v>
      </c>
      <c r="AA326" s="18">
        <f t="shared" si="45"/>
        <v>0</v>
      </c>
      <c r="AF326" s="23">
        <f t="shared" si="46"/>
        <v>-5973.8971782999424</v>
      </c>
      <c r="AL326" s="18">
        <f t="shared" si="47"/>
        <v>0</v>
      </c>
    </row>
    <row r="327" spans="9:38" x14ac:dyDescent="0.2">
      <c r="I327" s="4">
        <v>320</v>
      </c>
      <c r="K327" s="14">
        <v>7.3902673980561335</v>
      </c>
      <c r="L327" s="10">
        <v>7510.4401826823396</v>
      </c>
      <c r="O327" s="14">
        <v>7.1266217161795211</v>
      </c>
      <c r="P327" s="10">
        <v>9402.3281705552345</v>
      </c>
      <c r="R327" s="19">
        <f t="shared" si="42"/>
        <v>-0.26364568187661241</v>
      </c>
      <c r="S327" s="23">
        <f t="shared" si="43"/>
        <v>1891.8879878728949</v>
      </c>
      <c r="U327" s="23">
        <f t="shared" si="44"/>
        <v>-7175.8732189602424</v>
      </c>
      <c r="AA327" s="18">
        <f t="shared" si="45"/>
        <v>0</v>
      </c>
      <c r="AF327" s="23">
        <f t="shared" si="46"/>
        <v>-15074.172081703515</v>
      </c>
      <c r="AL327" s="18">
        <f t="shared" si="47"/>
        <v>0</v>
      </c>
    </row>
    <row r="328" spans="9:38" x14ac:dyDescent="0.2">
      <c r="I328" s="4">
        <v>321</v>
      </c>
      <c r="K328" s="14">
        <v>6.2645554306348901</v>
      </c>
      <c r="L328" s="10">
        <v>5695.3583804318578</v>
      </c>
      <c r="O328" s="14">
        <v>6.79295607398684</v>
      </c>
      <c r="P328" s="10">
        <v>9634.3955433615847</v>
      </c>
      <c r="R328" s="19">
        <f t="shared" ref="R328:R391" si="48">O328-K328</f>
        <v>0.52840064335194992</v>
      </c>
      <c r="S328" s="23">
        <f t="shared" ref="S328:S391" si="49">P328-L328</f>
        <v>3939.0371629297269</v>
      </c>
      <c r="U328" s="23">
        <f t="shared" ref="U328:U391" si="50">S328/R328</f>
        <v>7454.6411184175386</v>
      </c>
      <c r="AA328" s="18">
        <f t="shared" ref="AA328:AA391" si="51">IF(R328&lt;0,IF(U328&lt;Rc_,0,1),IF(U328&lt;Rc_,1,0))</f>
        <v>1</v>
      </c>
      <c r="AF328" s="23">
        <f t="shared" ref="AF328:AF391" si="52">R328*Rc_-S328</f>
        <v>22480.99500466777</v>
      </c>
      <c r="AL328" s="18">
        <f t="shared" ref="AL328:AL391" si="53">IF(AF328&gt;0,1,0)</f>
        <v>1</v>
      </c>
    </row>
    <row r="329" spans="9:38" x14ac:dyDescent="0.2">
      <c r="I329" s="4">
        <v>322</v>
      </c>
      <c r="K329" s="14">
        <v>6.0027652362503003</v>
      </c>
      <c r="L329" s="10">
        <v>6855.3725731563336</v>
      </c>
      <c r="O329" s="14">
        <v>7.2444083781416362</v>
      </c>
      <c r="P329" s="10">
        <v>10765.992111254442</v>
      </c>
      <c r="R329" s="19">
        <f t="shared" si="48"/>
        <v>1.2416431418913358</v>
      </c>
      <c r="S329" s="23">
        <f t="shared" si="49"/>
        <v>3910.619538098108</v>
      </c>
      <c r="U329" s="23">
        <f t="shared" si="50"/>
        <v>3149.5519172612248</v>
      </c>
      <c r="AA329" s="18">
        <f t="shared" si="51"/>
        <v>1</v>
      </c>
      <c r="AF329" s="23">
        <f t="shared" si="52"/>
        <v>58171.537556468684</v>
      </c>
      <c r="AL329" s="18">
        <f t="shared" si="53"/>
        <v>1</v>
      </c>
    </row>
    <row r="330" spans="9:38" x14ac:dyDescent="0.2">
      <c r="I330" s="4">
        <v>323</v>
      </c>
      <c r="K330" s="14">
        <v>5.5903505876906685</v>
      </c>
      <c r="L330" s="10">
        <v>5847.1329705745193</v>
      </c>
      <c r="O330" s="14">
        <v>6.9902326752056476</v>
      </c>
      <c r="P330" s="10">
        <v>9716.0736432730901</v>
      </c>
      <c r="R330" s="19">
        <f t="shared" si="48"/>
        <v>1.3998820875149791</v>
      </c>
      <c r="S330" s="23">
        <f t="shared" si="49"/>
        <v>3868.9406726985708</v>
      </c>
      <c r="U330" s="23">
        <f t="shared" si="50"/>
        <v>2763.761824802385</v>
      </c>
      <c r="AA330" s="18">
        <f t="shared" si="51"/>
        <v>1</v>
      </c>
      <c r="AF330" s="23">
        <f t="shared" si="52"/>
        <v>66125.163703050377</v>
      </c>
      <c r="AL330" s="18">
        <f t="shared" si="53"/>
        <v>1</v>
      </c>
    </row>
    <row r="331" spans="9:38" x14ac:dyDescent="0.2">
      <c r="I331" s="4">
        <v>324</v>
      </c>
      <c r="K331" s="14">
        <v>6.6685543481053902</v>
      </c>
      <c r="L331" s="10">
        <v>9355.2226683978788</v>
      </c>
      <c r="O331" s="14">
        <v>7.0349456519442741</v>
      </c>
      <c r="P331" s="10">
        <v>9907.056025785243</v>
      </c>
      <c r="R331" s="19">
        <f t="shared" si="48"/>
        <v>0.36639130383888396</v>
      </c>
      <c r="S331" s="23">
        <f t="shared" si="49"/>
        <v>551.83335738736423</v>
      </c>
      <c r="U331" s="23">
        <f t="shared" si="50"/>
        <v>1506.1311543300878</v>
      </c>
      <c r="AA331" s="18">
        <f t="shared" si="51"/>
        <v>1</v>
      </c>
      <c r="AF331" s="23">
        <f t="shared" si="52"/>
        <v>17767.731834556835</v>
      </c>
      <c r="AL331" s="18">
        <f t="shared" si="53"/>
        <v>1</v>
      </c>
    </row>
    <row r="332" spans="9:38" x14ac:dyDescent="0.2">
      <c r="I332" s="4">
        <v>325</v>
      </c>
      <c r="K332" s="14">
        <v>6.5701018297582312</v>
      </c>
      <c r="L332" s="10">
        <v>9139.9799070466561</v>
      </c>
      <c r="O332" s="14">
        <v>6.9390806287909195</v>
      </c>
      <c r="P332" s="10">
        <v>9752.9605148383816</v>
      </c>
      <c r="R332" s="19">
        <f t="shared" si="48"/>
        <v>0.36897879903268826</v>
      </c>
      <c r="S332" s="23">
        <f t="shared" si="49"/>
        <v>612.98060779172556</v>
      </c>
      <c r="U332" s="23">
        <f t="shared" si="50"/>
        <v>1661.2895087704508</v>
      </c>
      <c r="AA332" s="18">
        <f t="shared" si="51"/>
        <v>1</v>
      </c>
      <c r="AF332" s="23">
        <f t="shared" si="52"/>
        <v>17835.959343842689</v>
      </c>
      <c r="AL332" s="18">
        <f t="shared" si="53"/>
        <v>1</v>
      </c>
    </row>
    <row r="333" spans="9:38" x14ac:dyDescent="0.2">
      <c r="I333" s="4">
        <v>326</v>
      </c>
      <c r="K333" s="14">
        <v>6.3312113591536399</v>
      </c>
      <c r="L333" s="10">
        <v>7088.0518429388503</v>
      </c>
      <c r="O333" s="14">
        <v>6.0252402332123527</v>
      </c>
      <c r="P333" s="10">
        <v>8435.2546032050104</v>
      </c>
      <c r="R333" s="19">
        <f t="shared" si="48"/>
        <v>-0.30597112594128717</v>
      </c>
      <c r="S333" s="23">
        <f t="shared" si="49"/>
        <v>1347.2027602661601</v>
      </c>
      <c r="U333" s="23">
        <f t="shared" si="50"/>
        <v>-4403.0388688528574</v>
      </c>
      <c r="AA333" s="18">
        <f t="shared" si="51"/>
        <v>0</v>
      </c>
      <c r="AF333" s="23">
        <f t="shared" si="52"/>
        <v>-16645.759057330521</v>
      </c>
      <c r="AL333" s="18">
        <f t="shared" si="53"/>
        <v>0</v>
      </c>
    </row>
    <row r="334" spans="9:38" x14ac:dyDescent="0.2">
      <c r="I334" s="4">
        <v>327</v>
      </c>
      <c r="K334" s="14">
        <v>5.9421752301138033</v>
      </c>
      <c r="L334" s="10">
        <v>6201.2469468048066</v>
      </c>
      <c r="O334" s="14">
        <v>6.9630230945867586</v>
      </c>
      <c r="P334" s="10">
        <v>9675.4940163281972</v>
      </c>
      <c r="R334" s="19">
        <f t="shared" si="48"/>
        <v>1.0208478644729553</v>
      </c>
      <c r="S334" s="23">
        <f t="shared" si="49"/>
        <v>3474.2470695233906</v>
      </c>
      <c r="U334" s="23">
        <f t="shared" si="50"/>
        <v>3403.2956236011519</v>
      </c>
      <c r="AA334" s="18">
        <f t="shared" si="51"/>
        <v>1</v>
      </c>
      <c r="AF334" s="23">
        <f t="shared" si="52"/>
        <v>47568.14615412437</v>
      </c>
      <c r="AL334" s="18">
        <f t="shared" si="53"/>
        <v>1</v>
      </c>
    </row>
    <row r="335" spans="9:38" x14ac:dyDescent="0.2">
      <c r="I335" s="4">
        <v>328</v>
      </c>
      <c r="K335" s="14">
        <v>5.9396771576508902</v>
      </c>
      <c r="L335" s="10">
        <v>6369.4532790794656</v>
      </c>
      <c r="O335" s="14">
        <v>7.39394760776461</v>
      </c>
      <c r="P335" s="10">
        <v>10423.023934323715</v>
      </c>
      <c r="R335" s="19">
        <f t="shared" si="48"/>
        <v>1.4542704501137198</v>
      </c>
      <c r="S335" s="23">
        <f t="shared" si="49"/>
        <v>4053.5706552442498</v>
      </c>
      <c r="U335" s="23">
        <f t="shared" si="50"/>
        <v>2787.3568186215102</v>
      </c>
      <c r="AA335" s="18">
        <f t="shared" si="51"/>
        <v>1</v>
      </c>
      <c r="AF335" s="23">
        <f t="shared" si="52"/>
        <v>68659.95185044175</v>
      </c>
      <c r="AL335" s="18">
        <f t="shared" si="53"/>
        <v>1</v>
      </c>
    </row>
    <row r="336" spans="9:38" x14ac:dyDescent="0.2">
      <c r="I336" s="4">
        <v>329</v>
      </c>
      <c r="K336" s="14">
        <v>6.4850296022541931</v>
      </c>
      <c r="L336" s="10">
        <v>6174.4073944507454</v>
      </c>
      <c r="O336" s="14">
        <v>6.7807095603894227</v>
      </c>
      <c r="P336" s="10">
        <v>10447.963458162831</v>
      </c>
      <c r="R336" s="19">
        <f t="shared" si="48"/>
        <v>0.29567995813522963</v>
      </c>
      <c r="S336" s="23">
        <f t="shared" si="49"/>
        <v>4273.5560637120852</v>
      </c>
      <c r="U336" s="23">
        <f t="shared" si="50"/>
        <v>14453.316655833563</v>
      </c>
      <c r="AA336" s="18">
        <f t="shared" si="51"/>
        <v>1</v>
      </c>
      <c r="AF336" s="23">
        <f t="shared" si="52"/>
        <v>10510.441843049395</v>
      </c>
      <c r="AL336" s="18">
        <f t="shared" si="53"/>
        <v>1</v>
      </c>
    </row>
    <row r="337" spans="9:38" x14ac:dyDescent="0.2">
      <c r="I337" s="4">
        <v>330</v>
      </c>
      <c r="K337" s="14">
        <v>6.1511991131838064</v>
      </c>
      <c r="L337" s="10">
        <v>5538.9307457448922</v>
      </c>
      <c r="O337" s="14">
        <v>6.4836847006035576</v>
      </c>
      <c r="P337" s="10">
        <v>9940.4541262214661</v>
      </c>
      <c r="R337" s="19">
        <f t="shared" si="48"/>
        <v>0.33248558741975121</v>
      </c>
      <c r="S337" s="23">
        <f t="shared" si="49"/>
        <v>4401.5233804765739</v>
      </c>
      <c r="U337" s="23">
        <f t="shared" si="50"/>
        <v>13238.238128258497</v>
      </c>
      <c r="AA337" s="18">
        <f t="shared" si="51"/>
        <v>1</v>
      </c>
      <c r="AF337" s="23">
        <f t="shared" si="52"/>
        <v>12222.755990510985</v>
      </c>
      <c r="AL337" s="18">
        <f t="shared" si="53"/>
        <v>1</v>
      </c>
    </row>
    <row r="338" spans="9:38" x14ac:dyDescent="0.2">
      <c r="I338" s="4">
        <v>331</v>
      </c>
      <c r="K338" s="14">
        <v>5.9356339320063638</v>
      </c>
      <c r="L338" s="10">
        <v>7239.3045279983362</v>
      </c>
      <c r="O338" s="14">
        <v>7.8506169946022348</v>
      </c>
      <c r="P338" s="10">
        <v>9961.2324005583287</v>
      </c>
      <c r="R338" s="19">
        <f t="shared" si="48"/>
        <v>1.914983062595871</v>
      </c>
      <c r="S338" s="23">
        <f t="shared" si="49"/>
        <v>2721.9278725599925</v>
      </c>
      <c r="U338" s="23">
        <f t="shared" si="50"/>
        <v>1421.3848287881256</v>
      </c>
      <c r="AA338" s="18">
        <f t="shared" si="51"/>
        <v>1</v>
      </c>
      <c r="AF338" s="23">
        <f t="shared" si="52"/>
        <v>93027.225257233571</v>
      </c>
      <c r="AL338" s="18">
        <f t="shared" si="53"/>
        <v>1</v>
      </c>
    </row>
    <row r="339" spans="9:38" x14ac:dyDescent="0.2">
      <c r="I339" s="4">
        <v>332</v>
      </c>
      <c r="K339" s="14">
        <v>6.4136972895968372</v>
      </c>
      <c r="L339" s="10">
        <v>7435.9278155891752</v>
      </c>
      <c r="O339" s="14">
        <v>7.0872708222209733</v>
      </c>
      <c r="P339" s="10">
        <v>9084.8427594694713</v>
      </c>
      <c r="R339" s="19">
        <f t="shared" si="48"/>
        <v>0.67357353262413611</v>
      </c>
      <c r="S339" s="23">
        <f t="shared" si="49"/>
        <v>1648.9149438802961</v>
      </c>
      <c r="U339" s="23">
        <f t="shared" si="50"/>
        <v>2448.0102973410844</v>
      </c>
      <c r="AA339" s="18">
        <f t="shared" si="51"/>
        <v>1</v>
      </c>
      <c r="AF339" s="23">
        <f t="shared" si="52"/>
        <v>32029.761687326511</v>
      </c>
      <c r="AL339" s="18">
        <f t="shared" si="53"/>
        <v>1</v>
      </c>
    </row>
    <row r="340" spans="9:38" x14ac:dyDescent="0.2">
      <c r="I340" s="4">
        <v>333</v>
      </c>
      <c r="K340" s="14">
        <v>5.8560529891896032</v>
      </c>
      <c r="L340" s="10">
        <v>7145.9601373775631</v>
      </c>
      <c r="O340" s="14">
        <v>7.1042661113011549</v>
      </c>
      <c r="P340" s="10">
        <v>10075.491704733782</v>
      </c>
      <c r="R340" s="19">
        <f t="shared" si="48"/>
        <v>1.2482131221115518</v>
      </c>
      <c r="S340" s="23">
        <f t="shared" si="49"/>
        <v>2929.5315673562191</v>
      </c>
      <c r="U340" s="23">
        <f t="shared" si="50"/>
        <v>2346.9802676008153</v>
      </c>
      <c r="AA340" s="18">
        <f t="shared" si="51"/>
        <v>1</v>
      </c>
      <c r="AF340" s="23">
        <f t="shared" si="52"/>
        <v>59481.124538221367</v>
      </c>
      <c r="AL340" s="18">
        <f t="shared" si="53"/>
        <v>1</v>
      </c>
    </row>
    <row r="341" spans="9:38" x14ac:dyDescent="0.2">
      <c r="I341" s="4">
        <v>334</v>
      </c>
      <c r="K341" s="14">
        <v>5.9994353409634416</v>
      </c>
      <c r="L341" s="10">
        <v>7238.3129640069355</v>
      </c>
      <c r="O341" s="14">
        <v>7.3772160345022737</v>
      </c>
      <c r="P341" s="10">
        <v>10478.603050006881</v>
      </c>
      <c r="R341" s="19">
        <f t="shared" si="48"/>
        <v>1.3777806935388321</v>
      </c>
      <c r="S341" s="23">
        <f t="shared" si="49"/>
        <v>3240.2900859999454</v>
      </c>
      <c r="U341" s="23">
        <f t="shared" si="50"/>
        <v>2351.8184724139619</v>
      </c>
      <c r="AA341" s="18">
        <f t="shared" si="51"/>
        <v>1</v>
      </c>
      <c r="AF341" s="23">
        <f t="shared" si="52"/>
        <v>65648.744590941656</v>
      </c>
      <c r="AL341" s="18">
        <f t="shared" si="53"/>
        <v>1</v>
      </c>
    </row>
    <row r="342" spans="9:38" x14ac:dyDescent="0.2">
      <c r="I342" s="4">
        <v>335</v>
      </c>
      <c r="K342" s="14">
        <v>6.2062933984591533</v>
      </c>
      <c r="L342" s="10">
        <v>7289.7294494865337</v>
      </c>
      <c r="O342" s="14">
        <v>7.2863489807988762</v>
      </c>
      <c r="P342" s="10">
        <v>9797.0167153059756</v>
      </c>
      <c r="R342" s="19">
        <f t="shared" si="48"/>
        <v>1.0800555823397229</v>
      </c>
      <c r="S342" s="23">
        <f t="shared" si="49"/>
        <v>2507.2872658194419</v>
      </c>
      <c r="U342" s="23">
        <f t="shared" si="50"/>
        <v>2321.4428098116109</v>
      </c>
      <c r="AA342" s="18">
        <f t="shared" si="51"/>
        <v>1</v>
      </c>
      <c r="AF342" s="23">
        <f t="shared" si="52"/>
        <v>51495.491851166706</v>
      </c>
      <c r="AL342" s="18">
        <f t="shared" si="53"/>
        <v>1</v>
      </c>
    </row>
    <row r="343" spans="9:38" x14ac:dyDescent="0.2">
      <c r="I343" s="4">
        <v>336</v>
      </c>
      <c r="K343" s="14">
        <v>5.804598339094877</v>
      </c>
      <c r="L343" s="10">
        <v>8007.0293476422776</v>
      </c>
      <c r="O343" s="14">
        <v>7.0077148562265776</v>
      </c>
      <c r="P343" s="10">
        <v>9458.4015937136883</v>
      </c>
      <c r="R343" s="19">
        <f t="shared" si="48"/>
        <v>1.2031165171317006</v>
      </c>
      <c r="S343" s="23">
        <f t="shared" si="49"/>
        <v>1451.3722460714107</v>
      </c>
      <c r="U343" s="23">
        <f t="shared" si="50"/>
        <v>1206.3438789216909</v>
      </c>
      <c r="AA343" s="18">
        <f t="shared" si="51"/>
        <v>1</v>
      </c>
      <c r="AF343" s="23">
        <f t="shared" si="52"/>
        <v>58704.453610513621</v>
      </c>
      <c r="AL343" s="18">
        <f t="shared" si="53"/>
        <v>1</v>
      </c>
    </row>
    <row r="344" spans="9:38" x14ac:dyDescent="0.2">
      <c r="I344" s="4">
        <v>337</v>
      </c>
      <c r="K344" s="14">
        <v>6.2608827655687369</v>
      </c>
      <c r="L344" s="10">
        <v>7475.7518748023958</v>
      </c>
      <c r="O344" s="14">
        <v>6.6886311888123862</v>
      </c>
      <c r="P344" s="10">
        <v>9354.3381947952967</v>
      </c>
      <c r="R344" s="19">
        <f t="shared" si="48"/>
        <v>0.42774842324364926</v>
      </c>
      <c r="S344" s="23">
        <f t="shared" si="49"/>
        <v>1878.5863199929008</v>
      </c>
      <c r="U344" s="23">
        <f t="shared" si="50"/>
        <v>4391.8018580815233</v>
      </c>
      <c r="AA344" s="18">
        <f t="shared" si="51"/>
        <v>1</v>
      </c>
      <c r="AF344" s="23">
        <f t="shared" si="52"/>
        <v>19508.834842189561</v>
      </c>
      <c r="AL344" s="18">
        <f t="shared" si="53"/>
        <v>1</v>
      </c>
    </row>
    <row r="345" spans="9:38" x14ac:dyDescent="0.2">
      <c r="I345" s="4">
        <v>338</v>
      </c>
      <c r="K345" s="14">
        <v>6.5743469349364796</v>
      </c>
      <c r="L345" s="10">
        <v>6809.7808055070891</v>
      </c>
      <c r="O345" s="14">
        <v>7.1701924473825702</v>
      </c>
      <c r="P345" s="10">
        <v>10302.102359360531</v>
      </c>
      <c r="R345" s="19">
        <f t="shared" si="48"/>
        <v>0.59584551244609063</v>
      </c>
      <c r="S345" s="23">
        <f t="shared" si="49"/>
        <v>3492.3215538534423</v>
      </c>
      <c r="U345" s="23">
        <f t="shared" si="50"/>
        <v>5861.1191674778474</v>
      </c>
      <c r="AA345" s="18">
        <f t="shared" si="51"/>
        <v>1</v>
      </c>
      <c r="AF345" s="23">
        <f t="shared" si="52"/>
        <v>26299.95406845109</v>
      </c>
      <c r="AL345" s="18">
        <f t="shared" si="53"/>
        <v>1</v>
      </c>
    </row>
    <row r="346" spans="9:38" x14ac:dyDescent="0.2">
      <c r="I346" s="4">
        <v>339</v>
      </c>
      <c r="K346" s="14">
        <v>6.9363769100091819</v>
      </c>
      <c r="L346" s="10">
        <v>5916.742519740309</v>
      </c>
      <c r="O346" s="14">
        <v>7.8783648263025876</v>
      </c>
      <c r="P346" s="10">
        <v>10468.596881696121</v>
      </c>
      <c r="R346" s="19">
        <f t="shared" si="48"/>
        <v>0.94198791629340572</v>
      </c>
      <c r="S346" s="23">
        <f t="shared" si="49"/>
        <v>4551.8543619558122</v>
      </c>
      <c r="U346" s="23">
        <f t="shared" si="50"/>
        <v>4832.1791428776914</v>
      </c>
      <c r="AA346" s="18">
        <f t="shared" si="51"/>
        <v>1</v>
      </c>
      <c r="AF346" s="23">
        <f t="shared" si="52"/>
        <v>42547.541452714475</v>
      </c>
      <c r="AL346" s="18">
        <f t="shared" si="53"/>
        <v>1</v>
      </c>
    </row>
    <row r="347" spans="9:38" x14ac:dyDescent="0.2">
      <c r="I347" s="4">
        <v>340</v>
      </c>
      <c r="K347" s="14">
        <v>6.2902947360537329</v>
      </c>
      <c r="L347" s="10">
        <v>7515.5118535935226</v>
      </c>
      <c r="O347" s="14">
        <v>6.4938121348886</v>
      </c>
      <c r="P347" s="10">
        <v>8812.2780220258064</v>
      </c>
      <c r="R347" s="19">
        <f t="shared" si="48"/>
        <v>0.20351739883486708</v>
      </c>
      <c r="S347" s="23">
        <f t="shared" si="49"/>
        <v>1296.7661684322838</v>
      </c>
      <c r="U347" s="23">
        <f t="shared" si="50"/>
        <v>6371.77055060768</v>
      </c>
      <c r="AA347" s="18">
        <f t="shared" si="51"/>
        <v>1</v>
      </c>
      <c r="AF347" s="23">
        <f t="shared" si="52"/>
        <v>8879.1037733110716</v>
      </c>
      <c r="AL347" s="18">
        <f t="shared" si="53"/>
        <v>1</v>
      </c>
    </row>
    <row r="348" spans="9:38" x14ac:dyDescent="0.2">
      <c r="I348" s="4">
        <v>341</v>
      </c>
      <c r="K348" s="14">
        <v>5.6634589830632294</v>
      </c>
      <c r="L348" s="10">
        <v>6584.5368748349465</v>
      </c>
      <c r="O348" s="14">
        <v>7.6502879495191669</v>
      </c>
      <c r="P348" s="10">
        <v>10174.261517470459</v>
      </c>
      <c r="R348" s="19">
        <f t="shared" si="48"/>
        <v>1.9868289664559375</v>
      </c>
      <c r="S348" s="23">
        <f t="shared" si="49"/>
        <v>3589.7246426355123</v>
      </c>
      <c r="U348" s="23">
        <f t="shared" si="50"/>
        <v>1806.7607747026084</v>
      </c>
      <c r="AA348" s="18">
        <f t="shared" si="51"/>
        <v>1</v>
      </c>
      <c r="AF348" s="23">
        <f t="shared" si="52"/>
        <v>95751.723680161362</v>
      </c>
      <c r="AL348" s="18">
        <f t="shared" si="53"/>
        <v>1</v>
      </c>
    </row>
    <row r="349" spans="9:38" x14ac:dyDescent="0.2">
      <c r="I349" s="4">
        <v>342</v>
      </c>
      <c r="K349" s="14">
        <v>6.8965967206087191</v>
      </c>
      <c r="L349" s="10">
        <v>8446.9026886467327</v>
      </c>
      <c r="O349" s="14">
        <v>7.4018074496404029</v>
      </c>
      <c r="P349" s="10">
        <v>10469.214960369487</v>
      </c>
      <c r="R349" s="19">
        <f t="shared" si="48"/>
        <v>0.50521072903168385</v>
      </c>
      <c r="S349" s="23">
        <f t="shared" si="49"/>
        <v>2022.3122717227543</v>
      </c>
      <c r="U349" s="23">
        <f t="shared" si="50"/>
        <v>4002.9084014087252</v>
      </c>
      <c r="AA349" s="18">
        <f t="shared" si="51"/>
        <v>1</v>
      </c>
      <c r="AF349" s="23">
        <f t="shared" si="52"/>
        <v>23238.224179861441</v>
      </c>
      <c r="AL349" s="18">
        <f t="shared" si="53"/>
        <v>1</v>
      </c>
    </row>
    <row r="350" spans="9:38" x14ac:dyDescent="0.2">
      <c r="I350" s="4">
        <v>343</v>
      </c>
      <c r="K350" s="14">
        <v>6.444420021603527</v>
      </c>
      <c r="L350" s="10">
        <v>6813.791734638603</v>
      </c>
      <c r="O350" s="14">
        <v>6.7116751886487096</v>
      </c>
      <c r="P350" s="10">
        <v>9348.0789280765694</v>
      </c>
      <c r="R350" s="19">
        <f t="shared" si="48"/>
        <v>0.2672551670451826</v>
      </c>
      <c r="S350" s="23">
        <f t="shared" si="49"/>
        <v>2534.2871934379664</v>
      </c>
      <c r="U350" s="23">
        <f t="shared" si="50"/>
        <v>9482.6499388485754</v>
      </c>
      <c r="AA350" s="18">
        <f t="shared" si="51"/>
        <v>1</v>
      </c>
      <c r="AF350" s="23">
        <f t="shared" si="52"/>
        <v>10828.471158821165</v>
      </c>
      <c r="AL350" s="18">
        <f t="shared" si="53"/>
        <v>1</v>
      </c>
    </row>
    <row r="351" spans="9:38" x14ac:dyDescent="0.2">
      <c r="I351" s="4">
        <v>344</v>
      </c>
      <c r="K351" s="14">
        <v>6.2222832643951804</v>
      </c>
      <c r="L351" s="10">
        <v>6233.5797445596409</v>
      </c>
      <c r="O351" s="14">
        <v>7.3841917003481088</v>
      </c>
      <c r="P351" s="10">
        <v>10469.787700224528</v>
      </c>
      <c r="R351" s="19">
        <f t="shared" si="48"/>
        <v>1.1619084359529284</v>
      </c>
      <c r="S351" s="23">
        <f t="shared" si="49"/>
        <v>4236.2079556648869</v>
      </c>
      <c r="U351" s="23">
        <f t="shared" si="50"/>
        <v>3645.9051544716608</v>
      </c>
      <c r="AA351" s="18">
        <f t="shared" si="51"/>
        <v>1</v>
      </c>
      <c r="AF351" s="23">
        <f t="shared" si="52"/>
        <v>53859.213841981531</v>
      </c>
      <c r="AL351" s="18">
        <f t="shared" si="53"/>
        <v>1</v>
      </c>
    </row>
    <row r="352" spans="9:38" x14ac:dyDescent="0.2">
      <c r="I352" s="4">
        <v>345</v>
      </c>
      <c r="K352" s="14">
        <v>6.4003991935185534</v>
      </c>
      <c r="L352" s="10">
        <v>6347.1324406131171</v>
      </c>
      <c r="O352" s="14">
        <v>7.6402917977413036</v>
      </c>
      <c r="P352" s="10">
        <v>10132.189073417489</v>
      </c>
      <c r="R352" s="19">
        <f t="shared" si="48"/>
        <v>1.2398926042227503</v>
      </c>
      <c r="S352" s="23">
        <f t="shared" si="49"/>
        <v>3785.0566328043715</v>
      </c>
      <c r="U352" s="23">
        <f t="shared" si="50"/>
        <v>3052.7294218172265</v>
      </c>
      <c r="AA352" s="18">
        <f t="shared" si="51"/>
        <v>1</v>
      </c>
      <c r="AF352" s="23">
        <f t="shared" si="52"/>
        <v>58209.57357833314</v>
      </c>
      <c r="AL352" s="18">
        <f t="shared" si="53"/>
        <v>1</v>
      </c>
    </row>
    <row r="353" spans="9:38" x14ac:dyDescent="0.2">
      <c r="I353" s="4">
        <v>346</v>
      </c>
      <c r="K353" s="14">
        <v>7.2740373599743524</v>
      </c>
      <c r="L353" s="10">
        <v>7116.1722092613973</v>
      </c>
      <c r="O353" s="14">
        <v>7.1813700419483872</v>
      </c>
      <c r="P353" s="10">
        <v>9711.1770596298629</v>
      </c>
      <c r="R353" s="19">
        <f t="shared" si="48"/>
        <v>-9.2667318025965173E-2</v>
      </c>
      <c r="S353" s="23">
        <f t="shared" si="49"/>
        <v>2595.0048503684657</v>
      </c>
      <c r="U353" s="23">
        <f t="shared" si="50"/>
        <v>-28003.452626538205</v>
      </c>
      <c r="AA353" s="18">
        <f t="shared" si="51"/>
        <v>0</v>
      </c>
      <c r="AF353" s="23">
        <f t="shared" si="52"/>
        <v>-7228.3707516667246</v>
      </c>
      <c r="AL353" s="18">
        <f t="shared" si="53"/>
        <v>0</v>
      </c>
    </row>
    <row r="354" spans="9:38" x14ac:dyDescent="0.2">
      <c r="I354" s="4">
        <v>347</v>
      </c>
      <c r="K354" s="14">
        <v>6.4042892598120957</v>
      </c>
      <c r="L354" s="10">
        <v>6643.682627352503</v>
      </c>
      <c r="O354" s="14">
        <v>7.5723719177564792</v>
      </c>
      <c r="P354" s="10">
        <v>9566.6892136746683</v>
      </c>
      <c r="R354" s="19">
        <f t="shared" si="48"/>
        <v>1.1680826579443835</v>
      </c>
      <c r="S354" s="23">
        <f t="shared" si="49"/>
        <v>2923.0065863221653</v>
      </c>
      <c r="U354" s="23">
        <f t="shared" si="50"/>
        <v>2502.3970405194905</v>
      </c>
      <c r="AA354" s="18">
        <f t="shared" si="51"/>
        <v>1</v>
      </c>
      <c r="AF354" s="23">
        <f t="shared" si="52"/>
        <v>55481.126310897009</v>
      </c>
      <c r="AL354" s="18">
        <f t="shared" si="53"/>
        <v>1</v>
      </c>
    </row>
    <row r="355" spans="9:38" x14ac:dyDescent="0.2">
      <c r="I355" s="4">
        <v>348</v>
      </c>
      <c r="K355" s="14">
        <v>5.9226600509347875</v>
      </c>
      <c r="L355" s="10">
        <v>8141.7252081003971</v>
      </c>
      <c r="O355" s="14">
        <v>6.9221275537334623</v>
      </c>
      <c r="P355" s="10">
        <v>9736.5557025472881</v>
      </c>
      <c r="R355" s="19">
        <f t="shared" si="48"/>
        <v>0.9994675027986748</v>
      </c>
      <c r="S355" s="23">
        <f t="shared" si="49"/>
        <v>1594.830494446891</v>
      </c>
      <c r="U355" s="23">
        <f t="shared" si="50"/>
        <v>1595.6801896821066</v>
      </c>
      <c r="AA355" s="18">
        <f t="shared" si="51"/>
        <v>1</v>
      </c>
      <c r="AF355" s="23">
        <f t="shared" si="52"/>
        <v>48378.544645486851</v>
      </c>
      <c r="AL355" s="18">
        <f t="shared" si="53"/>
        <v>1</v>
      </c>
    </row>
    <row r="356" spans="9:38" x14ac:dyDescent="0.2">
      <c r="I356" s="4">
        <v>349</v>
      </c>
      <c r="K356" s="14">
        <v>5.905983382779799</v>
      </c>
      <c r="L356" s="10">
        <v>7320.4517016311202</v>
      </c>
      <c r="O356" s="14">
        <v>6.9061001944883955</v>
      </c>
      <c r="P356" s="10">
        <v>9304.0936356378479</v>
      </c>
      <c r="R356" s="19">
        <f t="shared" si="48"/>
        <v>1.0001168117085966</v>
      </c>
      <c r="S356" s="23">
        <f t="shared" si="49"/>
        <v>1983.6419340067278</v>
      </c>
      <c r="U356" s="23">
        <f t="shared" si="50"/>
        <v>1983.4102484667565</v>
      </c>
      <c r="AA356" s="18">
        <f t="shared" si="51"/>
        <v>1</v>
      </c>
      <c r="AF356" s="23">
        <f t="shared" si="52"/>
        <v>48022.198651423096</v>
      </c>
      <c r="AL356" s="18">
        <f t="shared" si="53"/>
        <v>1</v>
      </c>
    </row>
    <row r="357" spans="9:38" x14ac:dyDescent="0.2">
      <c r="I357" s="4">
        <v>350</v>
      </c>
      <c r="K357" s="14">
        <v>6.8442518878500831</v>
      </c>
      <c r="L357" s="10">
        <v>7408.7531768146655</v>
      </c>
      <c r="O357" s="14">
        <v>7.4705127020650011</v>
      </c>
      <c r="P357" s="10">
        <v>10608.36899791456</v>
      </c>
      <c r="R357" s="19">
        <f t="shared" si="48"/>
        <v>0.62626081421491797</v>
      </c>
      <c r="S357" s="23">
        <f t="shared" si="49"/>
        <v>3199.6158210998947</v>
      </c>
      <c r="U357" s="23">
        <f t="shared" si="50"/>
        <v>5109.0787551683889</v>
      </c>
      <c r="AA357" s="18">
        <f t="shared" si="51"/>
        <v>1</v>
      </c>
      <c r="AF357" s="23">
        <f t="shared" si="52"/>
        <v>28113.424889646005</v>
      </c>
      <c r="AL357" s="18">
        <f t="shared" si="53"/>
        <v>1</v>
      </c>
    </row>
    <row r="358" spans="9:38" x14ac:dyDescent="0.2">
      <c r="I358" s="4">
        <v>351</v>
      </c>
      <c r="K358" s="14">
        <v>6.301817519315688</v>
      </c>
      <c r="L358" s="10">
        <v>6182.7226583340243</v>
      </c>
      <c r="O358" s="14">
        <v>7.5057224972581267</v>
      </c>
      <c r="P358" s="10">
        <v>9713.9098733053761</v>
      </c>
      <c r="R358" s="19">
        <f t="shared" si="48"/>
        <v>1.2039049779424387</v>
      </c>
      <c r="S358" s="23">
        <f t="shared" si="49"/>
        <v>3531.1872149713518</v>
      </c>
      <c r="U358" s="23">
        <f t="shared" si="50"/>
        <v>2933.111233584571</v>
      </c>
      <c r="AA358" s="18">
        <f t="shared" si="51"/>
        <v>1</v>
      </c>
      <c r="AF358" s="23">
        <f t="shared" si="52"/>
        <v>56664.061682150583</v>
      </c>
      <c r="AL358" s="18">
        <f t="shared" si="53"/>
        <v>1</v>
      </c>
    </row>
    <row r="359" spans="9:38" x14ac:dyDescent="0.2">
      <c r="I359" s="4">
        <v>352</v>
      </c>
      <c r="K359" s="14">
        <v>6.4770771314081932</v>
      </c>
      <c r="L359" s="10">
        <v>6460.6983041764879</v>
      </c>
      <c r="O359" s="14">
        <v>7.1793686838139559</v>
      </c>
      <c r="P359" s="10">
        <v>9579.7164041558135</v>
      </c>
      <c r="R359" s="19">
        <f t="shared" si="48"/>
        <v>0.70229155240576269</v>
      </c>
      <c r="S359" s="23">
        <f t="shared" si="49"/>
        <v>3119.0180999793256</v>
      </c>
      <c r="U359" s="23">
        <f t="shared" si="50"/>
        <v>4441.201220910104</v>
      </c>
      <c r="AA359" s="18">
        <f t="shared" si="51"/>
        <v>1</v>
      </c>
      <c r="AF359" s="23">
        <f t="shared" si="52"/>
        <v>31995.559520308805</v>
      </c>
      <c r="AL359" s="18">
        <f t="shared" si="53"/>
        <v>1</v>
      </c>
    </row>
    <row r="360" spans="9:38" x14ac:dyDescent="0.2">
      <c r="I360" s="4">
        <v>353</v>
      </c>
      <c r="K360" s="14">
        <v>6.6028862714595844</v>
      </c>
      <c r="L360" s="10">
        <v>6395.4336146555752</v>
      </c>
      <c r="O360" s="14">
        <v>7.307508605750086</v>
      </c>
      <c r="P360" s="10">
        <v>10970.913659719134</v>
      </c>
      <c r="R360" s="19">
        <f t="shared" si="48"/>
        <v>0.70462233429050158</v>
      </c>
      <c r="S360" s="23">
        <f t="shared" si="49"/>
        <v>4575.4800450635585</v>
      </c>
      <c r="U360" s="23">
        <f t="shared" si="50"/>
        <v>6493.5211707001899</v>
      </c>
      <c r="AA360" s="18">
        <f t="shared" si="51"/>
        <v>1</v>
      </c>
      <c r="AF360" s="23">
        <f t="shared" si="52"/>
        <v>30655.636669461521</v>
      </c>
      <c r="AL360" s="18">
        <f t="shared" si="53"/>
        <v>1</v>
      </c>
    </row>
    <row r="361" spans="9:38" x14ac:dyDescent="0.2">
      <c r="I361" s="4">
        <v>354</v>
      </c>
      <c r="K361" s="14">
        <v>6.8596019570140516</v>
      </c>
      <c r="L361" s="10">
        <v>7552.01816488237</v>
      </c>
      <c r="O361" s="14">
        <v>7.6220823515770508</v>
      </c>
      <c r="P361" s="10">
        <v>10185.944693117062</v>
      </c>
      <c r="R361" s="19">
        <f t="shared" si="48"/>
        <v>0.76248039456299921</v>
      </c>
      <c r="S361" s="23">
        <f t="shared" si="49"/>
        <v>2633.9265282346923</v>
      </c>
      <c r="U361" s="23">
        <f t="shared" si="50"/>
        <v>3454.418693275748</v>
      </c>
      <c r="AA361" s="18">
        <f t="shared" si="51"/>
        <v>1</v>
      </c>
      <c r="AF361" s="23">
        <f t="shared" si="52"/>
        <v>35490.093199915267</v>
      </c>
      <c r="AL361" s="18">
        <f t="shared" si="53"/>
        <v>1</v>
      </c>
    </row>
    <row r="362" spans="9:38" x14ac:dyDescent="0.2">
      <c r="I362" s="4">
        <v>355</v>
      </c>
      <c r="K362" s="14">
        <v>6.9531269976540058</v>
      </c>
      <c r="L362" s="10">
        <v>7932.4307140017954</v>
      </c>
      <c r="O362" s="14">
        <v>7.1372391284678827</v>
      </c>
      <c r="P362" s="10">
        <v>9508.4827601030465</v>
      </c>
      <c r="R362" s="19">
        <f t="shared" si="48"/>
        <v>0.1841121308138769</v>
      </c>
      <c r="S362" s="23">
        <f t="shared" si="49"/>
        <v>1576.0520461012511</v>
      </c>
      <c r="U362" s="23">
        <f t="shared" si="50"/>
        <v>8560.2835572769382</v>
      </c>
      <c r="AA362" s="18">
        <f t="shared" si="51"/>
        <v>1</v>
      </c>
      <c r="AF362" s="23">
        <f t="shared" si="52"/>
        <v>7629.554494592594</v>
      </c>
      <c r="AL362" s="18">
        <f t="shared" si="53"/>
        <v>1</v>
      </c>
    </row>
    <row r="363" spans="9:38" x14ac:dyDescent="0.2">
      <c r="I363" s="4">
        <v>356</v>
      </c>
      <c r="K363" s="14">
        <v>6.1647104721059813</v>
      </c>
      <c r="L363" s="10">
        <v>9072.0627318368952</v>
      </c>
      <c r="O363" s="14">
        <v>7.2944537759900836</v>
      </c>
      <c r="P363" s="10">
        <v>9901.5551499145004</v>
      </c>
      <c r="R363" s="19">
        <f t="shared" si="48"/>
        <v>1.1297433038841023</v>
      </c>
      <c r="S363" s="23">
        <f t="shared" si="49"/>
        <v>829.49241807760518</v>
      </c>
      <c r="U363" s="23">
        <f t="shared" si="50"/>
        <v>734.23087813468544</v>
      </c>
      <c r="AA363" s="18">
        <f t="shared" si="51"/>
        <v>1</v>
      </c>
      <c r="AF363" s="23">
        <f t="shared" si="52"/>
        <v>55657.672776127503</v>
      </c>
      <c r="AL363" s="18">
        <f t="shared" si="53"/>
        <v>1</v>
      </c>
    </row>
    <row r="364" spans="9:38" x14ac:dyDescent="0.2">
      <c r="I364" s="4">
        <v>357</v>
      </c>
      <c r="K364" s="14">
        <v>6.6031125200322522</v>
      </c>
      <c r="L364" s="10">
        <v>6467.9952358598248</v>
      </c>
      <c r="O364" s="14">
        <v>7.3219125669682441</v>
      </c>
      <c r="P364" s="10">
        <v>9630.1703401791183</v>
      </c>
      <c r="R364" s="19">
        <f t="shared" si="48"/>
        <v>0.71880004693599187</v>
      </c>
      <c r="S364" s="23">
        <f t="shared" si="49"/>
        <v>3162.1751043192935</v>
      </c>
      <c r="U364" s="23">
        <f t="shared" si="50"/>
        <v>4399.2416497447457</v>
      </c>
      <c r="AA364" s="18">
        <f t="shared" si="51"/>
        <v>1</v>
      </c>
      <c r="AF364" s="23">
        <f t="shared" si="52"/>
        <v>32777.8272424803</v>
      </c>
      <c r="AL364" s="18">
        <f t="shared" si="53"/>
        <v>1</v>
      </c>
    </row>
    <row r="365" spans="9:38" x14ac:dyDescent="0.2">
      <c r="I365" s="4">
        <v>358</v>
      </c>
      <c r="K365" s="14">
        <v>6.1028401957078664</v>
      </c>
      <c r="L365" s="10">
        <v>7110.4128663904767</v>
      </c>
      <c r="O365" s="14">
        <v>7.45321622444418</v>
      </c>
      <c r="P365" s="10">
        <v>10096.705435814085</v>
      </c>
      <c r="R365" s="19">
        <f t="shared" si="48"/>
        <v>1.3503760287363136</v>
      </c>
      <c r="S365" s="23">
        <f t="shared" si="49"/>
        <v>2986.2925694236083</v>
      </c>
      <c r="U365" s="23">
        <f t="shared" si="50"/>
        <v>2211.4525923702827</v>
      </c>
      <c r="AA365" s="18">
        <f t="shared" si="51"/>
        <v>1</v>
      </c>
      <c r="AF365" s="23">
        <f t="shared" si="52"/>
        <v>64532.508867392062</v>
      </c>
      <c r="AL365" s="18">
        <f t="shared" si="53"/>
        <v>1</v>
      </c>
    </row>
    <row r="366" spans="9:38" x14ac:dyDescent="0.2">
      <c r="I366" s="4">
        <v>359</v>
      </c>
      <c r="K366" s="14">
        <v>6.9998452085428475</v>
      </c>
      <c r="L366" s="10">
        <v>6869.5944453332386</v>
      </c>
      <c r="O366" s="14">
        <v>6.8272336950243258</v>
      </c>
      <c r="P366" s="10">
        <v>9348.5471912440789</v>
      </c>
      <c r="R366" s="19">
        <f t="shared" si="48"/>
        <v>-0.17261151351852178</v>
      </c>
      <c r="S366" s="23">
        <f t="shared" si="49"/>
        <v>2478.9527459108403</v>
      </c>
      <c r="U366" s="23">
        <f t="shared" si="50"/>
        <v>-14361.456518048784</v>
      </c>
      <c r="AA366" s="18">
        <f t="shared" si="51"/>
        <v>0</v>
      </c>
      <c r="AF366" s="23">
        <f t="shared" si="52"/>
        <v>-11109.528421836931</v>
      </c>
      <c r="AL366" s="18">
        <f t="shared" si="53"/>
        <v>0</v>
      </c>
    </row>
    <row r="367" spans="9:38" x14ac:dyDescent="0.2">
      <c r="I367" s="4">
        <v>360</v>
      </c>
      <c r="K367" s="14">
        <v>5.9104411875210756</v>
      </c>
      <c r="L367" s="10">
        <v>7194.5587806217</v>
      </c>
      <c r="O367" s="14">
        <v>7.4786586409247642</v>
      </c>
      <c r="P367" s="10">
        <v>10870.146957977408</v>
      </c>
      <c r="R367" s="19">
        <f t="shared" si="48"/>
        <v>1.5682174534036886</v>
      </c>
      <c r="S367" s="23">
        <f t="shared" si="49"/>
        <v>3675.5881773557076</v>
      </c>
      <c r="U367" s="23">
        <f t="shared" si="50"/>
        <v>2343.8000701867859</v>
      </c>
      <c r="AA367" s="18">
        <f t="shared" si="51"/>
        <v>1</v>
      </c>
      <c r="AF367" s="23">
        <f t="shared" si="52"/>
        <v>74735.284492828723</v>
      </c>
      <c r="AL367" s="18">
        <f t="shared" si="53"/>
        <v>1</v>
      </c>
    </row>
    <row r="368" spans="9:38" x14ac:dyDescent="0.2">
      <c r="I368" s="4">
        <v>361</v>
      </c>
      <c r="K368" s="14">
        <v>6.3987446057447865</v>
      </c>
      <c r="L368" s="10">
        <v>7941.3950751483662</v>
      </c>
      <c r="O368" s="14">
        <v>7.2314594119924269</v>
      </c>
      <c r="P368" s="10">
        <v>9667.599438837673</v>
      </c>
      <c r="R368" s="19">
        <f t="shared" si="48"/>
        <v>0.83271480624764038</v>
      </c>
      <c r="S368" s="23">
        <f t="shared" si="49"/>
        <v>1726.2043636893068</v>
      </c>
      <c r="U368" s="23">
        <f t="shared" si="50"/>
        <v>2072.9838724351353</v>
      </c>
      <c r="AA368" s="18">
        <f t="shared" si="51"/>
        <v>1</v>
      </c>
      <c r="AF368" s="23">
        <f t="shared" si="52"/>
        <v>39909.535948692712</v>
      </c>
      <c r="AL368" s="18">
        <f t="shared" si="53"/>
        <v>1</v>
      </c>
    </row>
    <row r="369" spans="9:38" x14ac:dyDescent="0.2">
      <c r="I369" s="4">
        <v>362</v>
      </c>
      <c r="K369" s="14">
        <v>5.959836165477113</v>
      </c>
      <c r="L369" s="10">
        <v>7919.2358169520166</v>
      </c>
      <c r="O369" s="14">
        <v>6.9683044102269536</v>
      </c>
      <c r="P369" s="10">
        <v>9850.6842570450626</v>
      </c>
      <c r="R369" s="19">
        <f t="shared" si="48"/>
        <v>1.0084682447498405</v>
      </c>
      <c r="S369" s="23">
        <f t="shared" si="49"/>
        <v>1931.448440093046</v>
      </c>
      <c r="U369" s="23">
        <f t="shared" si="50"/>
        <v>1915.2298053491597</v>
      </c>
      <c r="AA369" s="18">
        <f t="shared" si="51"/>
        <v>1</v>
      </c>
      <c r="AF369" s="23">
        <f t="shared" si="52"/>
        <v>48491.963797398981</v>
      </c>
      <c r="AL369" s="18">
        <f t="shared" si="53"/>
        <v>1</v>
      </c>
    </row>
    <row r="370" spans="9:38" x14ac:dyDescent="0.2">
      <c r="I370" s="4">
        <v>363</v>
      </c>
      <c r="K370" s="14">
        <v>6.5951076093787302</v>
      </c>
      <c r="L370" s="10">
        <v>7640.9423980564143</v>
      </c>
      <c r="O370" s="14">
        <v>7.2496202459430252</v>
      </c>
      <c r="P370" s="10">
        <v>9962.6297537933133</v>
      </c>
      <c r="R370" s="19">
        <f t="shared" si="48"/>
        <v>0.65451263656429504</v>
      </c>
      <c r="S370" s="23">
        <f t="shared" si="49"/>
        <v>2321.687355736899</v>
      </c>
      <c r="U370" s="23">
        <f t="shared" si="50"/>
        <v>3547.2002006317744</v>
      </c>
      <c r="AA370" s="18">
        <f t="shared" si="51"/>
        <v>1</v>
      </c>
      <c r="AF370" s="23">
        <f t="shared" si="52"/>
        <v>30403.944472477851</v>
      </c>
      <c r="AL370" s="18">
        <f t="shared" si="53"/>
        <v>1</v>
      </c>
    </row>
    <row r="371" spans="9:38" x14ac:dyDescent="0.2">
      <c r="I371" s="4">
        <v>364</v>
      </c>
      <c r="K371" s="14">
        <v>6.7718202393209932</v>
      </c>
      <c r="L371" s="10">
        <v>7515.8621493245755</v>
      </c>
      <c r="O371" s="14">
        <v>6.9016412938217115</v>
      </c>
      <c r="P371" s="10">
        <v>9516.9223739375811</v>
      </c>
      <c r="R371" s="19">
        <f t="shared" si="48"/>
        <v>0.12982105450071835</v>
      </c>
      <c r="S371" s="23">
        <f t="shared" si="49"/>
        <v>2001.0602246130056</v>
      </c>
      <c r="U371" s="23">
        <f t="shared" si="50"/>
        <v>15413.988372756077</v>
      </c>
      <c r="AA371" s="18">
        <f t="shared" si="51"/>
        <v>1</v>
      </c>
      <c r="AF371" s="23">
        <f t="shared" si="52"/>
        <v>4489.9925004229117</v>
      </c>
      <c r="AL371" s="18">
        <f t="shared" si="53"/>
        <v>1</v>
      </c>
    </row>
    <row r="372" spans="9:38" x14ac:dyDescent="0.2">
      <c r="I372" s="4">
        <v>365</v>
      </c>
      <c r="K372" s="14">
        <v>6.3281547153421878</v>
      </c>
      <c r="L372" s="10">
        <v>8428.5306363933778</v>
      </c>
      <c r="O372" s="14">
        <v>7.4405826306703702</v>
      </c>
      <c r="P372" s="10">
        <v>10357.940633971139</v>
      </c>
      <c r="R372" s="19">
        <f t="shared" si="48"/>
        <v>1.1124279153281824</v>
      </c>
      <c r="S372" s="23">
        <f t="shared" si="49"/>
        <v>1929.4099975777608</v>
      </c>
      <c r="U372" s="23">
        <f t="shared" si="50"/>
        <v>1734.4135031064523</v>
      </c>
      <c r="AA372" s="18">
        <f t="shared" si="51"/>
        <v>1</v>
      </c>
      <c r="AF372" s="23">
        <f t="shared" si="52"/>
        <v>53691.985768831364</v>
      </c>
      <c r="AL372" s="18">
        <f t="shared" si="53"/>
        <v>1</v>
      </c>
    </row>
    <row r="373" spans="9:38" x14ac:dyDescent="0.2">
      <c r="I373" s="4">
        <v>366</v>
      </c>
      <c r="K373" s="14">
        <v>6.5855900590688528</v>
      </c>
      <c r="L373" s="10">
        <v>5427.9105424921318</v>
      </c>
      <c r="O373" s="14">
        <v>6.906272254569358</v>
      </c>
      <c r="P373" s="10">
        <v>9619.9534151536955</v>
      </c>
      <c r="R373" s="19">
        <f t="shared" si="48"/>
        <v>0.32068219550050525</v>
      </c>
      <c r="S373" s="23">
        <f t="shared" si="49"/>
        <v>4192.0428726615637</v>
      </c>
      <c r="U373" s="23">
        <f t="shared" si="50"/>
        <v>13072.265724384311</v>
      </c>
      <c r="AA373" s="18">
        <f t="shared" si="51"/>
        <v>1</v>
      </c>
      <c r="AF373" s="23">
        <f t="shared" si="52"/>
        <v>11842.066902363698</v>
      </c>
      <c r="AL373" s="18">
        <f t="shared" si="53"/>
        <v>1</v>
      </c>
    </row>
    <row r="374" spans="9:38" x14ac:dyDescent="0.2">
      <c r="I374" s="4">
        <v>367</v>
      </c>
      <c r="K374" s="14">
        <v>6.8767451209436015</v>
      </c>
      <c r="L374" s="10">
        <v>6575.010039798759</v>
      </c>
      <c r="O374" s="14">
        <v>7.1918273426167154</v>
      </c>
      <c r="P374" s="10">
        <v>9505.6784244321479</v>
      </c>
      <c r="R374" s="19">
        <f t="shared" si="48"/>
        <v>0.31508222167311395</v>
      </c>
      <c r="S374" s="23">
        <f t="shared" si="49"/>
        <v>2930.668384633389</v>
      </c>
      <c r="U374" s="23">
        <f t="shared" si="50"/>
        <v>9301.2813260973144</v>
      </c>
      <c r="AA374" s="18">
        <f t="shared" si="51"/>
        <v>1</v>
      </c>
      <c r="AF374" s="23">
        <f t="shared" si="52"/>
        <v>12823.442699022309</v>
      </c>
      <c r="AL374" s="18">
        <f t="shared" si="53"/>
        <v>1</v>
      </c>
    </row>
    <row r="375" spans="9:38" x14ac:dyDescent="0.2">
      <c r="I375" s="4">
        <v>368</v>
      </c>
      <c r="K375" s="14">
        <v>6.5704246217561497</v>
      </c>
      <c r="L375" s="10">
        <v>7713.8959173048843</v>
      </c>
      <c r="O375" s="14">
        <v>7.43688396138056</v>
      </c>
      <c r="P375" s="10">
        <v>9877.9748020326897</v>
      </c>
      <c r="R375" s="19">
        <f t="shared" si="48"/>
        <v>0.86645933962441024</v>
      </c>
      <c r="S375" s="23">
        <f t="shared" si="49"/>
        <v>2164.0788847278054</v>
      </c>
      <c r="U375" s="23">
        <f t="shared" si="50"/>
        <v>2497.6115851736131</v>
      </c>
      <c r="AA375" s="18">
        <f t="shared" si="51"/>
        <v>1</v>
      </c>
      <c r="AF375" s="23">
        <f t="shared" si="52"/>
        <v>41158.888096492708</v>
      </c>
      <c r="AL375" s="18">
        <f t="shared" si="53"/>
        <v>1</v>
      </c>
    </row>
    <row r="376" spans="9:38" x14ac:dyDescent="0.2">
      <c r="I376" s="4">
        <v>369</v>
      </c>
      <c r="K376" s="14">
        <v>6.622518454772103</v>
      </c>
      <c r="L376" s="10">
        <v>7823.9650949869711</v>
      </c>
      <c r="O376" s="14">
        <v>6.8390902970095464</v>
      </c>
      <c r="P376" s="10">
        <v>10139.679820218113</v>
      </c>
      <c r="R376" s="19">
        <f t="shared" si="48"/>
        <v>0.21657184223744341</v>
      </c>
      <c r="S376" s="23">
        <f t="shared" si="49"/>
        <v>2315.7147252311415</v>
      </c>
      <c r="U376" s="23">
        <f t="shared" si="50"/>
        <v>10692.593743060354</v>
      </c>
      <c r="AA376" s="18">
        <f t="shared" si="51"/>
        <v>1</v>
      </c>
      <c r="AF376" s="23">
        <f t="shared" si="52"/>
        <v>8512.8773866410302</v>
      </c>
      <c r="AL376" s="18">
        <f t="shared" si="53"/>
        <v>1</v>
      </c>
    </row>
    <row r="377" spans="9:38" x14ac:dyDescent="0.2">
      <c r="I377" s="4">
        <v>370</v>
      </c>
      <c r="K377" s="14">
        <v>6.7339065062107784</v>
      </c>
      <c r="L377" s="10">
        <v>6475.0253595190134</v>
      </c>
      <c r="O377" s="14">
        <v>7.4970928629547995</v>
      </c>
      <c r="P377" s="10">
        <v>9903.4277535997517</v>
      </c>
      <c r="R377" s="19">
        <f t="shared" si="48"/>
        <v>0.76318635674402113</v>
      </c>
      <c r="S377" s="23">
        <f t="shared" si="49"/>
        <v>3428.4023940807383</v>
      </c>
      <c r="U377" s="23">
        <f t="shared" si="50"/>
        <v>4492.2218063584332</v>
      </c>
      <c r="AA377" s="18">
        <f t="shared" si="51"/>
        <v>1</v>
      </c>
      <c r="AF377" s="23">
        <f t="shared" si="52"/>
        <v>34730.915443120321</v>
      </c>
      <c r="AL377" s="18">
        <f t="shared" si="53"/>
        <v>1</v>
      </c>
    </row>
    <row r="378" spans="9:38" x14ac:dyDescent="0.2">
      <c r="I378" s="4">
        <v>371</v>
      </c>
      <c r="K378" s="14">
        <v>6.6102381525264846</v>
      </c>
      <c r="L378" s="10">
        <v>5990.4361673434314</v>
      </c>
      <c r="O378" s="14">
        <v>6.9099471287671168</v>
      </c>
      <c r="P378" s="10">
        <v>9677.8676355431708</v>
      </c>
      <c r="R378" s="19">
        <f t="shared" si="48"/>
        <v>0.2997089762406322</v>
      </c>
      <c r="S378" s="23">
        <f t="shared" si="49"/>
        <v>3687.4314681997394</v>
      </c>
      <c r="U378" s="23">
        <f t="shared" si="50"/>
        <v>12303.3734740035</v>
      </c>
      <c r="AA378" s="18">
        <f t="shared" si="51"/>
        <v>1</v>
      </c>
      <c r="AF378" s="23">
        <f t="shared" si="52"/>
        <v>11298.017343831871</v>
      </c>
      <c r="AL378" s="18">
        <f t="shared" si="53"/>
        <v>1</v>
      </c>
    </row>
    <row r="379" spans="9:38" x14ac:dyDescent="0.2">
      <c r="I379" s="4">
        <v>372</v>
      </c>
      <c r="K379" s="14">
        <v>6.4194183729447207</v>
      </c>
      <c r="L379" s="10">
        <v>8980.9828839922575</v>
      </c>
      <c r="O379" s="14">
        <v>6.7767371855449161</v>
      </c>
      <c r="P379" s="10">
        <v>9625.7506790577754</v>
      </c>
      <c r="R379" s="19">
        <f t="shared" si="48"/>
        <v>0.35731881260019538</v>
      </c>
      <c r="S379" s="23">
        <f t="shared" si="49"/>
        <v>644.76779506551793</v>
      </c>
      <c r="U379" s="23">
        <f t="shared" si="50"/>
        <v>1804.4608129461958</v>
      </c>
      <c r="AA379" s="18">
        <f t="shared" si="51"/>
        <v>1</v>
      </c>
      <c r="AF379" s="23">
        <f t="shared" si="52"/>
        <v>17221.172834944249</v>
      </c>
      <c r="AL379" s="18">
        <f t="shared" si="53"/>
        <v>1</v>
      </c>
    </row>
    <row r="380" spans="9:38" x14ac:dyDescent="0.2">
      <c r="I380" s="4">
        <v>373</v>
      </c>
      <c r="K380" s="14">
        <v>6.556326481994355</v>
      </c>
      <c r="L380" s="10">
        <v>7422.8584941517984</v>
      </c>
      <c r="O380" s="14">
        <v>7.0328667438001711</v>
      </c>
      <c r="P380" s="10">
        <v>10011.659818517088</v>
      </c>
      <c r="R380" s="19">
        <f t="shared" si="48"/>
        <v>0.4765402618058161</v>
      </c>
      <c r="S380" s="23">
        <f t="shared" si="49"/>
        <v>2588.8013243652895</v>
      </c>
      <c r="U380" s="23">
        <f t="shared" si="50"/>
        <v>5432.4923450438528</v>
      </c>
      <c r="AA380" s="18">
        <f t="shared" si="51"/>
        <v>1</v>
      </c>
      <c r="AF380" s="23">
        <f t="shared" si="52"/>
        <v>21238.211765925516</v>
      </c>
      <c r="AL380" s="18">
        <f t="shared" si="53"/>
        <v>1</v>
      </c>
    </row>
    <row r="381" spans="9:38" x14ac:dyDescent="0.2">
      <c r="I381" s="4">
        <v>374</v>
      </c>
      <c r="K381" s="14">
        <v>6.4503251354034941</v>
      </c>
      <c r="L381" s="10">
        <v>7444.7658170815694</v>
      </c>
      <c r="O381" s="14">
        <v>6.6326384006534775</v>
      </c>
      <c r="P381" s="10">
        <v>9031.2968944661407</v>
      </c>
      <c r="R381" s="19">
        <f t="shared" si="48"/>
        <v>0.18231326524998348</v>
      </c>
      <c r="S381" s="23">
        <f t="shared" si="49"/>
        <v>1586.5310773845713</v>
      </c>
      <c r="U381" s="23">
        <f t="shared" si="50"/>
        <v>8702.2251244809795</v>
      </c>
      <c r="AA381" s="18">
        <f t="shared" si="51"/>
        <v>1</v>
      </c>
      <c r="AF381" s="23">
        <f t="shared" si="52"/>
        <v>7529.1321851146031</v>
      </c>
      <c r="AL381" s="18">
        <f t="shared" si="53"/>
        <v>1</v>
      </c>
    </row>
    <row r="382" spans="9:38" x14ac:dyDescent="0.2">
      <c r="I382" s="4">
        <v>375</v>
      </c>
      <c r="K382" s="14">
        <v>5.8511920976440823</v>
      </c>
      <c r="L382" s="10">
        <v>5626.4447898651697</v>
      </c>
      <c r="O382" s="14">
        <v>6.5960501858905767</v>
      </c>
      <c r="P382" s="10">
        <v>8896.6209110343807</v>
      </c>
      <c r="R382" s="19">
        <f t="shared" si="48"/>
        <v>0.74485808824649435</v>
      </c>
      <c r="S382" s="23">
        <f t="shared" si="49"/>
        <v>3270.176121169211</v>
      </c>
      <c r="U382" s="23">
        <f t="shared" si="50"/>
        <v>4390.3344446023093</v>
      </c>
      <c r="AA382" s="18">
        <f t="shared" si="51"/>
        <v>1</v>
      </c>
      <c r="AF382" s="23">
        <f t="shared" si="52"/>
        <v>33972.728291155501</v>
      </c>
      <c r="AL382" s="18">
        <f t="shared" si="53"/>
        <v>1</v>
      </c>
    </row>
    <row r="383" spans="9:38" x14ac:dyDescent="0.2">
      <c r="I383" s="4">
        <v>376</v>
      </c>
      <c r="K383" s="14">
        <v>7.317185561506518</v>
      </c>
      <c r="L383" s="10">
        <v>7390.5217424790499</v>
      </c>
      <c r="O383" s="14">
        <v>7.0305567855896207</v>
      </c>
      <c r="P383" s="10">
        <v>9760.4227755524807</v>
      </c>
      <c r="R383" s="19">
        <f t="shared" si="48"/>
        <v>-0.28662877591689728</v>
      </c>
      <c r="S383" s="23">
        <f t="shared" si="49"/>
        <v>2369.9010330734309</v>
      </c>
      <c r="U383" s="23">
        <f t="shared" si="50"/>
        <v>-8268.1894917645677</v>
      </c>
      <c r="AA383" s="18">
        <f t="shared" si="51"/>
        <v>0</v>
      </c>
      <c r="AF383" s="23">
        <f t="shared" si="52"/>
        <v>-16701.339828918295</v>
      </c>
      <c r="AL383" s="18">
        <f t="shared" si="53"/>
        <v>0</v>
      </c>
    </row>
    <row r="384" spans="9:38" x14ac:dyDescent="0.2">
      <c r="I384" s="4">
        <v>377</v>
      </c>
      <c r="K384" s="14">
        <v>6.5391721383278432</v>
      </c>
      <c r="L384" s="10">
        <v>6942.445373246318</v>
      </c>
      <c r="O384" s="14">
        <v>7.5413906061290472</v>
      </c>
      <c r="P384" s="10">
        <v>10634.616349075586</v>
      </c>
      <c r="R384" s="19">
        <f t="shared" si="48"/>
        <v>1.002218467801204</v>
      </c>
      <c r="S384" s="23">
        <f t="shared" si="49"/>
        <v>3692.1709758292682</v>
      </c>
      <c r="U384" s="23">
        <f t="shared" si="50"/>
        <v>3683.9981445658532</v>
      </c>
      <c r="AA384" s="18">
        <f t="shared" si="51"/>
        <v>1</v>
      </c>
      <c r="AF384" s="23">
        <f t="shared" si="52"/>
        <v>46418.752414230934</v>
      </c>
      <c r="AL384" s="18">
        <f t="shared" si="53"/>
        <v>1</v>
      </c>
    </row>
    <row r="385" spans="9:38" x14ac:dyDescent="0.2">
      <c r="I385" s="4">
        <v>378</v>
      </c>
      <c r="K385" s="14">
        <v>6.2797391530410289</v>
      </c>
      <c r="L385" s="10">
        <v>7106.0717753179488</v>
      </c>
      <c r="O385" s="14">
        <v>7.11633275836616</v>
      </c>
      <c r="P385" s="10">
        <v>9796.1442113540907</v>
      </c>
      <c r="R385" s="19">
        <f t="shared" si="48"/>
        <v>0.83659360532513105</v>
      </c>
      <c r="S385" s="23">
        <f t="shared" si="49"/>
        <v>2690.0724360361419</v>
      </c>
      <c r="U385" s="23">
        <f t="shared" si="50"/>
        <v>3215.5068110886177</v>
      </c>
      <c r="AA385" s="18">
        <f t="shared" si="51"/>
        <v>1</v>
      </c>
      <c r="AF385" s="23">
        <f t="shared" si="52"/>
        <v>39139.607830220411</v>
      </c>
      <c r="AL385" s="18">
        <f t="shared" si="53"/>
        <v>1</v>
      </c>
    </row>
    <row r="386" spans="9:38" x14ac:dyDescent="0.2">
      <c r="I386" s="4">
        <v>379</v>
      </c>
      <c r="K386" s="14">
        <v>6.3502850816174226</v>
      </c>
      <c r="L386" s="10">
        <v>6970.9568007155331</v>
      </c>
      <c r="O386" s="14">
        <v>7.2447109623860637</v>
      </c>
      <c r="P386" s="10">
        <v>9530.821370953483</v>
      </c>
      <c r="R386" s="19">
        <f t="shared" si="48"/>
        <v>0.89442588076864116</v>
      </c>
      <c r="S386" s="23">
        <f t="shared" si="49"/>
        <v>2559.8645702379499</v>
      </c>
      <c r="U386" s="23">
        <f t="shared" si="50"/>
        <v>2862.019788647086</v>
      </c>
      <c r="AA386" s="18">
        <f t="shared" si="51"/>
        <v>1</v>
      </c>
      <c r="AF386" s="23">
        <f t="shared" si="52"/>
        <v>42161.42946819411</v>
      </c>
      <c r="AL386" s="18">
        <f t="shared" si="53"/>
        <v>1</v>
      </c>
    </row>
    <row r="387" spans="9:38" x14ac:dyDescent="0.2">
      <c r="I387" s="4">
        <v>380</v>
      </c>
      <c r="K387" s="14">
        <v>6.0604529638880749</v>
      </c>
      <c r="L387" s="10">
        <v>6253.4572290570595</v>
      </c>
      <c r="O387" s="14">
        <v>7.0158522923821547</v>
      </c>
      <c r="P387" s="10">
        <v>9996.01963370468</v>
      </c>
      <c r="R387" s="19">
        <f t="shared" si="48"/>
        <v>0.95539932849407982</v>
      </c>
      <c r="S387" s="23">
        <f t="shared" si="49"/>
        <v>3742.5624046476205</v>
      </c>
      <c r="U387" s="23">
        <f t="shared" si="50"/>
        <v>3917.275523467998</v>
      </c>
      <c r="AA387" s="18">
        <f t="shared" si="51"/>
        <v>1</v>
      </c>
      <c r="AF387" s="23">
        <f t="shared" si="52"/>
        <v>44027.404020056369</v>
      </c>
      <c r="AL387" s="18">
        <f t="shared" si="53"/>
        <v>1</v>
      </c>
    </row>
    <row r="388" spans="9:38" x14ac:dyDescent="0.2">
      <c r="I388" s="4">
        <v>381</v>
      </c>
      <c r="K388" s="14">
        <v>6.3723210788089526</v>
      </c>
      <c r="L388" s="10">
        <v>5426.7372458531572</v>
      </c>
      <c r="O388" s="14">
        <v>7.8840212267920355</v>
      </c>
      <c r="P388" s="10">
        <v>9772.7152602497863</v>
      </c>
      <c r="R388" s="19">
        <f t="shared" si="48"/>
        <v>1.5117001479830829</v>
      </c>
      <c r="S388" s="23">
        <f t="shared" si="49"/>
        <v>4345.9780143966291</v>
      </c>
      <c r="U388" s="23">
        <f t="shared" si="50"/>
        <v>2874.8942177422236</v>
      </c>
      <c r="AA388" s="18">
        <f t="shared" si="51"/>
        <v>1</v>
      </c>
      <c r="AF388" s="23">
        <f t="shared" si="52"/>
        <v>71239.029384757509</v>
      </c>
      <c r="AL388" s="18">
        <f t="shared" si="53"/>
        <v>1</v>
      </c>
    </row>
    <row r="389" spans="9:38" x14ac:dyDescent="0.2">
      <c r="I389" s="4">
        <v>382</v>
      </c>
      <c r="K389" s="14">
        <v>6.3424499820179108</v>
      </c>
      <c r="L389" s="10">
        <v>8700.2095693895117</v>
      </c>
      <c r="O389" s="14">
        <v>6.5589963908265521</v>
      </c>
      <c r="P389" s="10">
        <v>9572.9575260874008</v>
      </c>
      <c r="R389" s="19">
        <f t="shared" si="48"/>
        <v>0.21654640880864129</v>
      </c>
      <c r="S389" s="23">
        <f t="shared" si="49"/>
        <v>872.74795669788909</v>
      </c>
      <c r="U389" s="23">
        <f t="shared" si="50"/>
        <v>4030.3044575960757</v>
      </c>
      <c r="AA389" s="18">
        <f t="shared" si="51"/>
        <v>1</v>
      </c>
      <c r="AF389" s="23">
        <f t="shared" si="52"/>
        <v>9954.572483734175</v>
      </c>
      <c r="AL389" s="18">
        <f t="shared" si="53"/>
        <v>1</v>
      </c>
    </row>
    <row r="390" spans="9:38" x14ac:dyDescent="0.2">
      <c r="I390" s="4">
        <v>383</v>
      </c>
      <c r="K390" s="14">
        <v>6.5269649722412826</v>
      </c>
      <c r="L390" s="10">
        <v>9223.1831289819693</v>
      </c>
      <c r="O390" s="14">
        <v>6.9884755319482972</v>
      </c>
      <c r="P390" s="10">
        <v>9970.0148076783535</v>
      </c>
      <c r="R390" s="19">
        <f t="shared" si="48"/>
        <v>0.4615105597070146</v>
      </c>
      <c r="S390" s="23">
        <f t="shared" si="49"/>
        <v>746.83167869638419</v>
      </c>
      <c r="U390" s="23">
        <f t="shared" si="50"/>
        <v>1618.2331324563904</v>
      </c>
      <c r="AA390" s="18">
        <f t="shared" si="51"/>
        <v>1</v>
      </c>
      <c r="AF390" s="23">
        <f t="shared" si="52"/>
        <v>22328.696306654347</v>
      </c>
      <c r="AL390" s="18">
        <f t="shared" si="53"/>
        <v>1</v>
      </c>
    </row>
    <row r="391" spans="9:38" x14ac:dyDescent="0.2">
      <c r="I391" s="4">
        <v>384</v>
      </c>
      <c r="K391" s="14">
        <v>6.4341531563761158</v>
      </c>
      <c r="L391" s="10">
        <v>6813.1763048604653</v>
      </c>
      <c r="O391" s="14">
        <v>7.2295308571025876</v>
      </c>
      <c r="P391" s="10">
        <v>9198.4690578585378</v>
      </c>
      <c r="R391" s="19">
        <f t="shared" si="48"/>
        <v>0.79537770072647174</v>
      </c>
      <c r="S391" s="23">
        <f t="shared" si="49"/>
        <v>2385.2927529980725</v>
      </c>
      <c r="U391" s="23">
        <f t="shared" si="50"/>
        <v>2998.9434589622324</v>
      </c>
      <c r="AA391" s="18">
        <f t="shared" si="51"/>
        <v>1</v>
      </c>
      <c r="AF391" s="23">
        <f t="shared" si="52"/>
        <v>37383.59228332551</v>
      </c>
      <c r="AL391" s="18">
        <f t="shared" si="53"/>
        <v>1</v>
      </c>
    </row>
    <row r="392" spans="9:38" x14ac:dyDescent="0.2">
      <c r="I392" s="4">
        <v>385</v>
      </c>
      <c r="K392" s="14">
        <v>6.3652413177818383</v>
      </c>
      <c r="L392" s="10">
        <v>7785.3766578801815</v>
      </c>
      <c r="O392" s="14">
        <v>7.2433569636273241</v>
      </c>
      <c r="P392" s="10">
        <v>9802.836867170161</v>
      </c>
      <c r="R392" s="19">
        <f t="shared" ref="R392:R455" si="54">O392-K392</f>
        <v>0.87811564584548574</v>
      </c>
      <c r="S392" s="23">
        <f t="shared" ref="S392:S455" si="55">P392-L392</f>
        <v>2017.4602092899795</v>
      </c>
      <c r="U392" s="23">
        <f t="shared" ref="U392:U455" si="56">S392/R392</f>
        <v>2297.4880573360997</v>
      </c>
      <c r="AA392" s="18">
        <f t="shared" ref="AA392:AA455" si="57">IF(R392&lt;0,IF(U392&lt;Rc_,0,1),IF(U392&lt;Rc_,1,0))</f>
        <v>1</v>
      </c>
      <c r="AF392" s="23">
        <f t="shared" ref="AF392:AF455" si="58">R392*Rc_-S392</f>
        <v>41888.322082984305</v>
      </c>
      <c r="AL392" s="18">
        <f t="shared" ref="AL392:AL455" si="59">IF(AF392&gt;0,1,0)</f>
        <v>1</v>
      </c>
    </row>
    <row r="393" spans="9:38" x14ac:dyDescent="0.2">
      <c r="I393" s="4">
        <v>386</v>
      </c>
      <c r="K393" s="14">
        <v>6.4108313503592784</v>
      </c>
      <c r="L393" s="10">
        <v>5385.1891950382969</v>
      </c>
      <c r="O393" s="14">
        <v>7.5250373156948847</v>
      </c>
      <c r="P393" s="10">
        <v>10645.583240005966</v>
      </c>
      <c r="R393" s="19">
        <f t="shared" si="54"/>
        <v>1.1142059653356062</v>
      </c>
      <c r="S393" s="23">
        <f t="shared" si="55"/>
        <v>5260.3940449676693</v>
      </c>
      <c r="U393" s="23">
        <f t="shared" si="56"/>
        <v>4721.2043451797563</v>
      </c>
      <c r="AA393" s="18">
        <f t="shared" si="57"/>
        <v>1</v>
      </c>
      <c r="AF393" s="23">
        <f t="shared" si="58"/>
        <v>50449.904221812641</v>
      </c>
      <c r="AL393" s="18">
        <f t="shared" si="59"/>
        <v>1</v>
      </c>
    </row>
    <row r="394" spans="9:38" x14ac:dyDescent="0.2">
      <c r="I394" s="4">
        <v>387</v>
      </c>
      <c r="K394" s="14">
        <v>5.9867245634412454</v>
      </c>
      <c r="L394" s="10">
        <v>9309.2089374225852</v>
      </c>
      <c r="O394" s="14">
        <v>6.640016710046015</v>
      </c>
      <c r="P394" s="10">
        <v>9096.3816991473996</v>
      </c>
      <c r="R394" s="19">
        <f t="shared" si="54"/>
        <v>0.65329214660476964</v>
      </c>
      <c r="S394" s="23">
        <f t="shared" si="55"/>
        <v>-212.82723827518566</v>
      </c>
      <c r="U394" s="23">
        <f t="shared" si="56"/>
        <v>-325.77651420007413</v>
      </c>
      <c r="AA394" s="18">
        <f t="shared" si="57"/>
        <v>1</v>
      </c>
      <c r="AF394" s="23">
        <f t="shared" si="58"/>
        <v>32877.434568513665</v>
      </c>
      <c r="AL394" s="18">
        <f t="shared" si="59"/>
        <v>1</v>
      </c>
    </row>
    <row r="395" spans="9:38" x14ac:dyDescent="0.2">
      <c r="I395" s="4">
        <v>388</v>
      </c>
      <c r="K395" s="14">
        <v>6.1436404055066145</v>
      </c>
      <c r="L395" s="10">
        <v>7329.8464253119491</v>
      </c>
      <c r="O395" s="14">
        <v>7.6021625092878296</v>
      </c>
      <c r="P395" s="10">
        <v>10071.094294973602</v>
      </c>
      <c r="R395" s="19">
        <f t="shared" si="54"/>
        <v>1.4585221037812151</v>
      </c>
      <c r="S395" s="23">
        <f t="shared" si="55"/>
        <v>2741.2478696616527</v>
      </c>
      <c r="U395" s="23">
        <f t="shared" si="56"/>
        <v>1879.4695415002448</v>
      </c>
      <c r="AA395" s="18">
        <f t="shared" si="57"/>
        <v>1</v>
      </c>
      <c r="AF395" s="23">
        <f t="shared" si="58"/>
        <v>70184.857319399103</v>
      </c>
      <c r="AL395" s="18">
        <f t="shared" si="59"/>
        <v>1</v>
      </c>
    </row>
    <row r="396" spans="9:38" x14ac:dyDescent="0.2">
      <c r="I396" s="4">
        <v>389</v>
      </c>
      <c r="K396" s="14">
        <v>6.7499025889040274</v>
      </c>
      <c r="L396" s="10">
        <v>6518.4279813590847</v>
      </c>
      <c r="O396" s="14">
        <v>7.2418568993357555</v>
      </c>
      <c r="P396" s="10">
        <v>9517.1773476827912</v>
      </c>
      <c r="R396" s="19">
        <f t="shared" si="54"/>
        <v>0.4919543104317281</v>
      </c>
      <c r="S396" s="23">
        <f t="shared" si="55"/>
        <v>2998.7493663237065</v>
      </c>
      <c r="U396" s="23">
        <f t="shared" si="56"/>
        <v>6095.5851036086478</v>
      </c>
      <c r="AA396" s="18">
        <f t="shared" si="57"/>
        <v>1</v>
      </c>
      <c r="AF396" s="23">
        <f t="shared" si="58"/>
        <v>21598.966155262697</v>
      </c>
      <c r="AL396" s="18">
        <f t="shared" si="59"/>
        <v>1</v>
      </c>
    </row>
    <row r="397" spans="9:38" x14ac:dyDescent="0.2">
      <c r="I397" s="4">
        <v>390</v>
      </c>
      <c r="K397" s="14">
        <v>6.2974559726300479</v>
      </c>
      <c r="L397" s="10">
        <v>8489.70502249528</v>
      </c>
      <c r="O397" s="14">
        <v>7.4902914389844844</v>
      </c>
      <c r="P397" s="10">
        <v>10418.961147128188</v>
      </c>
      <c r="R397" s="19">
        <f t="shared" si="54"/>
        <v>1.1928354663544365</v>
      </c>
      <c r="S397" s="23">
        <f t="shared" si="55"/>
        <v>1929.2561246329078</v>
      </c>
      <c r="U397" s="23">
        <f t="shared" si="56"/>
        <v>1617.3698544771914</v>
      </c>
      <c r="AA397" s="18">
        <f t="shared" si="57"/>
        <v>1</v>
      </c>
      <c r="AF397" s="23">
        <f t="shared" si="58"/>
        <v>57712.517193088919</v>
      </c>
      <c r="AL397" s="18">
        <f t="shared" si="59"/>
        <v>1</v>
      </c>
    </row>
    <row r="398" spans="9:38" x14ac:dyDescent="0.2">
      <c r="I398" s="4">
        <v>391</v>
      </c>
      <c r="K398" s="14">
        <v>6.6856423896523367</v>
      </c>
      <c r="L398" s="10">
        <v>7705.300789769024</v>
      </c>
      <c r="O398" s="14">
        <v>7.9146198657035178</v>
      </c>
      <c r="P398" s="10">
        <v>10609.471603729346</v>
      </c>
      <c r="R398" s="19">
        <f t="shared" si="54"/>
        <v>1.2289774760511811</v>
      </c>
      <c r="S398" s="23">
        <f t="shared" si="55"/>
        <v>2904.1708139603215</v>
      </c>
      <c r="U398" s="23">
        <f t="shared" si="56"/>
        <v>2363.0789583643896</v>
      </c>
      <c r="AA398" s="18">
        <f t="shared" si="57"/>
        <v>1</v>
      </c>
      <c r="AF398" s="23">
        <f t="shared" si="58"/>
        <v>58544.702988598736</v>
      </c>
      <c r="AL398" s="18">
        <f t="shared" si="59"/>
        <v>1</v>
      </c>
    </row>
    <row r="399" spans="9:38" x14ac:dyDescent="0.2">
      <c r="I399" s="4">
        <v>392</v>
      </c>
      <c r="K399" s="14">
        <v>6.4223638473546112</v>
      </c>
      <c r="L399" s="10">
        <v>7157.8134411717065</v>
      </c>
      <c r="O399" s="14">
        <v>6.415022230848197</v>
      </c>
      <c r="P399" s="10">
        <v>9033.2881177666877</v>
      </c>
      <c r="R399" s="19">
        <f t="shared" si="54"/>
        <v>-7.3416165064141836E-3</v>
      </c>
      <c r="S399" s="23">
        <f t="shared" si="55"/>
        <v>1875.4746765949812</v>
      </c>
      <c r="U399" s="23">
        <f t="shared" si="56"/>
        <v>-255458.00096701138</v>
      </c>
      <c r="AA399" s="18">
        <f t="shared" si="57"/>
        <v>0</v>
      </c>
      <c r="AF399" s="23">
        <f t="shared" si="58"/>
        <v>-2242.5555019156905</v>
      </c>
      <c r="AL399" s="18">
        <f t="shared" si="59"/>
        <v>0</v>
      </c>
    </row>
    <row r="400" spans="9:38" x14ac:dyDescent="0.2">
      <c r="I400" s="4">
        <v>393</v>
      </c>
      <c r="K400" s="14">
        <v>6.1138801476085618</v>
      </c>
      <c r="L400" s="10">
        <v>6908.9912831361862</v>
      </c>
      <c r="O400" s="14">
        <v>7.7168038449074974</v>
      </c>
      <c r="P400" s="10">
        <v>10404.254069744566</v>
      </c>
      <c r="R400" s="19">
        <f t="shared" si="54"/>
        <v>1.6029236972989356</v>
      </c>
      <c r="S400" s="23">
        <f t="shared" si="55"/>
        <v>3495.2627866083794</v>
      </c>
      <c r="U400" s="23">
        <f t="shared" si="56"/>
        <v>2180.5546904685471</v>
      </c>
      <c r="AA400" s="18">
        <f t="shared" si="57"/>
        <v>1</v>
      </c>
      <c r="AF400" s="23">
        <f t="shared" si="58"/>
        <v>76650.922078338393</v>
      </c>
      <c r="AL400" s="18">
        <f t="shared" si="59"/>
        <v>1</v>
      </c>
    </row>
    <row r="401" spans="9:38" x14ac:dyDescent="0.2">
      <c r="I401" s="4">
        <v>394</v>
      </c>
      <c r="K401" s="14">
        <v>6.4976376837848902</v>
      </c>
      <c r="L401" s="10">
        <v>6047.7276065349233</v>
      </c>
      <c r="O401" s="14">
        <v>6.944300639229998</v>
      </c>
      <c r="P401" s="10">
        <v>10332.351461005857</v>
      </c>
      <c r="R401" s="19">
        <f t="shared" si="54"/>
        <v>0.44666295544510781</v>
      </c>
      <c r="S401" s="23">
        <f t="shared" si="55"/>
        <v>4284.623854470934</v>
      </c>
      <c r="U401" s="23">
        <f t="shared" si="56"/>
        <v>9592.521166661847</v>
      </c>
      <c r="AA401" s="18">
        <f t="shared" si="57"/>
        <v>1</v>
      </c>
      <c r="AF401" s="23">
        <f t="shared" si="58"/>
        <v>18048.523917784456</v>
      </c>
      <c r="AL401" s="18">
        <f t="shared" si="59"/>
        <v>1</v>
      </c>
    </row>
    <row r="402" spans="9:38" x14ac:dyDescent="0.2">
      <c r="I402" s="4">
        <v>395</v>
      </c>
      <c r="K402" s="14">
        <v>6.4421977230016321</v>
      </c>
      <c r="L402" s="10">
        <v>8267.8734364623688</v>
      </c>
      <c r="O402" s="14">
        <v>7.3437475499102947</v>
      </c>
      <c r="P402" s="10">
        <v>10487.109635024604</v>
      </c>
      <c r="R402" s="19">
        <f t="shared" si="54"/>
        <v>0.90154982690866259</v>
      </c>
      <c r="S402" s="23">
        <f t="shared" si="55"/>
        <v>2219.2361985622356</v>
      </c>
      <c r="U402" s="23">
        <f t="shared" si="56"/>
        <v>2461.5790856194903</v>
      </c>
      <c r="AA402" s="18">
        <f t="shared" si="57"/>
        <v>1</v>
      </c>
      <c r="AF402" s="23">
        <f t="shared" si="58"/>
        <v>42858.255146870899</v>
      </c>
      <c r="AL402" s="18">
        <f t="shared" si="59"/>
        <v>1</v>
      </c>
    </row>
    <row r="403" spans="9:38" x14ac:dyDescent="0.2">
      <c r="I403" s="4">
        <v>396</v>
      </c>
      <c r="K403" s="14">
        <v>6.6442875585426249</v>
      </c>
      <c r="L403" s="10">
        <v>8333.3299423322642</v>
      </c>
      <c r="O403" s="14">
        <v>6.9197676058043047</v>
      </c>
      <c r="P403" s="10">
        <v>9659.2454621705983</v>
      </c>
      <c r="R403" s="19">
        <f t="shared" si="54"/>
        <v>0.27548004726167985</v>
      </c>
      <c r="S403" s="23">
        <f t="shared" si="55"/>
        <v>1325.9155198383341</v>
      </c>
      <c r="U403" s="23">
        <f t="shared" si="56"/>
        <v>4813.1090909057402</v>
      </c>
      <c r="AA403" s="18">
        <f t="shared" si="57"/>
        <v>1</v>
      </c>
      <c r="AF403" s="23">
        <f t="shared" si="58"/>
        <v>12448.086843245659</v>
      </c>
      <c r="AL403" s="18">
        <f t="shared" si="59"/>
        <v>1</v>
      </c>
    </row>
    <row r="404" spans="9:38" x14ac:dyDescent="0.2">
      <c r="I404" s="4">
        <v>397</v>
      </c>
      <c r="K404" s="14">
        <v>6.5294037238644629</v>
      </c>
      <c r="L404" s="10">
        <v>6022.0596806388894</v>
      </c>
      <c r="O404" s="14">
        <v>7.2522709759301165</v>
      </c>
      <c r="P404" s="10">
        <v>10244.855286017055</v>
      </c>
      <c r="R404" s="19">
        <f t="shared" si="54"/>
        <v>0.72286725206565361</v>
      </c>
      <c r="S404" s="23">
        <f t="shared" si="55"/>
        <v>4222.7956053781654</v>
      </c>
      <c r="U404" s="23">
        <f t="shared" si="56"/>
        <v>5841.7304052869649</v>
      </c>
      <c r="AA404" s="18">
        <f t="shared" si="57"/>
        <v>1</v>
      </c>
      <c r="AF404" s="23">
        <f t="shared" si="58"/>
        <v>31920.566997904512</v>
      </c>
      <c r="AL404" s="18">
        <f t="shared" si="59"/>
        <v>1</v>
      </c>
    </row>
    <row r="405" spans="9:38" x14ac:dyDescent="0.2">
      <c r="I405" s="4">
        <v>398</v>
      </c>
      <c r="K405" s="14">
        <v>6.5848199184640546</v>
      </c>
      <c r="L405" s="10">
        <v>6629.4114404239945</v>
      </c>
      <c r="O405" s="14">
        <v>7.630743681761702</v>
      </c>
      <c r="P405" s="10">
        <v>10353.042143212757</v>
      </c>
      <c r="R405" s="19">
        <f t="shared" si="54"/>
        <v>1.0459237632976475</v>
      </c>
      <c r="S405" s="23">
        <f t="shared" si="55"/>
        <v>3723.6307027887624</v>
      </c>
      <c r="U405" s="23">
        <f t="shared" si="56"/>
        <v>3560.1358659723815</v>
      </c>
      <c r="AA405" s="18">
        <f t="shared" si="57"/>
        <v>1</v>
      </c>
      <c r="AF405" s="23">
        <f t="shared" si="58"/>
        <v>48572.557462093617</v>
      </c>
      <c r="AL405" s="18">
        <f t="shared" si="59"/>
        <v>1</v>
      </c>
    </row>
    <row r="406" spans="9:38" x14ac:dyDescent="0.2">
      <c r="I406" s="4">
        <v>399</v>
      </c>
      <c r="K406" s="14">
        <v>5.9297340020909406</v>
      </c>
      <c r="L406" s="10">
        <v>6878.5879741637818</v>
      </c>
      <c r="O406" s="14">
        <v>6.7227318558348133</v>
      </c>
      <c r="P406" s="10">
        <v>9647.8309338786585</v>
      </c>
      <c r="R406" s="19">
        <f t="shared" si="54"/>
        <v>0.79299785374387266</v>
      </c>
      <c r="S406" s="23">
        <f t="shared" si="55"/>
        <v>2769.2429597148766</v>
      </c>
      <c r="U406" s="23">
        <f t="shared" si="56"/>
        <v>3492.119110588796</v>
      </c>
      <c r="AA406" s="18">
        <f t="shared" si="57"/>
        <v>1</v>
      </c>
      <c r="AF406" s="23">
        <f t="shared" si="58"/>
        <v>36880.649727478754</v>
      </c>
      <c r="AL406" s="18">
        <f t="shared" si="59"/>
        <v>1</v>
      </c>
    </row>
    <row r="407" spans="9:38" x14ac:dyDescent="0.2">
      <c r="I407" s="4">
        <v>400</v>
      </c>
      <c r="K407" s="14">
        <v>6.9044691096107851</v>
      </c>
      <c r="L407" s="10">
        <v>7266.6862991350245</v>
      </c>
      <c r="O407" s="14">
        <v>6.8771947311540051</v>
      </c>
      <c r="P407" s="10">
        <v>9605.7255927024617</v>
      </c>
      <c r="R407" s="19">
        <f t="shared" si="54"/>
        <v>-2.7274378456779935E-2</v>
      </c>
      <c r="S407" s="23">
        <f t="shared" si="55"/>
        <v>2339.0392935674372</v>
      </c>
      <c r="U407" s="23">
        <f t="shared" si="56"/>
        <v>-85759.581919491655</v>
      </c>
      <c r="AA407" s="18">
        <f t="shared" si="57"/>
        <v>0</v>
      </c>
      <c r="AF407" s="23">
        <f t="shared" si="58"/>
        <v>-3702.7582164064343</v>
      </c>
      <c r="AL407" s="18">
        <f t="shared" si="59"/>
        <v>0</v>
      </c>
    </row>
    <row r="408" spans="9:38" x14ac:dyDescent="0.2">
      <c r="I408" s="4">
        <v>401</v>
      </c>
      <c r="K408" s="14">
        <v>6.5902397577989484</v>
      </c>
      <c r="L408" s="10">
        <v>11495.209582330619</v>
      </c>
      <c r="O408" s="14">
        <v>7.0998331412126383</v>
      </c>
      <c r="P408" s="10">
        <v>9916.6984769475384</v>
      </c>
      <c r="R408" s="19">
        <f t="shared" si="54"/>
        <v>0.50959338341368987</v>
      </c>
      <c r="S408" s="23">
        <f t="shared" si="55"/>
        <v>-1578.5111053830806</v>
      </c>
      <c r="U408" s="23">
        <f t="shared" si="56"/>
        <v>-3097.5894836170569</v>
      </c>
      <c r="AA408" s="18">
        <f t="shared" si="57"/>
        <v>1</v>
      </c>
      <c r="AF408" s="23">
        <f t="shared" si="58"/>
        <v>27058.180276067575</v>
      </c>
      <c r="AL408" s="18">
        <f t="shared" si="59"/>
        <v>1</v>
      </c>
    </row>
    <row r="409" spans="9:38" x14ac:dyDescent="0.2">
      <c r="I409" s="4">
        <v>402</v>
      </c>
      <c r="K409" s="14">
        <v>6.0887182273485738</v>
      </c>
      <c r="L409" s="10">
        <v>5692.934265140505</v>
      </c>
      <c r="O409" s="14">
        <v>6.784180591962329</v>
      </c>
      <c r="P409" s="10">
        <v>10071.826228956679</v>
      </c>
      <c r="R409" s="19">
        <f t="shared" si="54"/>
        <v>0.69546236461375521</v>
      </c>
      <c r="S409" s="23">
        <f t="shared" si="55"/>
        <v>4378.8919638161742</v>
      </c>
      <c r="U409" s="23">
        <f t="shared" si="56"/>
        <v>6296.3751694142593</v>
      </c>
      <c r="AA409" s="18">
        <f t="shared" si="57"/>
        <v>1</v>
      </c>
      <c r="AF409" s="23">
        <f t="shared" si="58"/>
        <v>30394.226266871585</v>
      </c>
      <c r="AL409" s="18">
        <f t="shared" si="59"/>
        <v>1</v>
      </c>
    </row>
    <row r="410" spans="9:38" x14ac:dyDescent="0.2">
      <c r="I410" s="4">
        <v>403</v>
      </c>
      <c r="K410" s="14">
        <v>6.7222038692823745</v>
      </c>
      <c r="L410" s="10">
        <v>6795.7814863441135</v>
      </c>
      <c r="O410" s="14">
        <v>7.5322572966849659</v>
      </c>
      <c r="P410" s="10">
        <v>10085.637180668566</v>
      </c>
      <c r="R410" s="19">
        <f t="shared" si="54"/>
        <v>0.81005342740259145</v>
      </c>
      <c r="S410" s="23">
        <f t="shared" si="55"/>
        <v>3289.8556943244521</v>
      </c>
      <c r="U410" s="23">
        <f t="shared" si="56"/>
        <v>4061.2823587121429</v>
      </c>
      <c r="AA410" s="18">
        <f t="shared" si="57"/>
        <v>1</v>
      </c>
      <c r="AF410" s="23">
        <f t="shared" si="58"/>
        <v>37212.815675805119</v>
      </c>
      <c r="AL410" s="18">
        <f t="shared" si="59"/>
        <v>1</v>
      </c>
    </row>
    <row r="411" spans="9:38" x14ac:dyDescent="0.2">
      <c r="I411" s="4">
        <v>404</v>
      </c>
      <c r="K411" s="14">
        <v>6.0212766836450706</v>
      </c>
      <c r="L411" s="10">
        <v>7669.8183769046018</v>
      </c>
      <c r="O411" s="14">
        <v>6.4651740519375274</v>
      </c>
      <c r="P411" s="10">
        <v>8810.3434065583206</v>
      </c>
      <c r="R411" s="19">
        <f t="shared" si="54"/>
        <v>0.44389736829245674</v>
      </c>
      <c r="S411" s="23">
        <f t="shared" si="55"/>
        <v>1140.5250296537188</v>
      </c>
      <c r="U411" s="23">
        <f t="shared" si="56"/>
        <v>2569.3439770570949</v>
      </c>
      <c r="AA411" s="18">
        <f t="shared" si="57"/>
        <v>1</v>
      </c>
      <c r="AF411" s="23">
        <f t="shared" si="58"/>
        <v>21054.343384969117</v>
      </c>
      <c r="AL411" s="18">
        <f t="shared" si="59"/>
        <v>1</v>
      </c>
    </row>
    <row r="412" spans="9:38" x14ac:dyDescent="0.2">
      <c r="I412" s="4">
        <v>405</v>
      </c>
      <c r="K412" s="14">
        <v>6.4008816174040355</v>
      </c>
      <c r="L412" s="10">
        <v>5779.6301958625236</v>
      </c>
      <c r="O412" s="14">
        <v>6.9701708423450706</v>
      </c>
      <c r="P412" s="10">
        <v>9787.7157223893646</v>
      </c>
      <c r="R412" s="19">
        <f t="shared" si="54"/>
        <v>0.56928922494103507</v>
      </c>
      <c r="S412" s="23">
        <f t="shared" si="55"/>
        <v>4008.085526526841</v>
      </c>
      <c r="U412" s="23">
        <f t="shared" si="56"/>
        <v>7040.5083232376028</v>
      </c>
      <c r="AA412" s="18">
        <f t="shared" si="57"/>
        <v>1</v>
      </c>
      <c r="AF412" s="23">
        <f t="shared" si="58"/>
        <v>24456.375720524913</v>
      </c>
      <c r="AL412" s="18">
        <f t="shared" si="59"/>
        <v>1</v>
      </c>
    </row>
    <row r="413" spans="9:38" x14ac:dyDescent="0.2">
      <c r="I413" s="4">
        <v>406</v>
      </c>
      <c r="K413" s="14">
        <v>6.6931095711829816</v>
      </c>
      <c r="L413" s="10">
        <v>5444.1531652758104</v>
      </c>
      <c r="O413" s="14">
        <v>6.5949394447723817</v>
      </c>
      <c r="P413" s="10">
        <v>9033.7190485958108</v>
      </c>
      <c r="R413" s="19">
        <f t="shared" si="54"/>
        <v>-9.8170126410599856E-2</v>
      </c>
      <c r="S413" s="23">
        <f t="shared" si="55"/>
        <v>3589.5658833200005</v>
      </c>
      <c r="U413" s="23">
        <f t="shared" si="56"/>
        <v>-36564.747490560629</v>
      </c>
      <c r="AA413" s="18">
        <f t="shared" si="57"/>
        <v>0</v>
      </c>
      <c r="AF413" s="23">
        <f t="shared" si="58"/>
        <v>-8498.0722038499935</v>
      </c>
      <c r="AL413" s="18">
        <f t="shared" si="59"/>
        <v>0</v>
      </c>
    </row>
    <row r="414" spans="9:38" x14ac:dyDescent="0.2">
      <c r="I414" s="4">
        <v>407</v>
      </c>
      <c r="K414" s="14">
        <v>6.3313651211008857</v>
      </c>
      <c r="L414" s="10">
        <v>7249.1347516086407</v>
      </c>
      <c r="O414" s="14">
        <v>6.7402623234751164</v>
      </c>
      <c r="P414" s="10">
        <v>9920.9253640765728</v>
      </c>
      <c r="R414" s="19">
        <f t="shared" si="54"/>
        <v>0.40889720237423077</v>
      </c>
      <c r="S414" s="23">
        <f t="shared" si="55"/>
        <v>2671.7906124679321</v>
      </c>
      <c r="U414" s="23">
        <f t="shared" si="56"/>
        <v>6534.1376682314803</v>
      </c>
      <c r="AA414" s="18">
        <f t="shared" si="57"/>
        <v>1</v>
      </c>
      <c r="AF414" s="23">
        <f t="shared" si="58"/>
        <v>17773.069506243606</v>
      </c>
      <c r="AL414" s="18">
        <f t="shared" si="59"/>
        <v>1</v>
      </c>
    </row>
    <row r="415" spans="9:38" x14ac:dyDescent="0.2">
      <c r="I415" s="4">
        <v>408</v>
      </c>
      <c r="K415" s="14">
        <v>6.3726456078071489</v>
      </c>
      <c r="L415" s="10">
        <v>6916.6801228826716</v>
      </c>
      <c r="O415" s="14">
        <v>7.3649830083059635</v>
      </c>
      <c r="P415" s="10">
        <v>9434.0428163898032</v>
      </c>
      <c r="R415" s="19">
        <f t="shared" si="54"/>
        <v>0.99233740049881458</v>
      </c>
      <c r="S415" s="23">
        <f t="shared" si="55"/>
        <v>2517.3626935071316</v>
      </c>
      <c r="U415" s="23">
        <f t="shared" si="56"/>
        <v>2536.8011850019338</v>
      </c>
      <c r="AA415" s="18">
        <f t="shared" si="57"/>
        <v>1</v>
      </c>
      <c r="AF415" s="23">
        <f t="shared" si="58"/>
        <v>47099.507331433597</v>
      </c>
      <c r="AL415" s="18">
        <f t="shared" si="59"/>
        <v>1</v>
      </c>
    </row>
    <row r="416" spans="9:38" x14ac:dyDescent="0.2">
      <c r="I416" s="4">
        <v>409</v>
      </c>
      <c r="K416" s="14">
        <v>6.2487386079490532</v>
      </c>
      <c r="L416" s="10">
        <v>6903.2129286098634</v>
      </c>
      <c r="O416" s="14">
        <v>7.5975722098935163</v>
      </c>
      <c r="P416" s="10">
        <v>9506.9654837354446</v>
      </c>
      <c r="R416" s="19">
        <f t="shared" si="54"/>
        <v>1.3488336019444631</v>
      </c>
      <c r="S416" s="23">
        <f t="shared" si="55"/>
        <v>2603.7525551255812</v>
      </c>
      <c r="U416" s="23">
        <f t="shared" si="56"/>
        <v>1930.3734362578462</v>
      </c>
      <c r="AA416" s="18">
        <f t="shared" si="57"/>
        <v>1</v>
      </c>
      <c r="AF416" s="23">
        <f t="shared" si="58"/>
        <v>64837.927542097575</v>
      </c>
      <c r="AL416" s="18">
        <f t="shared" si="59"/>
        <v>1</v>
      </c>
    </row>
    <row r="417" spans="9:38" x14ac:dyDescent="0.2">
      <c r="I417" s="4">
        <v>410</v>
      </c>
      <c r="K417" s="14">
        <v>6.8334422914493747</v>
      </c>
      <c r="L417" s="10">
        <v>9489.7775050427736</v>
      </c>
      <c r="O417" s="14">
        <v>7.5063734995921232</v>
      </c>
      <c r="P417" s="10">
        <v>9791.5237067804483</v>
      </c>
      <c r="R417" s="19">
        <f t="shared" si="54"/>
        <v>0.67293120814274854</v>
      </c>
      <c r="S417" s="23">
        <f t="shared" si="55"/>
        <v>301.74620173767471</v>
      </c>
      <c r="U417" s="23">
        <f t="shared" si="56"/>
        <v>448.4057182761324</v>
      </c>
      <c r="AA417" s="18">
        <f t="shared" si="57"/>
        <v>1</v>
      </c>
      <c r="AF417" s="23">
        <f t="shared" si="58"/>
        <v>33344.814205399751</v>
      </c>
      <c r="AL417" s="18">
        <f t="shared" si="59"/>
        <v>1</v>
      </c>
    </row>
    <row r="418" spans="9:38" x14ac:dyDescent="0.2">
      <c r="I418" s="4">
        <v>411</v>
      </c>
      <c r="K418" s="14">
        <v>6.8816088411479619</v>
      </c>
      <c r="L418" s="10">
        <v>10826.6066983082</v>
      </c>
      <c r="O418" s="14">
        <v>6.8631219499757412</v>
      </c>
      <c r="P418" s="10">
        <v>9525.3735317934497</v>
      </c>
      <c r="R418" s="19">
        <f t="shared" si="54"/>
        <v>-1.8486891172220687E-2</v>
      </c>
      <c r="S418" s="23">
        <f t="shared" si="55"/>
        <v>-1301.2331665147503</v>
      </c>
      <c r="U418" s="23">
        <f t="shared" si="56"/>
        <v>70386.802972586724</v>
      </c>
      <c r="AA418" s="18">
        <f t="shared" si="57"/>
        <v>1</v>
      </c>
      <c r="AF418" s="23">
        <f t="shared" si="58"/>
        <v>376.88860790371598</v>
      </c>
      <c r="AL418" s="18">
        <f t="shared" si="59"/>
        <v>1</v>
      </c>
    </row>
    <row r="419" spans="9:38" x14ac:dyDescent="0.2">
      <c r="I419" s="4">
        <v>412</v>
      </c>
      <c r="K419" s="14">
        <v>6.5910612267040571</v>
      </c>
      <c r="L419" s="10">
        <v>8038.4943723687138</v>
      </c>
      <c r="O419" s="14">
        <v>7.7882418400752593</v>
      </c>
      <c r="P419" s="10">
        <v>10709.604898395342</v>
      </c>
      <c r="R419" s="19">
        <f t="shared" si="54"/>
        <v>1.1971806133712022</v>
      </c>
      <c r="S419" s="23">
        <f t="shared" si="55"/>
        <v>2671.1105260266286</v>
      </c>
      <c r="U419" s="23">
        <f t="shared" si="56"/>
        <v>2231.1675416334315</v>
      </c>
      <c r="AA419" s="18">
        <f t="shared" si="57"/>
        <v>1</v>
      </c>
      <c r="AF419" s="23">
        <f t="shared" si="58"/>
        <v>57187.920142533483</v>
      </c>
      <c r="AL419" s="18">
        <f t="shared" si="59"/>
        <v>1</v>
      </c>
    </row>
    <row r="420" spans="9:38" x14ac:dyDescent="0.2">
      <c r="I420" s="4">
        <v>413</v>
      </c>
      <c r="K420" s="14">
        <v>6.2522354043284896</v>
      </c>
      <c r="L420" s="10">
        <v>5939.0357444818947</v>
      </c>
      <c r="O420" s="14">
        <v>7.3464184787703175</v>
      </c>
      <c r="P420" s="10">
        <v>10144.701679115013</v>
      </c>
      <c r="R420" s="19">
        <f t="shared" si="54"/>
        <v>1.0941830744418279</v>
      </c>
      <c r="S420" s="23">
        <f t="shared" si="55"/>
        <v>4205.665934633118</v>
      </c>
      <c r="U420" s="23">
        <f t="shared" si="56"/>
        <v>3843.6583720494314</v>
      </c>
      <c r="AA420" s="18">
        <f t="shared" si="57"/>
        <v>1</v>
      </c>
      <c r="AF420" s="23">
        <f t="shared" si="58"/>
        <v>50503.487787458274</v>
      </c>
      <c r="AL420" s="18">
        <f t="shared" si="59"/>
        <v>1</v>
      </c>
    </row>
    <row r="421" spans="9:38" x14ac:dyDescent="0.2">
      <c r="I421" s="4">
        <v>414</v>
      </c>
      <c r="K421" s="14">
        <v>6.0187719868156737</v>
      </c>
      <c r="L421" s="10">
        <v>7492.5769769844246</v>
      </c>
      <c r="O421" s="14">
        <v>7.0080873945326996</v>
      </c>
      <c r="P421" s="10">
        <v>9528.5541879412849</v>
      </c>
      <c r="R421" s="19">
        <f t="shared" si="54"/>
        <v>0.98931540771702586</v>
      </c>
      <c r="S421" s="23">
        <f t="shared" si="55"/>
        <v>2035.9772109568603</v>
      </c>
      <c r="U421" s="23">
        <f t="shared" si="56"/>
        <v>2057.9657357759575</v>
      </c>
      <c r="AA421" s="18">
        <f t="shared" si="57"/>
        <v>1</v>
      </c>
      <c r="AF421" s="23">
        <f t="shared" si="58"/>
        <v>47429.793174894432</v>
      </c>
      <c r="AL421" s="18">
        <f t="shared" si="59"/>
        <v>1</v>
      </c>
    </row>
    <row r="422" spans="9:38" x14ac:dyDescent="0.2">
      <c r="I422" s="4">
        <v>415</v>
      </c>
      <c r="K422" s="14">
        <v>6.098580844391595</v>
      </c>
      <c r="L422" s="10">
        <v>6755.4766419872876</v>
      </c>
      <c r="O422" s="14">
        <v>7.6919562219532995</v>
      </c>
      <c r="P422" s="10">
        <v>10495.090500625105</v>
      </c>
      <c r="R422" s="19">
        <f t="shared" si="54"/>
        <v>1.5933753775617046</v>
      </c>
      <c r="S422" s="23">
        <f t="shared" si="55"/>
        <v>3739.6138586378174</v>
      </c>
      <c r="U422" s="23">
        <f t="shared" si="56"/>
        <v>2346.9760555484663</v>
      </c>
      <c r="AA422" s="18">
        <f t="shared" si="57"/>
        <v>1</v>
      </c>
      <c r="AF422" s="23">
        <f t="shared" si="58"/>
        <v>75929.155019447411</v>
      </c>
      <c r="AL422" s="18">
        <f t="shared" si="59"/>
        <v>1</v>
      </c>
    </row>
    <row r="423" spans="9:38" x14ac:dyDescent="0.2">
      <c r="I423" s="4">
        <v>416</v>
      </c>
      <c r="K423" s="14">
        <v>6.5917563950816431</v>
      </c>
      <c r="L423" s="10">
        <v>7171.4592010135211</v>
      </c>
      <c r="O423" s="14">
        <v>6.8676294918399252</v>
      </c>
      <c r="P423" s="10">
        <v>9419.7328638976614</v>
      </c>
      <c r="R423" s="19">
        <f t="shared" si="54"/>
        <v>0.27587309675828209</v>
      </c>
      <c r="S423" s="23">
        <f t="shared" si="55"/>
        <v>2248.2736628841403</v>
      </c>
      <c r="U423" s="23">
        <f t="shared" si="56"/>
        <v>8149.6662389448602</v>
      </c>
      <c r="AA423" s="18">
        <f t="shared" si="57"/>
        <v>1</v>
      </c>
      <c r="AF423" s="23">
        <f t="shared" si="58"/>
        <v>11545.381175029965</v>
      </c>
      <c r="AL423" s="18">
        <f t="shared" si="59"/>
        <v>1</v>
      </c>
    </row>
    <row r="424" spans="9:38" x14ac:dyDescent="0.2">
      <c r="I424" s="4">
        <v>417</v>
      </c>
      <c r="K424" s="14">
        <v>6.6912080221248518</v>
      </c>
      <c r="L424" s="10">
        <v>6279.8142715862487</v>
      </c>
      <c r="O424" s="14">
        <v>6.9846272927688622</v>
      </c>
      <c r="P424" s="10">
        <v>9231.1145609095202</v>
      </c>
      <c r="R424" s="19">
        <f t="shared" si="54"/>
        <v>0.29341927064401041</v>
      </c>
      <c r="S424" s="23">
        <f t="shared" si="55"/>
        <v>2951.3002893232715</v>
      </c>
      <c r="U424" s="23">
        <f t="shared" si="56"/>
        <v>10058.304224005529</v>
      </c>
      <c r="AA424" s="18">
        <f t="shared" si="57"/>
        <v>1</v>
      </c>
      <c r="AF424" s="23">
        <f t="shared" si="58"/>
        <v>11719.663242877248</v>
      </c>
      <c r="AL424" s="18">
        <f t="shared" si="59"/>
        <v>1</v>
      </c>
    </row>
    <row r="425" spans="9:38" x14ac:dyDescent="0.2">
      <c r="I425" s="4">
        <v>418</v>
      </c>
      <c r="K425" s="14">
        <v>5.8655014199997035</v>
      </c>
      <c r="L425" s="10">
        <v>7554.0754995786956</v>
      </c>
      <c r="O425" s="14">
        <v>7.2145774592784555</v>
      </c>
      <c r="P425" s="10">
        <v>9648.4636182315262</v>
      </c>
      <c r="R425" s="19">
        <f t="shared" si="54"/>
        <v>1.349076039278752</v>
      </c>
      <c r="S425" s="23">
        <f t="shared" si="55"/>
        <v>2094.3881186528306</v>
      </c>
      <c r="U425" s="23">
        <f t="shared" si="56"/>
        <v>1552.4611346388897</v>
      </c>
      <c r="AA425" s="18">
        <f t="shared" si="57"/>
        <v>1</v>
      </c>
      <c r="AF425" s="23">
        <f t="shared" si="58"/>
        <v>65359.413845284769</v>
      </c>
      <c r="AL425" s="18">
        <f t="shared" si="59"/>
        <v>1</v>
      </c>
    </row>
    <row r="426" spans="9:38" x14ac:dyDescent="0.2">
      <c r="I426" s="4">
        <v>419</v>
      </c>
      <c r="K426" s="14">
        <v>6.6100596893180228</v>
      </c>
      <c r="L426" s="10">
        <v>10466.356819483903</v>
      </c>
      <c r="O426" s="14">
        <v>6.7928702470783069</v>
      </c>
      <c r="P426" s="10">
        <v>9110.2268474381308</v>
      </c>
      <c r="R426" s="19">
        <f t="shared" si="54"/>
        <v>0.1828105577602841</v>
      </c>
      <c r="S426" s="23">
        <f t="shared" si="55"/>
        <v>-1356.1299720457719</v>
      </c>
      <c r="U426" s="23">
        <f t="shared" si="56"/>
        <v>-7418.2256684760978</v>
      </c>
      <c r="AA426" s="18">
        <f t="shared" si="57"/>
        <v>1</v>
      </c>
      <c r="AF426" s="23">
        <f t="shared" si="58"/>
        <v>10496.657860059977</v>
      </c>
      <c r="AL426" s="18">
        <f t="shared" si="59"/>
        <v>1</v>
      </c>
    </row>
    <row r="427" spans="9:38" x14ac:dyDescent="0.2">
      <c r="I427" s="4">
        <v>420</v>
      </c>
      <c r="K427" s="14">
        <v>5.9812996212235534</v>
      </c>
      <c r="L427" s="10">
        <v>9179.0105801615464</v>
      </c>
      <c r="O427" s="14">
        <v>6.8588639524046018</v>
      </c>
      <c r="P427" s="10">
        <v>9668.3118702839347</v>
      </c>
      <c r="R427" s="19">
        <f t="shared" si="54"/>
        <v>0.87756433118104837</v>
      </c>
      <c r="S427" s="23">
        <f t="shared" si="55"/>
        <v>489.30129012238831</v>
      </c>
      <c r="U427" s="23">
        <f t="shared" si="56"/>
        <v>557.56743151111687</v>
      </c>
      <c r="AA427" s="18">
        <f t="shared" si="57"/>
        <v>1</v>
      </c>
      <c r="AF427" s="23">
        <f t="shared" si="58"/>
        <v>43388.915268930024</v>
      </c>
      <c r="AL427" s="18">
        <f t="shared" si="59"/>
        <v>1</v>
      </c>
    </row>
    <row r="428" spans="9:38" x14ac:dyDescent="0.2">
      <c r="I428" s="4">
        <v>421</v>
      </c>
      <c r="K428" s="14">
        <v>6.2780364446326242</v>
      </c>
      <c r="L428" s="10">
        <v>5717.5159426302862</v>
      </c>
      <c r="O428" s="14">
        <v>7.578012470701708</v>
      </c>
      <c r="P428" s="10">
        <v>9993.3976503076483</v>
      </c>
      <c r="R428" s="19">
        <f t="shared" si="54"/>
        <v>1.2999760260690838</v>
      </c>
      <c r="S428" s="23">
        <f t="shared" si="55"/>
        <v>4275.8817076773621</v>
      </c>
      <c r="U428" s="23">
        <f t="shared" si="56"/>
        <v>3289.2004328779303</v>
      </c>
      <c r="AA428" s="18">
        <f t="shared" si="57"/>
        <v>1</v>
      </c>
      <c r="AF428" s="23">
        <f t="shared" si="58"/>
        <v>60722.919595776824</v>
      </c>
      <c r="AL428" s="18">
        <f t="shared" si="59"/>
        <v>1</v>
      </c>
    </row>
    <row r="429" spans="9:38" x14ac:dyDescent="0.2">
      <c r="I429" s="4">
        <v>422</v>
      </c>
      <c r="K429" s="14">
        <v>6.9669913277164195</v>
      </c>
      <c r="L429" s="10">
        <v>8193.6406492377791</v>
      </c>
      <c r="O429" s="14">
        <v>6.741946995816928</v>
      </c>
      <c r="P429" s="10">
        <v>9341.7017048252201</v>
      </c>
      <c r="R429" s="19">
        <f t="shared" si="54"/>
        <v>-0.22504433189949147</v>
      </c>
      <c r="S429" s="23">
        <f t="shared" si="55"/>
        <v>1148.0610555874409</v>
      </c>
      <c r="U429" s="23">
        <f t="shared" si="56"/>
        <v>-5101.488430733657</v>
      </c>
      <c r="AA429" s="18">
        <f t="shared" si="57"/>
        <v>0</v>
      </c>
      <c r="AF429" s="23">
        <f t="shared" si="58"/>
        <v>-12400.277650562015</v>
      </c>
      <c r="AL429" s="18">
        <f t="shared" si="59"/>
        <v>0</v>
      </c>
    </row>
    <row r="430" spans="9:38" x14ac:dyDescent="0.2">
      <c r="I430" s="4">
        <v>423</v>
      </c>
      <c r="K430" s="14">
        <v>6.2331593910239187</v>
      </c>
      <c r="L430" s="10">
        <v>6080.1028697382471</v>
      </c>
      <c r="O430" s="14">
        <v>7.0413082997096863</v>
      </c>
      <c r="P430" s="10">
        <v>9012.0721039600212</v>
      </c>
      <c r="R430" s="19">
        <f t="shared" si="54"/>
        <v>0.80814890868576761</v>
      </c>
      <c r="S430" s="23">
        <f t="shared" si="55"/>
        <v>2931.9692342217741</v>
      </c>
      <c r="U430" s="23">
        <f t="shared" si="56"/>
        <v>3628.0061789476613</v>
      </c>
      <c r="AA430" s="18">
        <f t="shared" si="57"/>
        <v>1</v>
      </c>
      <c r="AF430" s="23">
        <f t="shared" si="58"/>
        <v>37475.476200066609</v>
      </c>
      <c r="AL430" s="18">
        <f t="shared" si="59"/>
        <v>1</v>
      </c>
    </row>
    <row r="431" spans="9:38" x14ac:dyDescent="0.2">
      <c r="I431" s="4">
        <v>424</v>
      </c>
      <c r="K431" s="14">
        <v>6.0864269350302784</v>
      </c>
      <c r="L431" s="10">
        <v>8003.6530243336001</v>
      </c>
      <c r="O431" s="14">
        <v>6.6745449520007352</v>
      </c>
      <c r="P431" s="10">
        <v>9101.1334629586145</v>
      </c>
      <c r="R431" s="19">
        <f t="shared" si="54"/>
        <v>0.58811801697045674</v>
      </c>
      <c r="S431" s="23">
        <f t="shared" si="55"/>
        <v>1097.4804386250144</v>
      </c>
      <c r="U431" s="23">
        <f t="shared" si="56"/>
        <v>1866.0887899309921</v>
      </c>
      <c r="AA431" s="18">
        <f t="shared" si="57"/>
        <v>1</v>
      </c>
      <c r="AF431" s="23">
        <f t="shared" si="58"/>
        <v>28308.420409897823</v>
      </c>
      <c r="AL431" s="18">
        <f t="shared" si="59"/>
        <v>1</v>
      </c>
    </row>
    <row r="432" spans="9:38" x14ac:dyDescent="0.2">
      <c r="I432" s="4">
        <v>425</v>
      </c>
      <c r="K432" s="14">
        <v>6.3434036060138332</v>
      </c>
      <c r="L432" s="10">
        <v>7214.9250523802193</v>
      </c>
      <c r="O432" s="14">
        <v>7.5385541248117827</v>
      </c>
      <c r="P432" s="10">
        <v>10014.97566781376</v>
      </c>
      <c r="R432" s="19">
        <f t="shared" si="54"/>
        <v>1.1951505187979494</v>
      </c>
      <c r="S432" s="23">
        <f t="shared" si="55"/>
        <v>2800.0506154335408</v>
      </c>
      <c r="U432" s="23">
        <f t="shared" si="56"/>
        <v>2342.8434924244998</v>
      </c>
      <c r="AA432" s="18">
        <f t="shared" si="57"/>
        <v>1</v>
      </c>
      <c r="AF432" s="23">
        <f t="shared" si="58"/>
        <v>56957.475324463936</v>
      </c>
      <c r="AL432" s="18">
        <f t="shared" si="59"/>
        <v>1</v>
      </c>
    </row>
    <row r="433" spans="9:38" x14ac:dyDescent="0.2">
      <c r="I433" s="4">
        <v>426</v>
      </c>
      <c r="K433" s="14">
        <v>6.3080349795455586</v>
      </c>
      <c r="L433" s="10">
        <v>6265.4556190863686</v>
      </c>
      <c r="O433" s="14">
        <v>6.7245160651569389</v>
      </c>
      <c r="P433" s="10">
        <v>9556.2149433434497</v>
      </c>
      <c r="R433" s="19">
        <f t="shared" si="54"/>
        <v>0.41648108561138031</v>
      </c>
      <c r="S433" s="23">
        <f t="shared" si="55"/>
        <v>3290.7593242570811</v>
      </c>
      <c r="U433" s="23">
        <f t="shared" si="56"/>
        <v>7901.3415925632171</v>
      </c>
      <c r="AA433" s="18">
        <f t="shared" si="57"/>
        <v>1</v>
      </c>
      <c r="AF433" s="23">
        <f t="shared" si="58"/>
        <v>17533.294956311936</v>
      </c>
      <c r="AL433" s="18">
        <f t="shared" si="59"/>
        <v>1</v>
      </c>
    </row>
    <row r="434" spans="9:38" x14ac:dyDescent="0.2">
      <c r="I434" s="4">
        <v>427</v>
      </c>
      <c r="K434" s="14">
        <v>6.2482033369854824</v>
      </c>
      <c r="L434" s="10">
        <v>7679.1944195069291</v>
      </c>
      <c r="O434" s="14">
        <v>7.121429608696749</v>
      </c>
      <c r="P434" s="10">
        <v>9384.1592731182227</v>
      </c>
      <c r="R434" s="19">
        <f t="shared" si="54"/>
        <v>0.87322627171126666</v>
      </c>
      <c r="S434" s="23">
        <f t="shared" si="55"/>
        <v>1704.9648536112936</v>
      </c>
      <c r="U434" s="23">
        <f t="shared" si="56"/>
        <v>1952.4891873329279</v>
      </c>
      <c r="AA434" s="18">
        <f t="shared" si="57"/>
        <v>1</v>
      </c>
      <c r="AF434" s="23">
        <f t="shared" si="58"/>
        <v>41956.348731952035</v>
      </c>
      <c r="AL434" s="18">
        <f t="shared" si="59"/>
        <v>1</v>
      </c>
    </row>
    <row r="435" spans="9:38" x14ac:dyDescent="0.2">
      <c r="I435" s="4">
        <v>428</v>
      </c>
      <c r="K435" s="14">
        <v>6.5870524995061439</v>
      </c>
      <c r="L435" s="10">
        <v>7062.4053887877262</v>
      </c>
      <c r="O435" s="14">
        <v>7.0457219987236321</v>
      </c>
      <c r="P435" s="10">
        <v>10453.315516018036</v>
      </c>
      <c r="R435" s="19">
        <f t="shared" si="54"/>
        <v>0.45866949921748823</v>
      </c>
      <c r="S435" s="23">
        <f t="shared" si="55"/>
        <v>3390.9101272303096</v>
      </c>
      <c r="U435" s="23">
        <f t="shared" si="56"/>
        <v>7392.9270052082429</v>
      </c>
      <c r="AA435" s="18">
        <f t="shared" si="57"/>
        <v>1</v>
      </c>
      <c r="AF435" s="23">
        <f t="shared" si="58"/>
        <v>19542.564833644105</v>
      </c>
      <c r="AL435" s="18">
        <f t="shared" si="59"/>
        <v>1</v>
      </c>
    </row>
    <row r="436" spans="9:38" x14ac:dyDescent="0.2">
      <c r="I436" s="4">
        <v>429</v>
      </c>
      <c r="K436" s="14">
        <v>6.7408901300400474</v>
      </c>
      <c r="L436" s="10">
        <v>6378.56852903871</v>
      </c>
      <c r="O436" s="14">
        <v>7.6391818965661447</v>
      </c>
      <c r="P436" s="10">
        <v>9665.1465059371603</v>
      </c>
      <c r="R436" s="19">
        <f t="shared" si="54"/>
        <v>0.89829176652609721</v>
      </c>
      <c r="S436" s="23">
        <f t="shared" si="55"/>
        <v>3286.5779768984503</v>
      </c>
      <c r="U436" s="23">
        <f t="shared" si="56"/>
        <v>3658.6976518869924</v>
      </c>
      <c r="AA436" s="18">
        <f t="shared" si="57"/>
        <v>1</v>
      </c>
      <c r="AF436" s="23">
        <f t="shared" si="58"/>
        <v>41628.01034940641</v>
      </c>
      <c r="AL436" s="18">
        <f t="shared" si="59"/>
        <v>1</v>
      </c>
    </row>
    <row r="437" spans="9:38" x14ac:dyDescent="0.2">
      <c r="I437" s="4">
        <v>430</v>
      </c>
      <c r="K437" s="14">
        <v>6.6923069079695354</v>
      </c>
      <c r="L437" s="10">
        <v>7394.7911657195409</v>
      </c>
      <c r="O437" s="14">
        <v>7.5797903274539404</v>
      </c>
      <c r="P437" s="10">
        <v>11188.828333860685</v>
      </c>
      <c r="R437" s="19">
        <f t="shared" si="54"/>
        <v>0.88748341948440501</v>
      </c>
      <c r="S437" s="23">
        <f t="shared" si="55"/>
        <v>3794.0371681411443</v>
      </c>
      <c r="U437" s="23">
        <f t="shared" si="56"/>
        <v>4275.0513247282288</v>
      </c>
      <c r="AA437" s="18">
        <f t="shared" si="57"/>
        <v>1</v>
      </c>
      <c r="AF437" s="23">
        <f t="shared" si="58"/>
        <v>40580.133806079109</v>
      </c>
      <c r="AL437" s="18">
        <f t="shared" si="59"/>
        <v>1</v>
      </c>
    </row>
    <row r="438" spans="9:38" x14ac:dyDescent="0.2">
      <c r="I438" s="4">
        <v>431</v>
      </c>
      <c r="K438" s="14">
        <v>6.4428780384236219</v>
      </c>
      <c r="L438" s="10">
        <v>6764.6736188481973</v>
      </c>
      <c r="O438" s="14">
        <v>6.8147147965083672</v>
      </c>
      <c r="P438" s="10">
        <v>8925.6540958762635</v>
      </c>
      <c r="R438" s="19">
        <f t="shared" si="54"/>
        <v>0.37183675808474526</v>
      </c>
      <c r="S438" s="23">
        <f t="shared" si="55"/>
        <v>2160.9804770280662</v>
      </c>
      <c r="U438" s="23">
        <f t="shared" si="56"/>
        <v>5811.637580315708</v>
      </c>
      <c r="AA438" s="18">
        <f t="shared" si="57"/>
        <v>1</v>
      </c>
      <c r="AF438" s="23">
        <f t="shared" si="58"/>
        <v>16430.857427209194</v>
      </c>
      <c r="AL438" s="18">
        <f t="shared" si="59"/>
        <v>1</v>
      </c>
    </row>
    <row r="439" spans="9:38" x14ac:dyDescent="0.2">
      <c r="I439" s="4">
        <v>432</v>
      </c>
      <c r="K439" s="14">
        <v>6.0757504368425153</v>
      </c>
      <c r="L439" s="10">
        <v>7335.6109363060068</v>
      </c>
      <c r="O439" s="14">
        <v>6.5729309972391423</v>
      </c>
      <c r="P439" s="10">
        <v>10311.786326997813</v>
      </c>
      <c r="R439" s="19">
        <f t="shared" si="54"/>
        <v>0.49718056039662706</v>
      </c>
      <c r="S439" s="23">
        <f t="shared" si="55"/>
        <v>2976.1753906918066</v>
      </c>
      <c r="U439" s="23">
        <f t="shared" si="56"/>
        <v>5986.1057083920477</v>
      </c>
      <c r="AA439" s="18">
        <f t="shared" si="57"/>
        <v>1</v>
      </c>
      <c r="AF439" s="23">
        <f t="shared" si="58"/>
        <v>21882.852629139546</v>
      </c>
      <c r="AL439" s="18">
        <f t="shared" si="59"/>
        <v>1</v>
      </c>
    </row>
    <row r="440" spans="9:38" x14ac:dyDescent="0.2">
      <c r="I440" s="4">
        <v>433</v>
      </c>
      <c r="K440" s="14">
        <v>6.7895472498367733</v>
      </c>
      <c r="L440" s="10">
        <v>9202.9768364665651</v>
      </c>
      <c r="O440" s="14">
        <v>6.7500953861305515</v>
      </c>
      <c r="P440" s="10">
        <v>9628.7014571026102</v>
      </c>
      <c r="R440" s="19">
        <f t="shared" si="54"/>
        <v>-3.9451863706221779E-2</v>
      </c>
      <c r="S440" s="23">
        <f t="shared" si="55"/>
        <v>425.72462063604507</v>
      </c>
      <c r="U440" s="23">
        <f t="shared" si="56"/>
        <v>-10790.988831508761</v>
      </c>
      <c r="AA440" s="18">
        <f t="shared" si="57"/>
        <v>0</v>
      </c>
      <c r="AF440" s="23">
        <f t="shared" si="58"/>
        <v>-2398.3178059471338</v>
      </c>
      <c r="AL440" s="18">
        <f t="shared" si="59"/>
        <v>0</v>
      </c>
    </row>
    <row r="441" spans="9:38" x14ac:dyDescent="0.2">
      <c r="I441" s="4">
        <v>434</v>
      </c>
      <c r="K441" s="14">
        <v>6.4201518086098819</v>
      </c>
      <c r="L441" s="10">
        <v>6099.9039821023398</v>
      </c>
      <c r="O441" s="14">
        <v>6.9665926769402287</v>
      </c>
      <c r="P441" s="10">
        <v>9219.5957932923302</v>
      </c>
      <c r="R441" s="19">
        <f t="shared" si="54"/>
        <v>0.54644086833034677</v>
      </c>
      <c r="S441" s="23">
        <f t="shared" si="55"/>
        <v>3119.6918111899904</v>
      </c>
      <c r="U441" s="23">
        <f t="shared" si="56"/>
        <v>5709.1114372946276</v>
      </c>
      <c r="AA441" s="18">
        <f t="shared" si="57"/>
        <v>1</v>
      </c>
      <c r="AF441" s="23">
        <f t="shared" si="58"/>
        <v>24202.351605327349</v>
      </c>
      <c r="AL441" s="18">
        <f t="shared" si="59"/>
        <v>1</v>
      </c>
    </row>
    <row r="442" spans="9:38" x14ac:dyDescent="0.2">
      <c r="I442" s="4">
        <v>435</v>
      </c>
      <c r="K442" s="14">
        <v>6.4955120057958506</v>
      </c>
      <c r="L442" s="10">
        <v>6521.6825757689812</v>
      </c>
      <c r="O442" s="14">
        <v>7.3450177339415541</v>
      </c>
      <c r="P442" s="10">
        <v>9892.4317342160266</v>
      </c>
      <c r="R442" s="19">
        <f t="shared" si="54"/>
        <v>0.84950572814570346</v>
      </c>
      <c r="S442" s="23">
        <f t="shared" si="55"/>
        <v>3370.7491584470454</v>
      </c>
      <c r="U442" s="23">
        <f t="shared" si="56"/>
        <v>3967.8945612346824</v>
      </c>
      <c r="AA442" s="18">
        <f t="shared" si="57"/>
        <v>1</v>
      </c>
      <c r="AF442" s="23">
        <f t="shared" si="58"/>
        <v>39104.537248838125</v>
      </c>
      <c r="AL442" s="18">
        <f t="shared" si="59"/>
        <v>1</v>
      </c>
    </row>
    <row r="443" spans="9:38" x14ac:dyDescent="0.2">
      <c r="I443" s="4">
        <v>436</v>
      </c>
      <c r="K443" s="14">
        <v>6.7130631599452775</v>
      </c>
      <c r="L443" s="10">
        <v>7485.497519323585</v>
      </c>
      <c r="O443" s="14">
        <v>7.1041180008849798</v>
      </c>
      <c r="P443" s="10">
        <v>9932.0252468291037</v>
      </c>
      <c r="R443" s="19">
        <f t="shared" si="54"/>
        <v>0.39105484093970233</v>
      </c>
      <c r="S443" s="23">
        <f t="shared" si="55"/>
        <v>2446.5277275055187</v>
      </c>
      <c r="U443" s="23">
        <f t="shared" si="56"/>
        <v>6256.2266755898681</v>
      </c>
      <c r="AA443" s="18">
        <f t="shared" si="57"/>
        <v>1</v>
      </c>
      <c r="AF443" s="23">
        <f t="shared" si="58"/>
        <v>17106.214319479597</v>
      </c>
      <c r="AL443" s="18">
        <f t="shared" si="59"/>
        <v>1</v>
      </c>
    </row>
    <row r="444" spans="9:38" x14ac:dyDescent="0.2">
      <c r="I444" s="4">
        <v>437</v>
      </c>
      <c r="K444" s="14">
        <v>6.0030163455845411</v>
      </c>
      <c r="L444" s="10">
        <v>5962.089125727277</v>
      </c>
      <c r="O444" s="14">
        <v>7.4722603228154059</v>
      </c>
      <c r="P444" s="10">
        <v>9812.8344530669383</v>
      </c>
      <c r="R444" s="19">
        <f t="shared" si="54"/>
        <v>1.4692439772308648</v>
      </c>
      <c r="S444" s="23">
        <f t="shared" si="55"/>
        <v>3850.7453273396613</v>
      </c>
      <c r="U444" s="23">
        <f t="shared" si="56"/>
        <v>2620.9025777987499</v>
      </c>
      <c r="AA444" s="18">
        <f t="shared" si="57"/>
        <v>1</v>
      </c>
      <c r="AF444" s="23">
        <f t="shared" si="58"/>
        <v>69611.453534203567</v>
      </c>
      <c r="AL444" s="18">
        <f t="shared" si="59"/>
        <v>1</v>
      </c>
    </row>
    <row r="445" spans="9:38" x14ac:dyDescent="0.2">
      <c r="I445" s="4">
        <v>438</v>
      </c>
      <c r="K445" s="14">
        <v>6.2252184415153407</v>
      </c>
      <c r="L445" s="10">
        <v>7824.7562612831443</v>
      </c>
      <c r="O445" s="14">
        <v>7.51980799796765</v>
      </c>
      <c r="P445" s="10">
        <v>9937.881425618305</v>
      </c>
      <c r="R445" s="19">
        <f t="shared" si="54"/>
        <v>1.2945895564523093</v>
      </c>
      <c r="S445" s="23">
        <f t="shared" si="55"/>
        <v>2113.1251643351607</v>
      </c>
      <c r="U445" s="23">
        <f t="shared" si="56"/>
        <v>1632.2742245240759</v>
      </c>
      <c r="AA445" s="18">
        <f t="shared" si="57"/>
        <v>1</v>
      </c>
      <c r="AF445" s="23">
        <f t="shared" si="58"/>
        <v>62616.352658280302</v>
      </c>
      <c r="AL445" s="18">
        <f t="shared" si="59"/>
        <v>1</v>
      </c>
    </row>
    <row r="446" spans="9:38" x14ac:dyDescent="0.2">
      <c r="I446" s="4">
        <v>439</v>
      </c>
      <c r="K446" s="14">
        <v>6.1878893063160536</v>
      </c>
      <c r="L446" s="10">
        <v>5748.859273726508</v>
      </c>
      <c r="O446" s="14">
        <v>7.7103087417602501</v>
      </c>
      <c r="P446" s="10">
        <v>9667.2568949302458</v>
      </c>
      <c r="R446" s="19">
        <f t="shared" si="54"/>
        <v>1.5224194354441964</v>
      </c>
      <c r="S446" s="23">
        <f t="shared" si="55"/>
        <v>3918.3976212037378</v>
      </c>
      <c r="U446" s="23">
        <f t="shared" si="56"/>
        <v>2573.7963730477904</v>
      </c>
      <c r="AA446" s="18">
        <f t="shared" si="57"/>
        <v>1</v>
      </c>
      <c r="AF446" s="23">
        <f t="shared" si="58"/>
        <v>72202.574151006091</v>
      </c>
      <c r="AL446" s="18">
        <f t="shared" si="59"/>
        <v>1</v>
      </c>
    </row>
    <row r="447" spans="9:38" x14ac:dyDescent="0.2">
      <c r="I447" s="4">
        <v>440</v>
      </c>
      <c r="K447" s="14">
        <v>6.3753239188340896</v>
      </c>
      <c r="L447" s="10">
        <v>6609.4903847712485</v>
      </c>
      <c r="O447" s="14">
        <v>7.6434268855749146</v>
      </c>
      <c r="P447" s="10">
        <v>10140.368247429444</v>
      </c>
      <c r="R447" s="19">
        <f t="shared" si="54"/>
        <v>1.268102966740825</v>
      </c>
      <c r="S447" s="23">
        <f t="shared" si="55"/>
        <v>3530.8778626581952</v>
      </c>
      <c r="U447" s="23">
        <f t="shared" si="56"/>
        <v>2784.3778898593464</v>
      </c>
      <c r="AA447" s="18">
        <f t="shared" si="57"/>
        <v>1</v>
      </c>
      <c r="AF447" s="23">
        <f t="shared" si="58"/>
        <v>59874.270474383055</v>
      </c>
      <c r="AL447" s="18">
        <f t="shared" si="59"/>
        <v>1</v>
      </c>
    </row>
    <row r="448" spans="9:38" x14ac:dyDescent="0.2">
      <c r="I448" s="4">
        <v>441</v>
      </c>
      <c r="K448" s="14">
        <v>6.8244780140409071</v>
      </c>
      <c r="L448" s="10">
        <v>9351.7740634365073</v>
      </c>
      <c r="O448" s="14">
        <v>7.2353035555843874</v>
      </c>
      <c r="P448" s="10">
        <v>9709.0303958588138</v>
      </c>
      <c r="R448" s="19">
        <f t="shared" si="54"/>
        <v>0.41082554154348028</v>
      </c>
      <c r="S448" s="23">
        <f t="shared" si="55"/>
        <v>357.25633242230651</v>
      </c>
      <c r="U448" s="23">
        <f t="shared" si="56"/>
        <v>869.60594290239817</v>
      </c>
      <c r="AA448" s="18">
        <f t="shared" si="57"/>
        <v>1</v>
      </c>
      <c r="AF448" s="23">
        <f t="shared" si="58"/>
        <v>20184.02074475171</v>
      </c>
      <c r="AL448" s="18">
        <f t="shared" si="59"/>
        <v>1</v>
      </c>
    </row>
    <row r="449" spans="9:38" x14ac:dyDescent="0.2">
      <c r="I449" s="4">
        <v>442</v>
      </c>
      <c r="K449" s="14">
        <v>6.2237152240751898</v>
      </c>
      <c r="L449" s="10">
        <v>8228.9311155840624</v>
      </c>
      <c r="O449" s="14">
        <v>7.0853177252631392</v>
      </c>
      <c r="P449" s="10">
        <v>9891.0473130716036</v>
      </c>
      <c r="R449" s="19">
        <f t="shared" si="54"/>
        <v>0.86160250118794934</v>
      </c>
      <c r="S449" s="23">
        <f t="shared" si="55"/>
        <v>1662.1161974875413</v>
      </c>
      <c r="U449" s="23">
        <f t="shared" si="56"/>
        <v>1929.0986216914062</v>
      </c>
      <c r="AA449" s="18">
        <f t="shared" si="57"/>
        <v>1</v>
      </c>
      <c r="AF449" s="23">
        <f t="shared" si="58"/>
        <v>41418.008861909926</v>
      </c>
      <c r="AL449" s="18">
        <f t="shared" si="59"/>
        <v>1</v>
      </c>
    </row>
    <row r="450" spans="9:38" x14ac:dyDescent="0.2">
      <c r="I450" s="4">
        <v>443</v>
      </c>
      <c r="K450" s="14">
        <v>6.7652951036704359</v>
      </c>
      <c r="L450" s="10">
        <v>9156.4645777418809</v>
      </c>
      <c r="O450" s="14">
        <v>6.5501797526095018</v>
      </c>
      <c r="P450" s="10">
        <v>9038.3803726873284</v>
      </c>
      <c r="R450" s="19">
        <f t="shared" si="54"/>
        <v>-0.21511535106093405</v>
      </c>
      <c r="S450" s="23">
        <f t="shared" si="55"/>
        <v>-118.08420505455251</v>
      </c>
      <c r="U450" s="23">
        <f t="shared" si="56"/>
        <v>548.93434834924324</v>
      </c>
      <c r="AA450" s="18">
        <f t="shared" si="57"/>
        <v>0</v>
      </c>
      <c r="AF450" s="23">
        <f t="shared" si="58"/>
        <v>-10637.68334799215</v>
      </c>
      <c r="AL450" s="18">
        <f t="shared" si="59"/>
        <v>0</v>
      </c>
    </row>
    <row r="451" spans="9:38" x14ac:dyDescent="0.2">
      <c r="I451" s="4">
        <v>444</v>
      </c>
      <c r="K451" s="14">
        <v>6.7636940625831725</v>
      </c>
      <c r="L451" s="10">
        <v>7763.8005197119201</v>
      </c>
      <c r="O451" s="14">
        <v>7.7046132000490868</v>
      </c>
      <c r="P451" s="10">
        <v>9984.0892383527389</v>
      </c>
      <c r="R451" s="19">
        <f t="shared" si="54"/>
        <v>0.94091913746591427</v>
      </c>
      <c r="S451" s="23">
        <f t="shared" si="55"/>
        <v>2220.2887186408188</v>
      </c>
      <c r="U451" s="23">
        <f t="shared" si="56"/>
        <v>2359.7019448669157</v>
      </c>
      <c r="AA451" s="18">
        <f t="shared" si="57"/>
        <v>1</v>
      </c>
      <c r="AF451" s="23">
        <f t="shared" si="58"/>
        <v>44825.668154654893</v>
      </c>
      <c r="AL451" s="18">
        <f t="shared" si="59"/>
        <v>1</v>
      </c>
    </row>
    <row r="452" spans="9:38" x14ac:dyDescent="0.2">
      <c r="I452" s="4">
        <v>445</v>
      </c>
      <c r="K452" s="14">
        <v>6.5663395501508317</v>
      </c>
      <c r="L452" s="10">
        <v>7423.2134602240731</v>
      </c>
      <c r="O452" s="14">
        <v>7.1884362104159543</v>
      </c>
      <c r="P452" s="10">
        <v>10163.678161075874</v>
      </c>
      <c r="R452" s="19">
        <f t="shared" si="54"/>
        <v>0.62209666026512256</v>
      </c>
      <c r="S452" s="23">
        <f t="shared" si="55"/>
        <v>2740.4647008518004</v>
      </c>
      <c r="U452" s="23">
        <f t="shared" si="56"/>
        <v>4405.207222433698</v>
      </c>
      <c r="AA452" s="18">
        <f t="shared" si="57"/>
        <v>1</v>
      </c>
      <c r="AF452" s="23">
        <f t="shared" si="58"/>
        <v>28364.368312404327</v>
      </c>
      <c r="AL452" s="18">
        <f t="shared" si="59"/>
        <v>1</v>
      </c>
    </row>
    <row r="453" spans="9:38" x14ac:dyDescent="0.2">
      <c r="I453" s="4">
        <v>446</v>
      </c>
      <c r="K453" s="14">
        <v>6.5967217666062776</v>
      </c>
      <c r="L453" s="10">
        <v>6539.8438275514391</v>
      </c>
      <c r="O453" s="14">
        <v>6.960097578380684</v>
      </c>
      <c r="P453" s="10">
        <v>10027.317397866753</v>
      </c>
      <c r="R453" s="19">
        <f t="shared" si="54"/>
        <v>0.36337581177440637</v>
      </c>
      <c r="S453" s="23">
        <f t="shared" si="55"/>
        <v>3487.4735703153137</v>
      </c>
      <c r="U453" s="23">
        <f t="shared" si="56"/>
        <v>9597.4290453885042</v>
      </c>
      <c r="AA453" s="18">
        <f t="shared" si="57"/>
        <v>1</v>
      </c>
      <c r="AF453" s="23">
        <f t="shared" si="58"/>
        <v>14681.317018405007</v>
      </c>
      <c r="AL453" s="18">
        <f t="shared" si="59"/>
        <v>1</v>
      </c>
    </row>
    <row r="454" spans="9:38" x14ac:dyDescent="0.2">
      <c r="I454" s="4">
        <v>447</v>
      </c>
      <c r="K454" s="14">
        <v>6.1840054963708164</v>
      </c>
      <c r="L454" s="10">
        <v>8614.3413039834886</v>
      </c>
      <c r="O454" s="14">
        <v>6.9577878728254987</v>
      </c>
      <c r="P454" s="10">
        <v>9250.0489710667134</v>
      </c>
      <c r="R454" s="19">
        <f t="shared" si="54"/>
        <v>0.77378237645468229</v>
      </c>
      <c r="S454" s="23">
        <f t="shared" si="55"/>
        <v>635.70766708322481</v>
      </c>
      <c r="U454" s="23">
        <f t="shared" si="56"/>
        <v>821.55873075826764</v>
      </c>
      <c r="AA454" s="18">
        <f t="shared" si="57"/>
        <v>1</v>
      </c>
      <c r="AF454" s="23">
        <f t="shared" si="58"/>
        <v>38053.411155650887</v>
      </c>
      <c r="AL454" s="18">
        <f t="shared" si="59"/>
        <v>1</v>
      </c>
    </row>
    <row r="455" spans="9:38" x14ac:dyDescent="0.2">
      <c r="I455" s="4">
        <v>448</v>
      </c>
      <c r="K455" s="14">
        <v>6.4425043213878999</v>
      </c>
      <c r="L455" s="10">
        <v>5696.4817932081469</v>
      </c>
      <c r="O455" s="14">
        <v>7.7271123639020383</v>
      </c>
      <c r="P455" s="10">
        <v>10841.547675288297</v>
      </c>
      <c r="R455" s="19">
        <f t="shared" si="54"/>
        <v>1.2846080425141384</v>
      </c>
      <c r="S455" s="23">
        <f t="shared" si="55"/>
        <v>5145.06588208015</v>
      </c>
      <c r="U455" s="23">
        <f t="shared" si="56"/>
        <v>4005.1639969578687</v>
      </c>
      <c r="AA455" s="18">
        <f t="shared" si="57"/>
        <v>1</v>
      </c>
      <c r="AF455" s="23">
        <f t="shared" si="58"/>
        <v>59085.336243626771</v>
      </c>
      <c r="AL455" s="18">
        <f t="shared" si="59"/>
        <v>1</v>
      </c>
    </row>
    <row r="456" spans="9:38" x14ac:dyDescent="0.2">
      <c r="I456" s="4">
        <v>449</v>
      </c>
      <c r="K456" s="14">
        <v>6.3789980936166941</v>
      </c>
      <c r="L456" s="10">
        <v>7368.3685148406075</v>
      </c>
      <c r="O456" s="14">
        <v>6.7065424935507227</v>
      </c>
      <c r="P456" s="10">
        <v>9284.3522604196442</v>
      </c>
      <c r="R456" s="19">
        <f t="shared" ref="R456:R519" si="60">O456-K456</f>
        <v>0.32754439993402862</v>
      </c>
      <c r="S456" s="23">
        <f t="shared" ref="S456:S519" si="61">P456-L456</f>
        <v>1915.9837455790366</v>
      </c>
      <c r="U456" s="23">
        <f t="shared" ref="U456:U519" si="62">S456/R456</f>
        <v>5849.5390120085667</v>
      </c>
      <c r="AA456" s="18">
        <f t="shared" ref="AA456:AA519" si="63">IF(R456&lt;0,IF(U456&lt;Rc_,0,1),IF(U456&lt;Rc_,1,0))</f>
        <v>1</v>
      </c>
      <c r="AF456" s="23">
        <f t="shared" ref="AF456:AF519" si="64">R456*Rc_-S456</f>
        <v>14461.236251122395</v>
      </c>
      <c r="AL456" s="18">
        <f t="shared" ref="AL456:AL519" si="65">IF(AF456&gt;0,1,0)</f>
        <v>1</v>
      </c>
    </row>
    <row r="457" spans="9:38" x14ac:dyDescent="0.2">
      <c r="I457" s="4">
        <v>450</v>
      </c>
      <c r="K457" s="14">
        <v>6.2543896936815235</v>
      </c>
      <c r="L457" s="10">
        <v>6187.9794861733899</v>
      </c>
      <c r="O457" s="14">
        <v>6.9632502306839115</v>
      </c>
      <c r="P457" s="10">
        <v>10017.778319143026</v>
      </c>
      <c r="R457" s="19">
        <f t="shared" si="60"/>
        <v>0.70886053700238794</v>
      </c>
      <c r="S457" s="23">
        <f t="shared" si="61"/>
        <v>3829.7988329696364</v>
      </c>
      <c r="U457" s="23">
        <f t="shared" si="62"/>
        <v>5402.7536208532583</v>
      </c>
      <c r="AA457" s="18">
        <f t="shared" si="63"/>
        <v>1</v>
      </c>
      <c r="AF457" s="23">
        <f t="shared" si="64"/>
        <v>31613.228017149755</v>
      </c>
      <c r="AL457" s="18">
        <f t="shared" si="65"/>
        <v>1</v>
      </c>
    </row>
    <row r="458" spans="9:38" x14ac:dyDescent="0.2">
      <c r="I458" s="4">
        <v>451</v>
      </c>
      <c r="K458" s="14">
        <v>6.1021181121933674</v>
      </c>
      <c r="L458" s="10">
        <v>6804.9776927696694</v>
      </c>
      <c r="O458" s="14">
        <v>7.0576733574807111</v>
      </c>
      <c r="P458" s="10">
        <v>9442.2520399074056</v>
      </c>
      <c r="R458" s="19">
        <f t="shared" si="60"/>
        <v>0.9555552452873437</v>
      </c>
      <c r="S458" s="23">
        <f t="shared" si="61"/>
        <v>2637.2743471377362</v>
      </c>
      <c r="U458" s="23">
        <f t="shared" si="62"/>
        <v>2759.9391664107134</v>
      </c>
      <c r="AA458" s="18">
        <f t="shared" si="63"/>
        <v>1</v>
      </c>
      <c r="AF458" s="23">
        <f t="shared" si="64"/>
        <v>45140.487917229446</v>
      </c>
      <c r="AL458" s="18">
        <f t="shared" si="65"/>
        <v>1</v>
      </c>
    </row>
    <row r="459" spans="9:38" x14ac:dyDescent="0.2">
      <c r="I459" s="4">
        <v>452</v>
      </c>
      <c r="K459" s="14">
        <v>6.3460465647519504</v>
      </c>
      <c r="L459" s="10">
        <v>5981.2752289029277</v>
      </c>
      <c r="O459" s="14">
        <v>7.2189393933658588</v>
      </c>
      <c r="P459" s="10">
        <v>10095.698850383693</v>
      </c>
      <c r="R459" s="19">
        <f t="shared" si="60"/>
        <v>0.87289282861390838</v>
      </c>
      <c r="S459" s="23">
        <f t="shared" si="61"/>
        <v>4114.4236214807652</v>
      </c>
      <c r="U459" s="23">
        <f t="shared" si="62"/>
        <v>4713.5495751685539</v>
      </c>
      <c r="AA459" s="18">
        <f t="shared" si="63"/>
        <v>1</v>
      </c>
      <c r="AF459" s="23">
        <f t="shared" si="64"/>
        <v>39530.21780921465</v>
      </c>
      <c r="AL459" s="18">
        <f t="shared" si="65"/>
        <v>1</v>
      </c>
    </row>
    <row r="460" spans="9:38" x14ac:dyDescent="0.2">
      <c r="I460" s="4">
        <v>453</v>
      </c>
      <c r="K460" s="14">
        <v>6.4405382205405655</v>
      </c>
      <c r="L460" s="10">
        <v>8236.5289132869366</v>
      </c>
      <c r="O460" s="14">
        <v>7.7169436140341245</v>
      </c>
      <c r="P460" s="10">
        <v>10420.374008488236</v>
      </c>
      <c r="R460" s="19">
        <f t="shared" si="60"/>
        <v>1.2764053934935591</v>
      </c>
      <c r="S460" s="23">
        <f t="shared" si="61"/>
        <v>2183.845095201299</v>
      </c>
      <c r="U460" s="23">
        <f t="shared" si="62"/>
        <v>1710.9337725564217</v>
      </c>
      <c r="AA460" s="18">
        <f t="shared" si="63"/>
        <v>1</v>
      </c>
      <c r="AF460" s="23">
        <f t="shared" si="64"/>
        <v>61636.424579476654</v>
      </c>
      <c r="AL460" s="18">
        <f t="shared" si="65"/>
        <v>1</v>
      </c>
    </row>
    <row r="461" spans="9:38" x14ac:dyDescent="0.2">
      <c r="I461" s="4">
        <v>454</v>
      </c>
      <c r="K461" s="14">
        <v>6.0359693689574394</v>
      </c>
      <c r="L461" s="10">
        <v>7669.1076995852754</v>
      </c>
      <c r="O461" s="14">
        <v>6.9240873784177959</v>
      </c>
      <c r="P461" s="10">
        <v>9400.3023245602781</v>
      </c>
      <c r="R461" s="19">
        <f t="shared" si="60"/>
        <v>0.88811800946035646</v>
      </c>
      <c r="S461" s="23">
        <f t="shared" si="61"/>
        <v>1731.1946249750026</v>
      </c>
      <c r="U461" s="23">
        <f t="shared" si="62"/>
        <v>1949.2844492894828</v>
      </c>
      <c r="AA461" s="18">
        <f t="shared" si="63"/>
        <v>1</v>
      </c>
      <c r="AF461" s="23">
        <f t="shared" si="64"/>
        <v>42674.705848042817</v>
      </c>
      <c r="AL461" s="18">
        <f t="shared" si="65"/>
        <v>1</v>
      </c>
    </row>
    <row r="462" spans="9:38" x14ac:dyDescent="0.2">
      <c r="I462" s="4">
        <v>455</v>
      </c>
      <c r="K462" s="14">
        <v>6.7320006726651398</v>
      </c>
      <c r="L462" s="10">
        <v>5704.7881539089758</v>
      </c>
      <c r="O462" s="14">
        <v>7.3238336926503225</v>
      </c>
      <c r="P462" s="10">
        <v>9876.2551947647826</v>
      </c>
      <c r="R462" s="19">
        <f t="shared" si="60"/>
        <v>0.59183301998518267</v>
      </c>
      <c r="S462" s="23">
        <f t="shared" si="61"/>
        <v>4171.4670408558068</v>
      </c>
      <c r="U462" s="23">
        <f t="shared" si="62"/>
        <v>7048.3851018658015</v>
      </c>
      <c r="AA462" s="18">
        <f t="shared" si="63"/>
        <v>1</v>
      </c>
      <c r="AF462" s="23">
        <f t="shared" si="64"/>
        <v>25420.18395840333</v>
      </c>
      <c r="AL462" s="18">
        <f t="shared" si="65"/>
        <v>1</v>
      </c>
    </row>
    <row r="463" spans="9:38" x14ac:dyDescent="0.2">
      <c r="I463" s="4">
        <v>456</v>
      </c>
      <c r="K463" s="14">
        <v>6.7095825067797774</v>
      </c>
      <c r="L463" s="10">
        <v>8042.5209482367763</v>
      </c>
      <c r="O463" s="14">
        <v>6.606621254936349</v>
      </c>
      <c r="P463" s="10">
        <v>8888.0124237021591</v>
      </c>
      <c r="R463" s="19">
        <f t="shared" si="60"/>
        <v>-0.10296125184342841</v>
      </c>
      <c r="S463" s="23">
        <f t="shared" si="61"/>
        <v>845.49147546538279</v>
      </c>
      <c r="U463" s="23">
        <f t="shared" si="62"/>
        <v>-8211.7443244678943</v>
      </c>
      <c r="AA463" s="18">
        <f t="shared" si="63"/>
        <v>0</v>
      </c>
      <c r="AF463" s="23">
        <f t="shared" si="64"/>
        <v>-5993.5540676368037</v>
      </c>
      <c r="AL463" s="18">
        <f t="shared" si="65"/>
        <v>0</v>
      </c>
    </row>
    <row r="464" spans="9:38" x14ac:dyDescent="0.2">
      <c r="I464" s="4">
        <v>457</v>
      </c>
      <c r="K464" s="14">
        <v>6.3983291190408398</v>
      </c>
      <c r="L464" s="10">
        <v>6094.9199999338362</v>
      </c>
      <c r="O464" s="14">
        <v>7.6427231853669477</v>
      </c>
      <c r="P464" s="10">
        <v>10214.966038497923</v>
      </c>
      <c r="R464" s="19">
        <f t="shared" si="60"/>
        <v>1.2443940663261079</v>
      </c>
      <c r="S464" s="23">
        <f t="shared" si="61"/>
        <v>4120.0460385640872</v>
      </c>
      <c r="U464" s="23">
        <f t="shared" si="62"/>
        <v>3310.885313627316</v>
      </c>
      <c r="AA464" s="18">
        <f t="shared" si="63"/>
        <v>1</v>
      </c>
      <c r="AF464" s="23">
        <f t="shared" si="64"/>
        <v>58099.657277741309</v>
      </c>
      <c r="AL464" s="18">
        <f t="shared" si="65"/>
        <v>1</v>
      </c>
    </row>
    <row r="465" spans="9:38" x14ac:dyDescent="0.2">
      <c r="I465" s="4">
        <v>458</v>
      </c>
      <c r="K465" s="14">
        <v>6.3227921041073918</v>
      </c>
      <c r="L465" s="10">
        <v>5473.8359471509293</v>
      </c>
      <c r="O465" s="14">
        <v>7.3038247941269079</v>
      </c>
      <c r="P465" s="10">
        <v>10239.581407428068</v>
      </c>
      <c r="R465" s="19">
        <f t="shared" si="60"/>
        <v>0.9810326900195161</v>
      </c>
      <c r="S465" s="23">
        <f t="shared" si="61"/>
        <v>4765.7454602771386</v>
      </c>
      <c r="U465" s="23">
        <f t="shared" si="62"/>
        <v>4857.8864993605175</v>
      </c>
      <c r="AA465" s="18">
        <f t="shared" si="63"/>
        <v>1</v>
      </c>
      <c r="AF465" s="23">
        <f t="shared" si="64"/>
        <v>44285.889040698668</v>
      </c>
      <c r="AL465" s="18">
        <f t="shared" si="65"/>
        <v>1</v>
      </c>
    </row>
    <row r="466" spans="9:38" x14ac:dyDescent="0.2">
      <c r="I466" s="4">
        <v>459</v>
      </c>
      <c r="K466" s="14">
        <v>6.4311909566064278</v>
      </c>
      <c r="L466" s="10">
        <v>6249.5997449402466</v>
      </c>
      <c r="O466" s="14">
        <v>7.4682079010286966</v>
      </c>
      <c r="P466" s="10">
        <v>9984.2088085574451</v>
      </c>
      <c r="R466" s="19">
        <f t="shared" si="60"/>
        <v>1.0370169444222688</v>
      </c>
      <c r="S466" s="23">
        <f t="shared" si="61"/>
        <v>3734.6090636171984</v>
      </c>
      <c r="U466" s="23">
        <f t="shared" si="62"/>
        <v>3601.2999437514322</v>
      </c>
      <c r="AA466" s="18">
        <f t="shared" si="63"/>
        <v>1</v>
      </c>
      <c r="AF466" s="23">
        <f t="shared" si="64"/>
        <v>48116.238157496235</v>
      </c>
      <c r="AL466" s="18">
        <f t="shared" si="65"/>
        <v>1</v>
      </c>
    </row>
    <row r="467" spans="9:38" x14ac:dyDescent="0.2">
      <c r="I467" s="4">
        <v>460</v>
      </c>
      <c r="K467" s="14">
        <v>6.1795839115425668</v>
      </c>
      <c r="L467" s="10">
        <v>9268.2985820729555</v>
      </c>
      <c r="O467" s="14">
        <v>7.2065223813755237</v>
      </c>
      <c r="P467" s="10">
        <v>9988.9683524968787</v>
      </c>
      <c r="R467" s="19">
        <f t="shared" si="60"/>
        <v>1.0269384698329569</v>
      </c>
      <c r="S467" s="23">
        <f t="shared" si="61"/>
        <v>720.66977042392318</v>
      </c>
      <c r="U467" s="23">
        <f t="shared" si="62"/>
        <v>701.76528739949561</v>
      </c>
      <c r="AA467" s="18">
        <f t="shared" si="63"/>
        <v>1</v>
      </c>
      <c r="AF467" s="23">
        <f t="shared" si="64"/>
        <v>50626.253721223926</v>
      </c>
      <c r="AL467" s="18">
        <f t="shared" si="65"/>
        <v>1</v>
      </c>
    </row>
    <row r="468" spans="9:38" x14ac:dyDescent="0.2">
      <c r="I468" s="4">
        <v>461</v>
      </c>
      <c r="K468" s="14">
        <v>6.3002903823289387</v>
      </c>
      <c r="L468" s="10">
        <v>6754.7634349226546</v>
      </c>
      <c r="O468" s="14">
        <v>5.9048236189815499</v>
      </c>
      <c r="P468" s="10">
        <v>8978.4792650336185</v>
      </c>
      <c r="R468" s="19">
        <f t="shared" si="60"/>
        <v>-0.39546676334738873</v>
      </c>
      <c r="S468" s="23">
        <f t="shared" si="61"/>
        <v>2223.7158301109639</v>
      </c>
      <c r="U468" s="23">
        <f t="shared" si="62"/>
        <v>-5623.0157277657026</v>
      </c>
      <c r="AA468" s="18">
        <f t="shared" si="63"/>
        <v>0</v>
      </c>
      <c r="AF468" s="23">
        <f t="shared" si="64"/>
        <v>-21997.053997480398</v>
      </c>
      <c r="AL468" s="18">
        <f t="shared" si="65"/>
        <v>0</v>
      </c>
    </row>
    <row r="469" spans="9:38" x14ac:dyDescent="0.2">
      <c r="I469" s="4">
        <v>462</v>
      </c>
      <c r="K469" s="14">
        <v>6.6779766846624113</v>
      </c>
      <c r="L469" s="10">
        <v>7893.8611599584619</v>
      </c>
      <c r="O469" s="14">
        <v>7.2494220172830692</v>
      </c>
      <c r="P469" s="10">
        <v>9859.5459102754394</v>
      </c>
      <c r="R469" s="19">
        <f t="shared" si="60"/>
        <v>0.57144533262065789</v>
      </c>
      <c r="S469" s="23">
        <f t="shared" si="61"/>
        <v>1965.6847503169774</v>
      </c>
      <c r="U469" s="23">
        <f t="shared" si="62"/>
        <v>3439.8474151539817</v>
      </c>
      <c r="AA469" s="18">
        <f t="shared" si="63"/>
        <v>1</v>
      </c>
      <c r="AF469" s="23">
        <f t="shared" si="64"/>
        <v>26606.581880715916</v>
      </c>
      <c r="AL469" s="18">
        <f t="shared" si="65"/>
        <v>1</v>
      </c>
    </row>
    <row r="470" spans="9:38" x14ac:dyDescent="0.2">
      <c r="I470" s="4">
        <v>463</v>
      </c>
      <c r="K470" s="14">
        <v>6.6144530567122173</v>
      </c>
      <c r="L470" s="10">
        <v>10223.626215607925</v>
      </c>
      <c r="O470" s="14">
        <v>6.8763660627807335</v>
      </c>
      <c r="P470" s="10">
        <v>9038.3872493017698</v>
      </c>
      <c r="R470" s="19">
        <f t="shared" si="60"/>
        <v>0.2619130060685162</v>
      </c>
      <c r="S470" s="23">
        <f t="shared" si="61"/>
        <v>-1185.2389663061549</v>
      </c>
      <c r="U470" s="23">
        <f t="shared" si="62"/>
        <v>-4525.3154247563307</v>
      </c>
      <c r="AA470" s="18">
        <f t="shared" si="63"/>
        <v>1</v>
      </c>
      <c r="AF470" s="23">
        <f t="shared" si="64"/>
        <v>14280.889269731964</v>
      </c>
      <c r="AL470" s="18">
        <f t="shared" si="65"/>
        <v>1</v>
      </c>
    </row>
    <row r="471" spans="9:38" x14ac:dyDescent="0.2">
      <c r="I471" s="4">
        <v>464</v>
      </c>
      <c r="K471" s="14">
        <v>6.0726096030307373</v>
      </c>
      <c r="L471" s="10">
        <v>5804.217103457052</v>
      </c>
      <c r="O471" s="14">
        <v>7.3462808624623435</v>
      </c>
      <c r="P471" s="10">
        <v>10157.150202684355</v>
      </c>
      <c r="R471" s="19">
        <f t="shared" si="60"/>
        <v>1.2736712594316062</v>
      </c>
      <c r="S471" s="23">
        <f t="shared" si="61"/>
        <v>4352.9330992273035</v>
      </c>
      <c r="U471" s="23">
        <f t="shared" si="62"/>
        <v>3417.6268538632658</v>
      </c>
      <c r="AA471" s="18">
        <f t="shared" si="63"/>
        <v>1</v>
      </c>
      <c r="AF471" s="23">
        <f t="shared" si="64"/>
        <v>59330.629872353005</v>
      </c>
      <c r="AL471" s="18">
        <f t="shared" si="65"/>
        <v>1</v>
      </c>
    </row>
    <row r="472" spans="9:38" x14ac:dyDescent="0.2">
      <c r="I472" s="4">
        <v>465</v>
      </c>
      <c r="K472" s="14">
        <v>6.6009459338716407</v>
      </c>
      <c r="L472" s="10">
        <v>7879.6363424111651</v>
      </c>
      <c r="O472" s="14">
        <v>7.0351111719445729</v>
      </c>
      <c r="P472" s="10">
        <v>9952.4895934936867</v>
      </c>
      <c r="R472" s="19">
        <f t="shared" si="60"/>
        <v>0.43416523807293217</v>
      </c>
      <c r="S472" s="23">
        <f t="shared" si="61"/>
        <v>2072.8532510825216</v>
      </c>
      <c r="U472" s="23">
        <f t="shared" si="62"/>
        <v>4774.3418157635151</v>
      </c>
      <c r="AA472" s="18">
        <f t="shared" si="63"/>
        <v>1</v>
      </c>
      <c r="AF472" s="23">
        <f t="shared" si="64"/>
        <v>19635.408652564089</v>
      </c>
      <c r="AL472" s="18">
        <f t="shared" si="65"/>
        <v>1</v>
      </c>
    </row>
    <row r="473" spans="9:38" x14ac:dyDescent="0.2">
      <c r="I473" s="4">
        <v>466</v>
      </c>
      <c r="K473" s="14">
        <v>6.837365717349738</v>
      </c>
      <c r="L473" s="10">
        <v>6704.7398959341381</v>
      </c>
      <c r="O473" s="14">
        <v>7.0950289559290276</v>
      </c>
      <c r="P473" s="10">
        <v>10105.679351315957</v>
      </c>
      <c r="R473" s="19">
        <f t="shared" si="60"/>
        <v>0.25766323857928963</v>
      </c>
      <c r="S473" s="23">
        <f t="shared" si="61"/>
        <v>3400.9394553818192</v>
      </c>
      <c r="U473" s="23">
        <f t="shared" si="62"/>
        <v>13199.164437014799</v>
      </c>
      <c r="AA473" s="18">
        <f t="shared" si="63"/>
        <v>1</v>
      </c>
      <c r="AF473" s="23">
        <f t="shared" si="64"/>
        <v>9482.222473582664</v>
      </c>
      <c r="AL473" s="18">
        <f t="shared" si="65"/>
        <v>1</v>
      </c>
    </row>
    <row r="474" spans="9:38" x14ac:dyDescent="0.2">
      <c r="I474" s="4">
        <v>467</v>
      </c>
      <c r="K474" s="14">
        <v>6.6070995664630523</v>
      </c>
      <c r="L474" s="10">
        <v>6461.8950445659484</v>
      </c>
      <c r="O474" s="14">
        <v>7.6365216587527254</v>
      </c>
      <c r="P474" s="10">
        <v>10105.337270990607</v>
      </c>
      <c r="R474" s="19">
        <f t="shared" si="60"/>
        <v>1.0294220922896731</v>
      </c>
      <c r="S474" s="23">
        <f t="shared" si="61"/>
        <v>3643.4422264246587</v>
      </c>
      <c r="U474" s="23">
        <f t="shared" si="62"/>
        <v>3539.308368951748</v>
      </c>
      <c r="AA474" s="18">
        <f t="shared" si="63"/>
        <v>1</v>
      </c>
      <c r="AF474" s="23">
        <f t="shared" si="64"/>
        <v>47827.66238805899</v>
      </c>
      <c r="AL474" s="18">
        <f t="shared" si="65"/>
        <v>1</v>
      </c>
    </row>
    <row r="475" spans="9:38" x14ac:dyDescent="0.2">
      <c r="I475" s="4">
        <v>468</v>
      </c>
      <c r="K475" s="14">
        <v>5.9666234021036031</v>
      </c>
      <c r="L475" s="10">
        <v>7114.3758433999155</v>
      </c>
      <c r="O475" s="14">
        <v>6.817960911742051</v>
      </c>
      <c r="P475" s="10">
        <v>9035.3414065907036</v>
      </c>
      <c r="R475" s="19">
        <f t="shared" si="60"/>
        <v>0.8513375096384479</v>
      </c>
      <c r="S475" s="23">
        <f t="shared" si="61"/>
        <v>1920.9655631907881</v>
      </c>
      <c r="U475" s="23">
        <f t="shared" si="62"/>
        <v>2256.4089346968835</v>
      </c>
      <c r="AA475" s="18">
        <f t="shared" si="63"/>
        <v>1</v>
      </c>
      <c r="AF475" s="23">
        <f t="shared" si="64"/>
        <v>40645.90991873161</v>
      </c>
      <c r="AL475" s="18">
        <f t="shared" si="65"/>
        <v>1</v>
      </c>
    </row>
    <row r="476" spans="9:38" x14ac:dyDescent="0.2">
      <c r="I476" s="4">
        <v>469</v>
      </c>
      <c r="K476" s="14">
        <v>6.5252994359926815</v>
      </c>
      <c r="L476" s="10">
        <v>6049.0558800714834</v>
      </c>
      <c r="O476" s="14">
        <v>7.1377468043523411</v>
      </c>
      <c r="P476" s="10">
        <v>9540.4973405881938</v>
      </c>
      <c r="R476" s="19">
        <f t="shared" si="60"/>
        <v>0.61244736835965963</v>
      </c>
      <c r="S476" s="23">
        <f t="shared" si="61"/>
        <v>3491.4414605167103</v>
      </c>
      <c r="U476" s="23">
        <f t="shared" si="62"/>
        <v>5700.8024540426495</v>
      </c>
      <c r="AA476" s="18">
        <f t="shared" si="63"/>
        <v>1</v>
      </c>
      <c r="AF476" s="23">
        <f t="shared" si="64"/>
        <v>27130.926957466269</v>
      </c>
      <c r="AL476" s="18">
        <f t="shared" si="65"/>
        <v>1</v>
      </c>
    </row>
    <row r="477" spans="9:38" x14ac:dyDescent="0.2">
      <c r="I477" s="4">
        <v>470</v>
      </c>
      <c r="K477" s="14">
        <v>6.4022056378890237</v>
      </c>
      <c r="L477" s="10">
        <v>7993.2753180780473</v>
      </c>
      <c r="O477" s="14">
        <v>7.3635629752318312</v>
      </c>
      <c r="P477" s="10">
        <v>10733.548192853292</v>
      </c>
      <c r="R477" s="19">
        <f t="shared" si="60"/>
        <v>0.96135733734280748</v>
      </c>
      <c r="S477" s="23">
        <f t="shared" si="61"/>
        <v>2740.2728747752444</v>
      </c>
      <c r="U477" s="23">
        <f t="shared" si="62"/>
        <v>2850.4207211330609</v>
      </c>
      <c r="AA477" s="18">
        <f t="shared" si="63"/>
        <v>1</v>
      </c>
      <c r="AF477" s="23">
        <f t="shared" si="64"/>
        <v>45327.593992365131</v>
      </c>
      <c r="AL477" s="18">
        <f t="shared" si="65"/>
        <v>1</v>
      </c>
    </row>
    <row r="478" spans="9:38" x14ac:dyDescent="0.2">
      <c r="I478" s="4">
        <v>471</v>
      </c>
      <c r="K478" s="14">
        <v>6.8429558252614937</v>
      </c>
      <c r="L478" s="10">
        <v>6089.8501360699565</v>
      </c>
      <c r="O478" s="14">
        <v>6.8448705291723808</v>
      </c>
      <c r="P478" s="10">
        <v>9659.6069498109791</v>
      </c>
      <c r="R478" s="19">
        <f t="shared" si="60"/>
        <v>1.9147039108871056E-3</v>
      </c>
      <c r="S478" s="23">
        <f t="shared" si="61"/>
        <v>3569.7568137410226</v>
      </c>
      <c r="U478" s="23">
        <f t="shared" si="62"/>
        <v>1864391.0389711957</v>
      </c>
      <c r="AA478" s="18">
        <f t="shared" si="63"/>
        <v>0</v>
      </c>
      <c r="AF478" s="23">
        <f t="shared" si="64"/>
        <v>-3474.0216181966675</v>
      </c>
      <c r="AL478" s="18">
        <f t="shared" si="65"/>
        <v>0</v>
      </c>
    </row>
    <row r="479" spans="9:38" x14ac:dyDescent="0.2">
      <c r="I479" s="4">
        <v>472</v>
      </c>
      <c r="K479" s="14">
        <v>6.3742025465666359</v>
      </c>
      <c r="L479" s="10">
        <v>6816.6033669275439</v>
      </c>
      <c r="O479" s="14">
        <v>7.1613242500838048</v>
      </c>
      <c r="P479" s="10">
        <v>10328.711463756794</v>
      </c>
      <c r="R479" s="19">
        <f t="shared" si="60"/>
        <v>0.78712170351716892</v>
      </c>
      <c r="S479" s="23">
        <f t="shared" si="61"/>
        <v>3512.1080968292499</v>
      </c>
      <c r="U479" s="23">
        <f t="shared" si="62"/>
        <v>4461.9632277140518</v>
      </c>
      <c r="AA479" s="18">
        <f t="shared" si="63"/>
        <v>1</v>
      </c>
      <c r="AF479" s="23">
        <f t="shared" si="64"/>
        <v>35843.977079029195</v>
      </c>
      <c r="AL479" s="18">
        <f t="shared" si="65"/>
        <v>1</v>
      </c>
    </row>
    <row r="480" spans="9:38" x14ac:dyDescent="0.2">
      <c r="I480" s="4">
        <v>473</v>
      </c>
      <c r="K480" s="14">
        <v>6.5798989584704914</v>
      </c>
      <c r="L480" s="10">
        <v>8149.4017611900899</v>
      </c>
      <c r="O480" s="14">
        <v>6.0836569898356823</v>
      </c>
      <c r="P480" s="10">
        <v>8396.2143757526937</v>
      </c>
      <c r="R480" s="19">
        <f t="shared" si="60"/>
        <v>-0.49624196863480918</v>
      </c>
      <c r="S480" s="23">
        <f t="shared" si="61"/>
        <v>246.81261456260381</v>
      </c>
      <c r="U480" s="23">
        <f t="shared" si="62"/>
        <v>-497.36344396988392</v>
      </c>
      <c r="AA480" s="18">
        <f t="shared" si="63"/>
        <v>0</v>
      </c>
      <c r="AF480" s="23">
        <f t="shared" si="64"/>
        <v>-25058.911046303063</v>
      </c>
      <c r="AL480" s="18">
        <f t="shared" si="65"/>
        <v>0</v>
      </c>
    </row>
    <row r="481" spans="9:38" x14ac:dyDescent="0.2">
      <c r="I481" s="4">
        <v>474</v>
      </c>
      <c r="K481" s="14">
        <v>6.1996541445189806</v>
      </c>
      <c r="L481" s="10">
        <v>6476.9748720148691</v>
      </c>
      <c r="O481" s="14">
        <v>6.9656626863411546</v>
      </c>
      <c r="P481" s="10">
        <v>9662.701094283666</v>
      </c>
      <c r="R481" s="19">
        <f t="shared" si="60"/>
        <v>0.76600854182217404</v>
      </c>
      <c r="S481" s="23">
        <f t="shared" si="61"/>
        <v>3185.7262222687968</v>
      </c>
      <c r="U481" s="23">
        <f t="shared" si="62"/>
        <v>4158.8651409690819</v>
      </c>
      <c r="AA481" s="18">
        <f t="shared" si="63"/>
        <v>1</v>
      </c>
      <c r="AF481" s="23">
        <f t="shared" si="64"/>
        <v>35114.700868839907</v>
      </c>
      <c r="AL481" s="18">
        <f t="shared" si="65"/>
        <v>1</v>
      </c>
    </row>
    <row r="482" spans="9:38" x14ac:dyDescent="0.2">
      <c r="I482" s="4">
        <v>475</v>
      </c>
      <c r="K482" s="14">
        <v>6.8212544240214079</v>
      </c>
      <c r="L482" s="10">
        <v>6210.089455905375</v>
      </c>
      <c r="O482" s="14">
        <v>6.332731803081435</v>
      </c>
      <c r="P482" s="10">
        <v>9024.1030352007183</v>
      </c>
      <c r="R482" s="19">
        <f t="shared" si="60"/>
        <v>-0.4885226209399729</v>
      </c>
      <c r="S482" s="23">
        <f t="shared" si="61"/>
        <v>2814.0135792953433</v>
      </c>
      <c r="U482" s="23">
        <f t="shared" si="62"/>
        <v>-5760.2523581832547</v>
      </c>
      <c r="AA482" s="18">
        <f t="shared" si="63"/>
        <v>0</v>
      </c>
      <c r="AF482" s="23">
        <f t="shared" si="64"/>
        <v>-27240.14462629399</v>
      </c>
      <c r="AL482" s="18">
        <f t="shared" si="65"/>
        <v>0</v>
      </c>
    </row>
    <row r="483" spans="9:38" x14ac:dyDescent="0.2">
      <c r="I483" s="4">
        <v>476</v>
      </c>
      <c r="K483" s="14">
        <v>6.5100792266250451</v>
      </c>
      <c r="L483" s="10">
        <v>6946.943359122658</v>
      </c>
      <c r="O483" s="14">
        <v>6.404679129474359</v>
      </c>
      <c r="P483" s="10">
        <v>9199.247667154752</v>
      </c>
      <c r="R483" s="19">
        <f t="shared" si="60"/>
        <v>-0.1054000971506861</v>
      </c>
      <c r="S483" s="23">
        <f t="shared" si="61"/>
        <v>2252.304308032094</v>
      </c>
      <c r="U483" s="23">
        <f t="shared" si="62"/>
        <v>-21369.091385296058</v>
      </c>
      <c r="AA483" s="18">
        <f t="shared" si="63"/>
        <v>0</v>
      </c>
      <c r="AF483" s="23">
        <f t="shared" si="64"/>
        <v>-7522.3091655663993</v>
      </c>
      <c r="AL483" s="18">
        <f t="shared" si="65"/>
        <v>0</v>
      </c>
    </row>
    <row r="484" spans="9:38" x14ac:dyDescent="0.2">
      <c r="I484" s="4">
        <v>477</v>
      </c>
      <c r="K484" s="14">
        <v>6.3403098654562875</v>
      </c>
      <c r="L484" s="10">
        <v>7297.3399922730787</v>
      </c>
      <c r="O484" s="14">
        <v>8.0290171260358658</v>
      </c>
      <c r="P484" s="10">
        <v>11590.508746381049</v>
      </c>
      <c r="R484" s="19">
        <f t="shared" si="60"/>
        <v>1.6887072605795783</v>
      </c>
      <c r="S484" s="23">
        <f t="shared" si="61"/>
        <v>4293.16875410797</v>
      </c>
      <c r="U484" s="23">
        <f t="shared" si="62"/>
        <v>2542.2812196795549</v>
      </c>
      <c r="AA484" s="18">
        <f t="shared" si="63"/>
        <v>1</v>
      </c>
      <c r="AF484" s="23">
        <f t="shared" si="64"/>
        <v>80142.194274870941</v>
      </c>
      <c r="AL484" s="18">
        <f t="shared" si="65"/>
        <v>1</v>
      </c>
    </row>
    <row r="485" spans="9:38" x14ac:dyDescent="0.2">
      <c r="I485" s="4">
        <v>478</v>
      </c>
      <c r="K485" s="14">
        <v>6.3206430089216994</v>
      </c>
      <c r="L485" s="10">
        <v>7816.2282310116234</v>
      </c>
      <c r="O485" s="14">
        <v>7.0024736682752566</v>
      </c>
      <c r="P485" s="10">
        <v>9563.8637512839141</v>
      </c>
      <c r="R485" s="19">
        <f t="shared" si="60"/>
        <v>0.68183065935355724</v>
      </c>
      <c r="S485" s="23">
        <f t="shared" si="61"/>
        <v>1747.6355202722907</v>
      </c>
      <c r="U485" s="23">
        <f t="shared" si="62"/>
        <v>2563.1518563996838</v>
      </c>
      <c r="AA485" s="18">
        <f t="shared" si="63"/>
        <v>1</v>
      </c>
      <c r="AF485" s="23">
        <f t="shared" si="64"/>
        <v>32343.897447405572</v>
      </c>
      <c r="AL485" s="18">
        <f t="shared" si="65"/>
        <v>1</v>
      </c>
    </row>
    <row r="486" spans="9:38" x14ac:dyDescent="0.2">
      <c r="I486" s="4">
        <v>479</v>
      </c>
      <c r="K486" s="14">
        <v>6.2169173091101904</v>
      </c>
      <c r="L486" s="10">
        <v>6060.9356665431287</v>
      </c>
      <c r="O486" s="14">
        <v>6.5357361931729328</v>
      </c>
      <c r="P486" s="10">
        <v>9444.2854584876477</v>
      </c>
      <c r="R486" s="19">
        <f t="shared" si="60"/>
        <v>0.31881888406274239</v>
      </c>
      <c r="S486" s="23">
        <f t="shared" si="61"/>
        <v>3383.349791944519</v>
      </c>
      <c r="U486" s="23">
        <f t="shared" si="62"/>
        <v>10612.137364105096</v>
      </c>
      <c r="AA486" s="18">
        <f t="shared" si="63"/>
        <v>1</v>
      </c>
      <c r="AF486" s="23">
        <f t="shared" si="64"/>
        <v>12557.5944111926</v>
      </c>
      <c r="AL486" s="18">
        <f t="shared" si="65"/>
        <v>1</v>
      </c>
    </row>
    <row r="487" spans="9:38" x14ac:dyDescent="0.2">
      <c r="I487" s="4">
        <v>480</v>
      </c>
      <c r="K487" s="14">
        <v>6.2327281746900924</v>
      </c>
      <c r="L487" s="10">
        <v>6122.8304760363735</v>
      </c>
      <c r="O487" s="14">
        <v>6.7969478791299398</v>
      </c>
      <c r="P487" s="10">
        <v>9247.8012745222168</v>
      </c>
      <c r="R487" s="19">
        <f t="shared" si="60"/>
        <v>0.56421970443984737</v>
      </c>
      <c r="S487" s="23">
        <f t="shared" si="61"/>
        <v>3124.9707984858433</v>
      </c>
      <c r="U487" s="23">
        <f t="shared" si="62"/>
        <v>5538.5708331265887</v>
      </c>
      <c r="AA487" s="18">
        <f t="shared" si="63"/>
        <v>1</v>
      </c>
      <c r="AF487" s="23">
        <f t="shared" si="64"/>
        <v>25086.014423506524</v>
      </c>
      <c r="AL487" s="18">
        <f t="shared" si="65"/>
        <v>1</v>
      </c>
    </row>
    <row r="488" spans="9:38" x14ac:dyDescent="0.2">
      <c r="I488" s="4">
        <v>481</v>
      </c>
      <c r="K488" s="14">
        <v>6.3545887161552708</v>
      </c>
      <c r="L488" s="10">
        <v>8007.6445152907227</v>
      </c>
      <c r="O488" s="14">
        <v>6.7696579667429218</v>
      </c>
      <c r="P488" s="10">
        <v>9140.7340853271562</v>
      </c>
      <c r="R488" s="19">
        <f t="shared" si="60"/>
        <v>0.41506925058765098</v>
      </c>
      <c r="S488" s="23">
        <f t="shared" si="61"/>
        <v>1133.0895700364335</v>
      </c>
      <c r="U488" s="23">
        <f t="shared" si="62"/>
        <v>2729.8807811761926</v>
      </c>
      <c r="AA488" s="18">
        <f t="shared" si="63"/>
        <v>1</v>
      </c>
      <c r="AF488" s="23">
        <f t="shared" si="64"/>
        <v>19620.372959346114</v>
      </c>
      <c r="AL488" s="18">
        <f t="shared" si="65"/>
        <v>1</v>
      </c>
    </row>
    <row r="489" spans="9:38" x14ac:dyDescent="0.2">
      <c r="I489" s="4">
        <v>482</v>
      </c>
      <c r="K489" s="14">
        <v>6.6572523123369729</v>
      </c>
      <c r="L489" s="10">
        <v>6492.1193619738951</v>
      </c>
      <c r="O489" s="14">
        <v>7.0625690660182148</v>
      </c>
      <c r="P489" s="10">
        <v>9294.1819566711201</v>
      </c>
      <c r="R489" s="19">
        <f t="shared" si="60"/>
        <v>0.40531675368124187</v>
      </c>
      <c r="S489" s="23">
        <f t="shared" si="61"/>
        <v>2802.062594697225</v>
      </c>
      <c r="U489" s="23">
        <f t="shared" si="62"/>
        <v>6913.2661535646384</v>
      </c>
      <c r="AA489" s="18">
        <f t="shared" si="63"/>
        <v>1</v>
      </c>
      <c r="AF489" s="23">
        <f t="shared" si="64"/>
        <v>17463.77508936487</v>
      </c>
      <c r="AL489" s="18">
        <f t="shared" si="65"/>
        <v>1</v>
      </c>
    </row>
    <row r="490" spans="9:38" x14ac:dyDescent="0.2">
      <c r="I490" s="4">
        <v>483</v>
      </c>
      <c r="K490" s="14">
        <v>7.0967322384684461</v>
      </c>
      <c r="L490" s="10">
        <v>6167.9395592801711</v>
      </c>
      <c r="O490" s="14">
        <v>7.3717600031345967</v>
      </c>
      <c r="P490" s="10">
        <v>9753.6710607649311</v>
      </c>
      <c r="R490" s="19">
        <f t="shared" si="60"/>
        <v>0.27502776466615053</v>
      </c>
      <c r="S490" s="23">
        <f t="shared" si="61"/>
        <v>3585.73150148476</v>
      </c>
      <c r="U490" s="23">
        <f t="shared" si="62"/>
        <v>13037.707323249315</v>
      </c>
      <c r="AA490" s="18">
        <f t="shared" si="63"/>
        <v>1</v>
      </c>
      <c r="AF490" s="23">
        <f t="shared" si="64"/>
        <v>10165.656731822768</v>
      </c>
      <c r="AL490" s="18">
        <f t="shared" si="65"/>
        <v>1</v>
      </c>
    </row>
    <row r="491" spans="9:38" x14ac:dyDescent="0.2">
      <c r="I491" s="4">
        <v>484</v>
      </c>
      <c r="K491" s="14">
        <v>6.2303359737014272</v>
      </c>
      <c r="L491" s="10">
        <v>7025.5079311212166</v>
      </c>
      <c r="O491" s="14">
        <v>7.4761816204117917</v>
      </c>
      <c r="P491" s="10">
        <v>10364.776777724275</v>
      </c>
      <c r="R491" s="19">
        <f t="shared" si="60"/>
        <v>1.2458456467103645</v>
      </c>
      <c r="S491" s="23">
        <f t="shared" si="61"/>
        <v>3339.2688466030586</v>
      </c>
      <c r="U491" s="23">
        <f t="shared" si="62"/>
        <v>2680.3230845011535</v>
      </c>
      <c r="AA491" s="18">
        <f t="shared" si="63"/>
        <v>1</v>
      </c>
      <c r="AF491" s="23">
        <f t="shared" si="64"/>
        <v>58953.013488915167</v>
      </c>
      <c r="AL491" s="18">
        <f t="shared" si="65"/>
        <v>1</v>
      </c>
    </row>
    <row r="492" spans="9:38" x14ac:dyDescent="0.2">
      <c r="I492" s="4">
        <v>485</v>
      </c>
      <c r="K492" s="14">
        <v>6.289184972865411</v>
      </c>
      <c r="L492" s="10">
        <v>7864.7400480458191</v>
      </c>
      <c r="O492" s="14">
        <v>7.0279922736610505</v>
      </c>
      <c r="P492" s="10">
        <v>9869.4553603554141</v>
      </c>
      <c r="R492" s="19">
        <f t="shared" si="60"/>
        <v>0.7388073007956395</v>
      </c>
      <c r="S492" s="23">
        <f t="shared" si="61"/>
        <v>2004.715312309595</v>
      </c>
      <c r="U492" s="23">
        <f t="shared" si="62"/>
        <v>2713.4481618558298</v>
      </c>
      <c r="AA492" s="18">
        <f t="shared" si="63"/>
        <v>1</v>
      </c>
      <c r="AF492" s="23">
        <f t="shared" si="64"/>
        <v>34935.649727472381</v>
      </c>
      <c r="AL492" s="18">
        <f t="shared" si="65"/>
        <v>1</v>
      </c>
    </row>
    <row r="493" spans="9:38" x14ac:dyDescent="0.2">
      <c r="I493" s="4">
        <v>486</v>
      </c>
      <c r="K493" s="14">
        <v>6.3523804103262282</v>
      </c>
      <c r="L493" s="10">
        <v>8600.185465677303</v>
      </c>
      <c r="O493" s="14">
        <v>6.857857532953922</v>
      </c>
      <c r="P493" s="10">
        <v>9443.7459865678902</v>
      </c>
      <c r="R493" s="19">
        <f t="shared" si="60"/>
        <v>0.50547712262769373</v>
      </c>
      <c r="S493" s="23">
        <f t="shared" si="61"/>
        <v>843.56052089058721</v>
      </c>
      <c r="U493" s="23">
        <f t="shared" si="62"/>
        <v>1668.8401574049215</v>
      </c>
      <c r="AA493" s="18">
        <f t="shared" si="63"/>
        <v>1</v>
      </c>
      <c r="AF493" s="23">
        <f t="shared" si="64"/>
        <v>24430.2956104941</v>
      </c>
      <c r="AL493" s="18">
        <f t="shared" si="65"/>
        <v>1</v>
      </c>
    </row>
    <row r="494" spans="9:38" x14ac:dyDescent="0.2">
      <c r="I494" s="4">
        <v>487</v>
      </c>
      <c r="K494" s="14">
        <v>6.5835987375143414</v>
      </c>
      <c r="L494" s="10">
        <v>9526.7480779029993</v>
      </c>
      <c r="O494" s="14">
        <v>7.5509549082444423</v>
      </c>
      <c r="P494" s="10">
        <v>9366.5304559676224</v>
      </c>
      <c r="R494" s="19">
        <f t="shared" si="60"/>
        <v>0.96735617073010083</v>
      </c>
      <c r="S494" s="23">
        <f t="shared" si="61"/>
        <v>-160.21762193537688</v>
      </c>
      <c r="U494" s="23">
        <f t="shared" si="62"/>
        <v>-165.62423105695856</v>
      </c>
      <c r="AA494" s="18">
        <f t="shared" si="63"/>
        <v>1</v>
      </c>
      <c r="AF494" s="23">
        <f t="shared" si="64"/>
        <v>48528.026158440422</v>
      </c>
      <c r="AL494" s="18">
        <f t="shared" si="65"/>
        <v>1</v>
      </c>
    </row>
    <row r="495" spans="9:38" x14ac:dyDescent="0.2">
      <c r="I495" s="4">
        <v>488</v>
      </c>
      <c r="K495" s="14">
        <v>6.0118583722200789</v>
      </c>
      <c r="L495" s="10">
        <v>8475.9464674838891</v>
      </c>
      <c r="O495" s="14">
        <v>7.4656276977045311</v>
      </c>
      <c r="P495" s="10">
        <v>9829.4974829393032</v>
      </c>
      <c r="R495" s="19">
        <f t="shared" si="60"/>
        <v>1.4537693254844521</v>
      </c>
      <c r="S495" s="23">
        <f t="shared" si="61"/>
        <v>1353.551015455414</v>
      </c>
      <c r="U495" s="23">
        <f t="shared" si="62"/>
        <v>931.06312791705</v>
      </c>
      <c r="AA495" s="18">
        <f t="shared" si="63"/>
        <v>1</v>
      </c>
      <c r="AF495" s="23">
        <f t="shared" si="64"/>
        <v>71334.9152587672</v>
      </c>
      <c r="AL495" s="18">
        <f t="shared" si="65"/>
        <v>1</v>
      </c>
    </row>
    <row r="496" spans="9:38" x14ac:dyDescent="0.2">
      <c r="I496" s="4">
        <v>489</v>
      </c>
      <c r="K496" s="14">
        <v>6.3160498371014739</v>
      </c>
      <c r="L496" s="10">
        <v>9426.9028687501923</v>
      </c>
      <c r="O496" s="14">
        <v>7.673225022484611</v>
      </c>
      <c r="P496" s="10">
        <v>9900.7200583169652</v>
      </c>
      <c r="R496" s="19">
        <f t="shared" si="60"/>
        <v>1.3571751853831371</v>
      </c>
      <c r="S496" s="23">
        <f t="shared" si="61"/>
        <v>473.81718956677287</v>
      </c>
      <c r="U496" s="23">
        <f t="shared" si="62"/>
        <v>349.12013914623117</v>
      </c>
      <c r="AA496" s="18">
        <f t="shared" si="63"/>
        <v>1</v>
      </c>
      <c r="AF496" s="23">
        <f t="shared" si="64"/>
        <v>67384.942079590081</v>
      </c>
      <c r="AL496" s="18">
        <f t="shared" si="65"/>
        <v>1</v>
      </c>
    </row>
    <row r="497" spans="9:38" x14ac:dyDescent="0.2">
      <c r="I497" s="4">
        <v>490</v>
      </c>
      <c r="K497" s="14">
        <v>6.5385120282453091</v>
      </c>
      <c r="L497" s="10">
        <v>7419.6962900113522</v>
      </c>
      <c r="O497" s="14">
        <v>7.1050901740993666</v>
      </c>
      <c r="P497" s="10">
        <v>10012.011884289868</v>
      </c>
      <c r="R497" s="19">
        <f t="shared" si="60"/>
        <v>0.56657814585405752</v>
      </c>
      <c r="S497" s="23">
        <f t="shared" si="61"/>
        <v>2592.3155942785161</v>
      </c>
      <c r="U497" s="23">
        <f t="shared" si="62"/>
        <v>4575.3893143387495</v>
      </c>
      <c r="AA497" s="18">
        <f t="shared" si="63"/>
        <v>1</v>
      </c>
      <c r="AF497" s="23">
        <f t="shared" si="64"/>
        <v>25736.591698424359</v>
      </c>
      <c r="AL497" s="18">
        <f t="shared" si="65"/>
        <v>1</v>
      </c>
    </row>
    <row r="498" spans="9:38" x14ac:dyDescent="0.2">
      <c r="I498" s="4">
        <v>491</v>
      </c>
      <c r="K498" s="14">
        <v>6.3419461998244397</v>
      </c>
      <c r="L498" s="10">
        <v>6026.0909090013993</v>
      </c>
      <c r="O498" s="14">
        <v>7.2766600534000023</v>
      </c>
      <c r="P498" s="10">
        <v>9784.7204225716632</v>
      </c>
      <c r="R498" s="19">
        <f t="shared" si="60"/>
        <v>0.93471385357556258</v>
      </c>
      <c r="S498" s="23">
        <f t="shared" si="61"/>
        <v>3758.629513570264</v>
      </c>
      <c r="U498" s="23">
        <f t="shared" si="62"/>
        <v>4021.1552435992808</v>
      </c>
      <c r="AA498" s="18">
        <f t="shared" si="63"/>
        <v>1</v>
      </c>
      <c r="AF498" s="23">
        <f t="shared" si="64"/>
        <v>42977.063165207859</v>
      </c>
      <c r="AL498" s="18">
        <f t="shared" si="65"/>
        <v>1</v>
      </c>
    </row>
    <row r="499" spans="9:38" x14ac:dyDescent="0.2">
      <c r="I499" s="4">
        <v>492</v>
      </c>
      <c r="K499" s="14">
        <v>6.3890739346324343</v>
      </c>
      <c r="L499" s="10">
        <v>7209.8745563947168</v>
      </c>
      <c r="O499" s="14">
        <v>7.3838562053862429</v>
      </c>
      <c r="P499" s="10">
        <v>10036.439006999615</v>
      </c>
      <c r="R499" s="19">
        <f t="shared" si="60"/>
        <v>0.99478227075380854</v>
      </c>
      <c r="S499" s="23">
        <f t="shared" si="61"/>
        <v>2826.5644506048984</v>
      </c>
      <c r="U499" s="23">
        <f t="shared" si="62"/>
        <v>2841.3900545925835</v>
      </c>
      <c r="AA499" s="18">
        <f t="shared" si="63"/>
        <v>1</v>
      </c>
      <c r="AF499" s="23">
        <f t="shared" si="64"/>
        <v>46912.549087085528</v>
      </c>
      <c r="AL499" s="18">
        <f t="shared" si="65"/>
        <v>1</v>
      </c>
    </row>
    <row r="500" spans="9:38" x14ac:dyDescent="0.2">
      <c r="I500" s="4">
        <v>493</v>
      </c>
      <c r="K500" s="14">
        <v>6.8809594546385764</v>
      </c>
      <c r="L500" s="10">
        <v>7195.9486346583417</v>
      </c>
      <c r="O500" s="14">
        <v>6.7471343152393475</v>
      </c>
      <c r="P500" s="10">
        <v>9444.3376504757634</v>
      </c>
      <c r="R500" s="19">
        <f t="shared" si="60"/>
        <v>-0.13382513939922891</v>
      </c>
      <c r="S500" s="23">
        <f t="shared" si="61"/>
        <v>2248.3890158174218</v>
      </c>
      <c r="U500" s="23">
        <f t="shared" si="62"/>
        <v>-16800.946562887548</v>
      </c>
      <c r="AA500" s="18">
        <f t="shared" si="63"/>
        <v>0</v>
      </c>
      <c r="AF500" s="23">
        <f t="shared" si="64"/>
        <v>-8939.6459857788668</v>
      </c>
      <c r="AL500" s="18">
        <f t="shared" si="65"/>
        <v>0</v>
      </c>
    </row>
    <row r="501" spans="9:38" x14ac:dyDescent="0.2">
      <c r="I501" s="4">
        <v>494</v>
      </c>
      <c r="K501" s="14">
        <v>6.2944988382412994</v>
      </c>
      <c r="L501" s="10">
        <v>5458.7804980334076</v>
      </c>
      <c r="O501" s="14">
        <v>7.709318787213955</v>
      </c>
      <c r="P501" s="10">
        <v>10272.342193157192</v>
      </c>
      <c r="R501" s="19">
        <f t="shared" si="60"/>
        <v>1.4148199489726556</v>
      </c>
      <c r="S501" s="23">
        <f t="shared" si="61"/>
        <v>4813.5616951237844</v>
      </c>
      <c r="U501" s="23">
        <f t="shared" si="62"/>
        <v>3402.2433021382403</v>
      </c>
      <c r="AA501" s="18">
        <f t="shared" si="63"/>
        <v>1</v>
      </c>
      <c r="AF501" s="23">
        <f t="shared" si="64"/>
        <v>65927.435753508995</v>
      </c>
      <c r="AL501" s="18">
        <f t="shared" si="65"/>
        <v>1</v>
      </c>
    </row>
    <row r="502" spans="9:38" x14ac:dyDescent="0.2">
      <c r="I502" s="4">
        <v>495</v>
      </c>
      <c r="K502" s="14">
        <v>5.5059216063528558</v>
      </c>
      <c r="L502" s="10">
        <v>6147.4297696247995</v>
      </c>
      <c r="O502" s="14">
        <v>6.9161238416347608</v>
      </c>
      <c r="P502" s="10">
        <v>9294.6426570212425</v>
      </c>
      <c r="R502" s="19">
        <f t="shared" si="60"/>
        <v>1.410202235281905</v>
      </c>
      <c r="S502" s="23">
        <f t="shared" si="61"/>
        <v>3147.212887396443</v>
      </c>
      <c r="U502" s="23">
        <f t="shared" si="62"/>
        <v>2231.7457799003578</v>
      </c>
      <c r="AA502" s="18">
        <f t="shared" si="63"/>
        <v>1</v>
      </c>
      <c r="AF502" s="23">
        <f t="shared" si="64"/>
        <v>67362.898876698819</v>
      </c>
      <c r="AL502" s="18">
        <f t="shared" si="65"/>
        <v>1</v>
      </c>
    </row>
    <row r="503" spans="9:38" x14ac:dyDescent="0.2">
      <c r="I503" s="4">
        <v>496</v>
      </c>
      <c r="K503" s="14">
        <v>6.2370247919938002</v>
      </c>
      <c r="L503" s="10">
        <v>6735.3164716850315</v>
      </c>
      <c r="O503" s="14">
        <v>7.4873044216182825</v>
      </c>
      <c r="P503" s="10">
        <v>9789.8059850806967</v>
      </c>
      <c r="R503" s="19">
        <f t="shared" si="60"/>
        <v>1.2502796296244822</v>
      </c>
      <c r="S503" s="23">
        <f t="shared" si="61"/>
        <v>3054.4895133956652</v>
      </c>
      <c r="U503" s="23">
        <f t="shared" si="62"/>
        <v>2443.045092491087</v>
      </c>
      <c r="AA503" s="18">
        <f t="shared" si="63"/>
        <v>1</v>
      </c>
      <c r="AF503" s="23">
        <f t="shared" si="64"/>
        <v>59459.491967828442</v>
      </c>
      <c r="AL503" s="18">
        <f t="shared" si="65"/>
        <v>1</v>
      </c>
    </row>
    <row r="504" spans="9:38" x14ac:dyDescent="0.2">
      <c r="I504" s="4">
        <v>497</v>
      </c>
      <c r="K504" s="14">
        <v>6.6649235877334414</v>
      </c>
      <c r="L504" s="10">
        <v>5884.0526601659321</v>
      </c>
      <c r="O504" s="14">
        <v>7.712020245612905</v>
      </c>
      <c r="P504" s="10">
        <v>10105.491112653797</v>
      </c>
      <c r="R504" s="19">
        <f t="shared" si="60"/>
        <v>1.0470966578794636</v>
      </c>
      <c r="S504" s="23">
        <f t="shared" si="61"/>
        <v>4221.4384524878651</v>
      </c>
      <c r="U504" s="23">
        <f t="shared" si="62"/>
        <v>4031.5652052953219</v>
      </c>
      <c r="AA504" s="18">
        <f t="shared" si="63"/>
        <v>1</v>
      </c>
      <c r="AF504" s="23">
        <f t="shared" si="64"/>
        <v>48133.394441485318</v>
      </c>
      <c r="AL504" s="18">
        <f t="shared" si="65"/>
        <v>1</v>
      </c>
    </row>
    <row r="505" spans="9:38" x14ac:dyDescent="0.2">
      <c r="I505" s="4">
        <v>498</v>
      </c>
      <c r="K505" s="14">
        <v>6.652875273640686</v>
      </c>
      <c r="L505" s="10">
        <v>8336.4984500807386</v>
      </c>
      <c r="O505" s="14">
        <v>7.30909037995528</v>
      </c>
      <c r="P505" s="10">
        <v>9803.9235672848008</v>
      </c>
      <c r="R505" s="19">
        <f t="shared" si="60"/>
        <v>0.65621510631459401</v>
      </c>
      <c r="S505" s="23">
        <f t="shared" si="61"/>
        <v>1467.4251172040622</v>
      </c>
      <c r="U505" s="23">
        <f t="shared" si="62"/>
        <v>2236.1952705498502</v>
      </c>
      <c r="AA505" s="18">
        <f t="shared" si="63"/>
        <v>1</v>
      </c>
      <c r="AF505" s="23">
        <f t="shared" si="64"/>
        <v>31343.33019852564</v>
      </c>
      <c r="AL505" s="18">
        <f t="shared" si="65"/>
        <v>1</v>
      </c>
    </row>
    <row r="506" spans="9:38" x14ac:dyDescent="0.2">
      <c r="I506" s="4">
        <v>499</v>
      </c>
      <c r="K506" s="14">
        <v>6.5592794909309191</v>
      </c>
      <c r="L506" s="10">
        <v>6638.6503358095024</v>
      </c>
      <c r="O506" s="14">
        <v>7.3659506357358771</v>
      </c>
      <c r="P506" s="10">
        <v>9654.1377103145005</v>
      </c>
      <c r="R506" s="19">
        <f t="shared" si="60"/>
        <v>0.80667114480495794</v>
      </c>
      <c r="S506" s="23">
        <f t="shared" si="61"/>
        <v>3015.4873745049981</v>
      </c>
      <c r="U506" s="23">
        <f t="shared" si="62"/>
        <v>3738.1867368444196</v>
      </c>
      <c r="AA506" s="18">
        <f t="shared" si="63"/>
        <v>1</v>
      </c>
      <c r="AF506" s="23">
        <f t="shared" si="64"/>
        <v>37318.069865742895</v>
      </c>
      <c r="AL506" s="18">
        <f t="shared" si="65"/>
        <v>1</v>
      </c>
    </row>
    <row r="507" spans="9:38" x14ac:dyDescent="0.2">
      <c r="I507" s="4">
        <v>500</v>
      </c>
      <c r="K507" s="14">
        <v>5.8688140540497411</v>
      </c>
      <c r="L507" s="10">
        <v>6856.5232902114012</v>
      </c>
      <c r="O507" s="14">
        <v>7.1019197548361408</v>
      </c>
      <c r="P507" s="10">
        <v>9910.6013668103296</v>
      </c>
      <c r="R507" s="19">
        <f t="shared" si="60"/>
        <v>1.2331057007863997</v>
      </c>
      <c r="S507" s="23">
        <f t="shared" si="61"/>
        <v>3054.0780765989284</v>
      </c>
      <c r="U507" s="23">
        <f t="shared" si="62"/>
        <v>2476.7366452455967</v>
      </c>
      <c r="AA507" s="18">
        <f t="shared" si="63"/>
        <v>1</v>
      </c>
      <c r="AF507" s="23">
        <f t="shared" si="64"/>
        <v>58601.206962721059</v>
      </c>
      <c r="AL507" s="18">
        <f t="shared" si="65"/>
        <v>1</v>
      </c>
    </row>
    <row r="508" spans="9:38" x14ac:dyDescent="0.2">
      <c r="I508" s="4">
        <v>501</v>
      </c>
      <c r="K508" s="14">
        <v>6.171233646437682</v>
      </c>
      <c r="L508" s="10">
        <v>6090.5028287298283</v>
      </c>
      <c r="O508" s="14">
        <v>7.2397235868790437</v>
      </c>
      <c r="P508" s="10">
        <v>10042.036977795316</v>
      </c>
      <c r="R508" s="19">
        <f t="shared" si="60"/>
        <v>1.0684899404413617</v>
      </c>
      <c r="S508" s="23">
        <f t="shared" si="61"/>
        <v>3951.5341490654882</v>
      </c>
      <c r="U508" s="23">
        <f t="shared" si="62"/>
        <v>3698.2417891863597</v>
      </c>
      <c r="AA508" s="18">
        <f t="shared" si="63"/>
        <v>1</v>
      </c>
      <c r="AF508" s="23">
        <f t="shared" si="64"/>
        <v>49472.962873002594</v>
      </c>
      <c r="AL508" s="18">
        <f t="shared" si="65"/>
        <v>1</v>
      </c>
    </row>
    <row r="509" spans="9:38" x14ac:dyDescent="0.2">
      <c r="I509" s="4">
        <v>502</v>
      </c>
      <c r="K509" s="14">
        <v>6.9103676450650777</v>
      </c>
      <c r="L509" s="10">
        <v>7804.2753828196883</v>
      </c>
      <c r="O509" s="14">
        <v>7.1633501048256178</v>
      </c>
      <c r="P509" s="10">
        <v>9854.6260207647756</v>
      </c>
      <c r="R509" s="19">
        <f t="shared" si="60"/>
        <v>0.25298245976054012</v>
      </c>
      <c r="S509" s="23">
        <f t="shared" si="61"/>
        <v>2050.3506379450873</v>
      </c>
      <c r="U509" s="23">
        <f t="shared" si="62"/>
        <v>8104.7146109886089</v>
      </c>
      <c r="AA509" s="18">
        <f t="shared" si="63"/>
        <v>1</v>
      </c>
      <c r="AF509" s="23">
        <f t="shared" si="64"/>
        <v>10598.772350081919</v>
      </c>
      <c r="AL509" s="18">
        <f t="shared" si="65"/>
        <v>1</v>
      </c>
    </row>
    <row r="510" spans="9:38" x14ac:dyDescent="0.2">
      <c r="I510" s="4">
        <v>503</v>
      </c>
      <c r="K510" s="14">
        <v>6.6292066128692655</v>
      </c>
      <c r="L510" s="10">
        <v>9597.0589097312695</v>
      </c>
      <c r="O510" s="14">
        <v>6.4932704322958532</v>
      </c>
      <c r="P510" s="10">
        <v>9476.6740538681697</v>
      </c>
      <c r="R510" s="19">
        <f t="shared" si="60"/>
        <v>-0.13593618057341228</v>
      </c>
      <c r="S510" s="23">
        <f t="shared" si="61"/>
        <v>-120.3848558630998</v>
      </c>
      <c r="U510" s="23">
        <f t="shared" si="62"/>
        <v>885.59834000989906</v>
      </c>
      <c r="AA510" s="18">
        <f t="shared" si="63"/>
        <v>0</v>
      </c>
      <c r="AF510" s="23">
        <f t="shared" si="64"/>
        <v>-6676.424172807514</v>
      </c>
      <c r="AL510" s="18">
        <f t="shared" si="65"/>
        <v>0</v>
      </c>
    </row>
    <row r="511" spans="9:38" x14ac:dyDescent="0.2">
      <c r="I511" s="4">
        <v>504</v>
      </c>
      <c r="K511" s="14">
        <v>6.8587891781502393</v>
      </c>
      <c r="L511" s="10">
        <v>7325.999106275598</v>
      </c>
      <c r="O511" s="14">
        <v>7.4202393990260944</v>
      </c>
      <c r="P511" s="10">
        <v>10197.832655108441</v>
      </c>
      <c r="R511" s="19">
        <f t="shared" si="60"/>
        <v>0.56145022087585517</v>
      </c>
      <c r="S511" s="23">
        <f t="shared" si="61"/>
        <v>2871.833548832843</v>
      </c>
      <c r="U511" s="23">
        <f t="shared" si="62"/>
        <v>5115.0279081782519</v>
      </c>
      <c r="AA511" s="18">
        <f t="shared" si="63"/>
        <v>1</v>
      </c>
      <c r="AF511" s="23">
        <f t="shared" si="64"/>
        <v>25200.677494959913</v>
      </c>
      <c r="AL511" s="18">
        <f t="shared" si="65"/>
        <v>1</v>
      </c>
    </row>
    <row r="512" spans="9:38" x14ac:dyDescent="0.2">
      <c r="I512" s="4">
        <v>505</v>
      </c>
      <c r="K512" s="14">
        <v>6.3173099715422607</v>
      </c>
      <c r="L512" s="10">
        <v>6966.4924936794214</v>
      </c>
      <c r="O512" s="14">
        <v>6.8991152162595135</v>
      </c>
      <c r="P512" s="10">
        <v>9609.6534265963655</v>
      </c>
      <c r="R512" s="19">
        <f t="shared" si="60"/>
        <v>0.58180524471725281</v>
      </c>
      <c r="S512" s="23">
        <f t="shared" si="61"/>
        <v>2643.1609329169441</v>
      </c>
      <c r="U512" s="23">
        <f t="shared" si="62"/>
        <v>4543.0338707267483</v>
      </c>
      <c r="AA512" s="18">
        <f t="shared" si="63"/>
        <v>1</v>
      </c>
      <c r="AF512" s="23">
        <f t="shared" si="64"/>
        <v>26447.101302945695</v>
      </c>
      <c r="AL512" s="18">
        <f t="shared" si="65"/>
        <v>1</v>
      </c>
    </row>
    <row r="513" spans="9:38" x14ac:dyDescent="0.2">
      <c r="I513" s="4">
        <v>506</v>
      </c>
      <c r="K513" s="14">
        <v>6.6537452307094087</v>
      </c>
      <c r="L513" s="10">
        <v>7878.6345740290653</v>
      </c>
      <c r="O513" s="14">
        <v>7.4499876008479911</v>
      </c>
      <c r="P513" s="10">
        <v>10249.908662770295</v>
      </c>
      <c r="R513" s="19">
        <f t="shared" si="60"/>
        <v>0.79624237013858234</v>
      </c>
      <c r="S513" s="23">
        <f t="shared" si="61"/>
        <v>2371.2740887412292</v>
      </c>
      <c r="U513" s="23">
        <f t="shared" si="62"/>
        <v>2978.0807674534071</v>
      </c>
      <c r="AA513" s="18">
        <f t="shared" si="63"/>
        <v>1</v>
      </c>
      <c r="AF513" s="23">
        <f t="shared" si="64"/>
        <v>37440.844418187888</v>
      </c>
      <c r="AL513" s="18">
        <f t="shared" si="65"/>
        <v>1</v>
      </c>
    </row>
    <row r="514" spans="9:38" x14ac:dyDescent="0.2">
      <c r="I514" s="4">
        <v>507</v>
      </c>
      <c r="K514" s="14">
        <v>5.7951967273840932</v>
      </c>
      <c r="L514" s="10">
        <v>7042.5588761372583</v>
      </c>
      <c r="O514" s="14">
        <v>6.8687042924825592</v>
      </c>
      <c r="P514" s="10">
        <v>9398.7403515963342</v>
      </c>
      <c r="R514" s="19">
        <f t="shared" si="60"/>
        <v>1.073507565098466</v>
      </c>
      <c r="S514" s="23">
        <f t="shared" si="61"/>
        <v>2356.181475459076</v>
      </c>
      <c r="U514" s="23">
        <f t="shared" si="62"/>
        <v>2194.8438483924037</v>
      </c>
      <c r="AA514" s="18">
        <f t="shared" si="63"/>
        <v>1</v>
      </c>
      <c r="AF514" s="23">
        <f t="shared" si="64"/>
        <v>51319.196779464226</v>
      </c>
      <c r="AL514" s="18">
        <f t="shared" si="65"/>
        <v>1</v>
      </c>
    </row>
    <row r="515" spans="9:38" x14ac:dyDescent="0.2">
      <c r="I515" s="4">
        <v>508</v>
      </c>
      <c r="K515" s="14">
        <v>6.6565792317037564</v>
      </c>
      <c r="L515" s="10">
        <v>7299.8809873653108</v>
      </c>
      <c r="O515" s="14">
        <v>7.1427896152384474</v>
      </c>
      <c r="P515" s="10">
        <v>9451.3024815290337</v>
      </c>
      <c r="R515" s="19">
        <f t="shared" si="60"/>
        <v>0.48621038353469093</v>
      </c>
      <c r="S515" s="23">
        <f t="shared" si="61"/>
        <v>2151.4214941637229</v>
      </c>
      <c r="U515" s="23">
        <f t="shared" si="62"/>
        <v>4424.8777217038187</v>
      </c>
      <c r="AA515" s="18">
        <f t="shared" si="63"/>
        <v>1</v>
      </c>
      <c r="AF515" s="23">
        <f t="shared" si="64"/>
        <v>22159.097682570824</v>
      </c>
      <c r="AL515" s="18">
        <f t="shared" si="65"/>
        <v>1</v>
      </c>
    </row>
    <row r="516" spans="9:38" x14ac:dyDescent="0.2">
      <c r="I516" s="4">
        <v>509</v>
      </c>
      <c r="K516" s="14">
        <v>6.3621195224921303</v>
      </c>
      <c r="L516" s="10">
        <v>5978.0205323819046</v>
      </c>
      <c r="O516" s="14">
        <v>7.5944585246194514</v>
      </c>
      <c r="P516" s="10">
        <v>9961.066090467275</v>
      </c>
      <c r="R516" s="19">
        <f t="shared" si="60"/>
        <v>1.2323390021273211</v>
      </c>
      <c r="S516" s="23">
        <f t="shared" si="61"/>
        <v>3983.0455580853704</v>
      </c>
      <c r="U516" s="23">
        <f t="shared" si="62"/>
        <v>3232.1021660514284</v>
      </c>
      <c r="AA516" s="18">
        <f t="shared" si="63"/>
        <v>1</v>
      </c>
      <c r="AF516" s="23">
        <f t="shared" si="64"/>
        <v>57633.904548280683</v>
      </c>
      <c r="AL516" s="18">
        <f t="shared" si="65"/>
        <v>1</v>
      </c>
    </row>
    <row r="517" spans="9:38" x14ac:dyDescent="0.2">
      <c r="I517" s="4">
        <v>510</v>
      </c>
      <c r="K517" s="14">
        <v>6.2619907769175009</v>
      </c>
      <c r="L517" s="10">
        <v>7011.1897153016016</v>
      </c>
      <c r="O517" s="14">
        <v>7.2907084608419943</v>
      </c>
      <c r="P517" s="10">
        <v>9658.7447071369443</v>
      </c>
      <c r="R517" s="19">
        <f t="shared" si="60"/>
        <v>1.0287176839244934</v>
      </c>
      <c r="S517" s="23">
        <f t="shared" si="61"/>
        <v>2647.5549918353427</v>
      </c>
      <c r="U517" s="23">
        <f t="shared" si="62"/>
        <v>2573.6458439550556</v>
      </c>
      <c r="AA517" s="18">
        <f t="shared" si="63"/>
        <v>1</v>
      </c>
      <c r="AF517" s="23">
        <f t="shared" si="64"/>
        <v>48788.329204389323</v>
      </c>
      <c r="AL517" s="18">
        <f t="shared" si="65"/>
        <v>1</v>
      </c>
    </row>
    <row r="518" spans="9:38" x14ac:dyDescent="0.2">
      <c r="I518" s="4">
        <v>511</v>
      </c>
      <c r="K518" s="14">
        <v>6.7116201694193478</v>
      </c>
      <c r="L518" s="10">
        <v>6471.9121068407958</v>
      </c>
      <c r="O518" s="14">
        <v>6.9897203460334936</v>
      </c>
      <c r="P518" s="10">
        <v>9378.3274068024421</v>
      </c>
      <c r="R518" s="19">
        <f t="shared" si="60"/>
        <v>0.27810017661414577</v>
      </c>
      <c r="S518" s="23">
        <f t="shared" si="61"/>
        <v>2906.4152999616463</v>
      </c>
      <c r="U518" s="23">
        <f t="shared" si="62"/>
        <v>10450.965315258305</v>
      </c>
      <c r="AA518" s="18">
        <f t="shared" si="63"/>
        <v>1</v>
      </c>
      <c r="AF518" s="23">
        <f t="shared" si="64"/>
        <v>10998.593530745642</v>
      </c>
      <c r="AL518" s="18">
        <f t="shared" si="65"/>
        <v>1</v>
      </c>
    </row>
    <row r="519" spans="9:38" x14ac:dyDescent="0.2">
      <c r="I519" s="4">
        <v>512</v>
      </c>
      <c r="K519" s="14">
        <v>6.432265323431924</v>
      </c>
      <c r="L519" s="10">
        <v>7986.5962079314813</v>
      </c>
      <c r="O519" s="14">
        <v>7.1559239527229206</v>
      </c>
      <c r="P519" s="10">
        <v>10414.826099983549</v>
      </c>
      <c r="R519" s="19">
        <f t="shared" si="60"/>
        <v>0.72365862929099656</v>
      </c>
      <c r="S519" s="23">
        <f t="shared" si="61"/>
        <v>2428.229892052068</v>
      </c>
      <c r="U519" s="23">
        <f t="shared" si="62"/>
        <v>3355.4908264289234</v>
      </c>
      <c r="AA519" s="18">
        <f t="shared" si="63"/>
        <v>1</v>
      </c>
      <c r="AF519" s="23">
        <f t="shared" si="64"/>
        <v>33754.701572497761</v>
      </c>
      <c r="AL519" s="18">
        <f t="shared" si="65"/>
        <v>1</v>
      </c>
    </row>
    <row r="520" spans="9:38" x14ac:dyDescent="0.2">
      <c r="I520" s="4">
        <v>513</v>
      </c>
      <c r="K520" s="14">
        <v>5.9614408394090761</v>
      </c>
      <c r="L520" s="10">
        <v>8639.356982112944</v>
      </c>
      <c r="O520" s="14">
        <v>7.2278598873923947</v>
      </c>
      <c r="P520" s="10">
        <v>9573.7650610651508</v>
      </c>
      <c r="R520" s="19">
        <f t="shared" ref="R520:R583" si="66">O520-K520</f>
        <v>1.2664190479833186</v>
      </c>
      <c r="S520" s="23">
        <f t="shared" ref="S520:S583" si="67">P520-L520</f>
        <v>934.40807895220678</v>
      </c>
      <c r="U520" s="23">
        <f t="shared" ref="U520:U583" si="68">S520/R520</f>
        <v>737.83482682148895</v>
      </c>
      <c r="AA520" s="18">
        <f t="shared" ref="AA520:AA583" si="69">IF(R520&lt;0,IF(U520&lt;Rc_,0,1),IF(U520&lt;Rc_,1,0))</f>
        <v>1</v>
      </c>
      <c r="AF520" s="23">
        <f t="shared" ref="AF520:AF583" si="70">R520*Rc_-S520</f>
        <v>62386.544320213725</v>
      </c>
      <c r="AL520" s="18">
        <f t="shared" ref="AL520:AL583" si="71">IF(AF520&gt;0,1,0)</f>
        <v>1</v>
      </c>
    </row>
    <row r="521" spans="9:38" x14ac:dyDescent="0.2">
      <c r="I521" s="4">
        <v>514</v>
      </c>
      <c r="K521" s="14">
        <v>6.7086941255873977</v>
      </c>
      <c r="L521" s="10">
        <v>8011.6093316191264</v>
      </c>
      <c r="O521" s="14">
        <v>7.0212878057485568</v>
      </c>
      <c r="P521" s="10">
        <v>9797.35126049686</v>
      </c>
      <c r="R521" s="19">
        <f t="shared" si="66"/>
        <v>0.31259368016115907</v>
      </c>
      <c r="S521" s="23">
        <f t="shared" si="67"/>
        <v>1785.7419288777337</v>
      </c>
      <c r="U521" s="23">
        <f t="shared" si="68"/>
        <v>5712.6616506037053</v>
      </c>
      <c r="AA521" s="18">
        <f t="shared" si="69"/>
        <v>1</v>
      </c>
      <c r="AF521" s="23">
        <f t="shared" si="70"/>
        <v>13843.942079180219</v>
      </c>
      <c r="AL521" s="18">
        <f t="shared" si="71"/>
        <v>1</v>
      </c>
    </row>
    <row r="522" spans="9:38" x14ac:dyDescent="0.2">
      <c r="I522" s="4">
        <v>515</v>
      </c>
      <c r="K522" s="14">
        <v>6.801877455324254</v>
      </c>
      <c r="L522" s="10">
        <v>6393.6116556336792</v>
      </c>
      <c r="O522" s="14">
        <v>6.756673735059044</v>
      </c>
      <c r="P522" s="10">
        <v>9714.9008036556479</v>
      </c>
      <c r="R522" s="19">
        <f t="shared" si="66"/>
        <v>-4.5203720265210023E-2</v>
      </c>
      <c r="S522" s="23">
        <f t="shared" si="67"/>
        <v>3321.2891480219687</v>
      </c>
      <c r="U522" s="23">
        <f t="shared" si="68"/>
        <v>-73473.801017614926</v>
      </c>
      <c r="AA522" s="18">
        <f t="shared" si="69"/>
        <v>0</v>
      </c>
      <c r="AF522" s="23">
        <f t="shared" si="70"/>
        <v>-5581.4751612824693</v>
      </c>
      <c r="AL522" s="18">
        <f t="shared" si="71"/>
        <v>0</v>
      </c>
    </row>
    <row r="523" spans="9:38" x14ac:dyDescent="0.2">
      <c r="I523" s="4">
        <v>516</v>
      </c>
      <c r="K523" s="14">
        <v>6.3909399569657719</v>
      </c>
      <c r="L523" s="10">
        <v>8470.4193627951063</v>
      </c>
      <c r="O523" s="14">
        <v>6.5991140722298987</v>
      </c>
      <c r="P523" s="10">
        <v>9127.0253071529678</v>
      </c>
      <c r="R523" s="19">
        <f t="shared" si="66"/>
        <v>0.20817411526412677</v>
      </c>
      <c r="S523" s="23">
        <f t="shared" si="67"/>
        <v>656.60594435786152</v>
      </c>
      <c r="U523" s="23">
        <f t="shared" si="68"/>
        <v>3154.1190581008318</v>
      </c>
      <c r="AA523" s="18">
        <f t="shared" si="69"/>
        <v>1</v>
      </c>
      <c r="AF523" s="23">
        <f t="shared" si="70"/>
        <v>9752.0998188484773</v>
      </c>
      <c r="AL523" s="18">
        <f t="shared" si="71"/>
        <v>1</v>
      </c>
    </row>
    <row r="524" spans="9:38" x14ac:dyDescent="0.2">
      <c r="I524" s="4">
        <v>517</v>
      </c>
      <c r="K524" s="14">
        <v>6.4414308437895658</v>
      </c>
      <c r="L524" s="10">
        <v>5921.3611798131969</v>
      </c>
      <c r="O524" s="14">
        <v>7.3435255933276826</v>
      </c>
      <c r="P524" s="10">
        <v>9944.6820427227503</v>
      </c>
      <c r="R524" s="19">
        <f t="shared" si="66"/>
        <v>0.90209474953811686</v>
      </c>
      <c r="S524" s="23">
        <f t="shared" si="67"/>
        <v>4023.3208629095534</v>
      </c>
      <c r="U524" s="23">
        <f t="shared" si="68"/>
        <v>4459.9759226728029</v>
      </c>
      <c r="AA524" s="18">
        <f t="shared" si="69"/>
        <v>1</v>
      </c>
      <c r="AF524" s="23">
        <f t="shared" si="70"/>
        <v>41081.416613996291</v>
      </c>
      <c r="AL524" s="18">
        <f t="shared" si="71"/>
        <v>1</v>
      </c>
    </row>
    <row r="525" spans="9:38" x14ac:dyDescent="0.2">
      <c r="I525" s="4">
        <v>518</v>
      </c>
      <c r="K525" s="14">
        <v>6.8732280271867907</v>
      </c>
      <c r="L525" s="10">
        <v>7745.6185243582349</v>
      </c>
      <c r="O525" s="14">
        <v>6.5268518297688329</v>
      </c>
      <c r="P525" s="10">
        <v>9420.8414751749751</v>
      </c>
      <c r="R525" s="19">
        <f t="shared" si="66"/>
        <v>-0.34637619741795778</v>
      </c>
      <c r="S525" s="23">
        <f t="shared" si="67"/>
        <v>1675.2229508167402</v>
      </c>
      <c r="U525" s="23">
        <f t="shared" si="68"/>
        <v>-4836.4262997994583</v>
      </c>
      <c r="AA525" s="18">
        <f t="shared" si="69"/>
        <v>0</v>
      </c>
      <c r="AF525" s="23">
        <f t="shared" si="70"/>
        <v>-18994.032821714631</v>
      </c>
      <c r="AL525" s="18">
        <f t="shared" si="71"/>
        <v>0</v>
      </c>
    </row>
    <row r="526" spans="9:38" x14ac:dyDescent="0.2">
      <c r="I526" s="4">
        <v>519</v>
      </c>
      <c r="K526" s="14">
        <v>6.2309024166517997</v>
      </c>
      <c r="L526" s="10">
        <v>5760.7550632013672</v>
      </c>
      <c r="O526" s="14">
        <v>6.9489242562939957</v>
      </c>
      <c r="P526" s="10">
        <v>9658.3796661220949</v>
      </c>
      <c r="R526" s="19">
        <f t="shared" si="66"/>
        <v>0.71802183964219601</v>
      </c>
      <c r="S526" s="23">
        <f t="shared" si="67"/>
        <v>3897.6246029207277</v>
      </c>
      <c r="U526" s="23">
        <f t="shared" si="68"/>
        <v>5428.2814083524099</v>
      </c>
      <c r="AA526" s="18">
        <f t="shared" si="69"/>
        <v>1</v>
      </c>
      <c r="AF526" s="23">
        <f t="shared" si="70"/>
        <v>32003.467379189071</v>
      </c>
      <c r="AL526" s="18">
        <f t="shared" si="71"/>
        <v>1</v>
      </c>
    </row>
    <row r="527" spans="9:38" x14ac:dyDescent="0.2">
      <c r="I527" s="4">
        <v>520</v>
      </c>
      <c r="K527" s="14">
        <v>6.2506179765644303</v>
      </c>
      <c r="L527" s="10">
        <v>6691.0097162086258</v>
      </c>
      <c r="O527" s="14">
        <v>8.0939198408741078</v>
      </c>
      <c r="P527" s="10">
        <v>10427.131724584395</v>
      </c>
      <c r="R527" s="19">
        <f t="shared" si="66"/>
        <v>1.8433018643096775</v>
      </c>
      <c r="S527" s="23">
        <f t="shared" si="67"/>
        <v>3736.1220083757689</v>
      </c>
      <c r="U527" s="23">
        <f t="shared" si="68"/>
        <v>2026.8639015210667</v>
      </c>
      <c r="AA527" s="18">
        <f t="shared" si="69"/>
        <v>1</v>
      </c>
      <c r="AF527" s="23">
        <f t="shared" si="70"/>
        <v>88428.971207108101</v>
      </c>
      <c r="AL527" s="18">
        <f t="shared" si="71"/>
        <v>1</v>
      </c>
    </row>
    <row r="528" spans="9:38" x14ac:dyDescent="0.2">
      <c r="I528" s="4">
        <v>521</v>
      </c>
      <c r="K528" s="14">
        <v>6.8484648534607171</v>
      </c>
      <c r="L528" s="10">
        <v>9661.8422661541881</v>
      </c>
      <c r="O528" s="14">
        <v>7.8823790473612716</v>
      </c>
      <c r="P528" s="10">
        <v>11186.388614768039</v>
      </c>
      <c r="R528" s="19">
        <f t="shared" si="66"/>
        <v>1.0339141939005545</v>
      </c>
      <c r="S528" s="23">
        <f t="shared" si="67"/>
        <v>1524.5463486138506</v>
      </c>
      <c r="U528" s="23">
        <f t="shared" si="68"/>
        <v>1474.5385619113445</v>
      </c>
      <c r="AA528" s="18">
        <f t="shared" si="69"/>
        <v>1</v>
      </c>
      <c r="AF528" s="23">
        <f t="shared" si="70"/>
        <v>50171.163346413872</v>
      </c>
      <c r="AL528" s="18">
        <f t="shared" si="71"/>
        <v>1</v>
      </c>
    </row>
    <row r="529" spans="9:38" x14ac:dyDescent="0.2">
      <c r="I529" s="4">
        <v>522</v>
      </c>
      <c r="K529" s="14">
        <v>6.2203215214698666</v>
      </c>
      <c r="L529" s="10">
        <v>8687.6022173662514</v>
      </c>
      <c r="O529" s="14">
        <v>7.078415029557668</v>
      </c>
      <c r="P529" s="10">
        <v>10049.118485000159</v>
      </c>
      <c r="R529" s="19">
        <f t="shared" si="66"/>
        <v>0.85809350808780138</v>
      </c>
      <c r="S529" s="23">
        <f t="shared" si="67"/>
        <v>1361.5162676339078</v>
      </c>
      <c r="U529" s="23">
        <f t="shared" si="68"/>
        <v>1586.675874833207</v>
      </c>
      <c r="AA529" s="18">
        <f t="shared" si="69"/>
        <v>1</v>
      </c>
      <c r="AF529" s="23">
        <f t="shared" si="70"/>
        <v>41543.159136756156</v>
      </c>
      <c r="AL529" s="18">
        <f t="shared" si="71"/>
        <v>1</v>
      </c>
    </row>
    <row r="530" spans="9:38" x14ac:dyDescent="0.2">
      <c r="I530" s="4">
        <v>523</v>
      </c>
      <c r="K530" s="14">
        <v>6.4783725121350741</v>
      </c>
      <c r="L530" s="10">
        <v>6416.6968186451195</v>
      </c>
      <c r="O530" s="14">
        <v>6.8459768604973901</v>
      </c>
      <c r="P530" s="10">
        <v>8882.8118447956531</v>
      </c>
      <c r="R530" s="19">
        <f t="shared" si="66"/>
        <v>0.36760434836231592</v>
      </c>
      <c r="S530" s="23">
        <f t="shared" si="67"/>
        <v>2466.1150261505336</v>
      </c>
      <c r="U530" s="23">
        <f t="shared" si="68"/>
        <v>6708.6122270781643</v>
      </c>
      <c r="AA530" s="18">
        <f t="shared" si="69"/>
        <v>1</v>
      </c>
      <c r="AF530" s="23">
        <f t="shared" si="70"/>
        <v>15914.102391965263</v>
      </c>
      <c r="AL530" s="18">
        <f t="shared" si="71"/>
        <v>1</v>
      </c>
    </row>
    <row r="531" spans="9:38" x14ac:dyDescent="0.2">
      <c r="I531" s="4">
        <v>524</v>
      </c>
      <c r="K531" s="14">
        <v>6.3650803617676033</v>
      </c>
      <c r="L531" s="10">
        <v>7187.9764134895486</v>
      </c>
      <c r="O531" s="14">
        <v>6.5848707887701403</v>
      </c>
      <c r="P531" s="10">
        <v>9445.5625815844669</v>
      </c>
      <c r="R531" s="19">
        <f t="shared" si="66"/>
        <v>0.21979042700253704</v>
      </c>
      <c r="S531" s="23">
        <f t="shared" si="67"/>
        <v>2257.5861680949183</v>
      </c>
      <c r="U531" s="23">
        <f t="shared" si="68"/>
        <v>10271.540025120654</v>
      </c>
      <c r="AA531" s="18">
        <f t="shared" si="69"/>
        <v>1</v>
      </c>
      <c r="AF531" s="23">
        <f t="shared" si="70"/>
        <v>8731.9351820319334</v>
      </c>
      <c r="AL531" s="18">
        <f t="shared" si="71"/>
        <v>1</v>
      </c>
    </row>
    <row r="532" spans="9:38" x14ac:dyDescent="0.2">
      <c r="I532" s="4">
        <v>525</v>
      </c>
      <c r="K532" s="14">
        <v>6.7772121696529357</v>
      </c>
      <c r="L532" s="10">
        <v>5882.6653363593095</v>
      </c>
      <c r="O532" s="14">
        <v>7.6740486996256401</v>
      </c>
      <c r="P532" s="10">
        <v>10373.074083067839</v>
      </c>
      <c r="R532" s="19">
        <f t="shared" si="66"/>
        <v>0.89683652997270435</v>
      </c>
      <c r="S532" s="23">
        <f t="shared" si="67"/>
        <v>4490.4087467085292</v>
      </c>
      <c r="U532" s="23">
        <f t="shared" si="68"/>
        <v>5006.942287291974</v>
      </c>
      <c r="AA532" s="18">
        <f t="shared" si="69"/>
        <v>1</v>
      </c>
      <c r="AF532" s="23">
        <f t="shared" si="70"/>
        <v>40351.417751926689</v>
      </c>
      <c r="AL532" s="18">
        <f t="shared" si="71"/>
        <v>1</v>
      </c>
    </row>
    <row r="533" spans="9:38" x14ac:dyDescent="0.2">
      <c r="I533" s="4">
        <v>526</v>
      </c>
      <c r="K533" s="14">
        <v>6.018709128873116</v>
      </c>
      <c r="L533" s="10">
        <v>7335.4385835603143</v>
      </c>
      <c r="O533" s="14">
        <v>7.4022915883225595</v>
      </c>
      <c r="P533" s="10">
        <v>9532.7777640747299</v>
      </c>
      <c r="R533" s="19">
        <f t="shared" si="66"/>
        <v>1.3835824594494435</v>
      </c>
      <c r="S533" s="23">
        <f t="shared" si="67"/>
        <v>2197.3391805144156</v>
      </c>
      <c r="U533" s="23">
        <f t="shared" si="68"/>
        <v>1588.1519496776384</v>
      </c>
      <c r="AA533" s="18">
        <f t="shared" si="69"/>
        <v>1</v>
      </c>
      <c r="AF533" s="23">
        <f t="shared" si="70"/>
        <v>66981.783791957758</v>
      </c>
      <c r="AL533" s="18">
        <f t="shared" si="71"/>
        <v>1</v>
      </c>
    </row>
    <row r="534" spans="9:38" x14ac:dyDescent="0.2">
      <c r="I534" s="4">
        <v>527</v>
      </c>
      <c r="K534" s="14">
        <v>6.3331762645347007</v>
      </c>
      <c r="L534" s="10">
        <v>7549.565721077126</v>
      </c>
      <c r="O534" s="14">
        <v>7.1738959875534842</v>
      </c>
      <c r="P534" s="10">
        <v>9365.3675233029171</v>
      </c>
      <c r="R534" s="19">
        <f t="shared" si="66"/>
        <v>0.8407197230187835</v>
      </c>
      <c r="S534" s="23">
        <f t="shared" si="67"/>
        <v>1815.8018022257911</v>
      </c>
      <c r="U534" s="23">
        <f t="shared" si="68"/>
        <v>2159.8182515639901</v>
      </c>
      <c r="AA534" s="18">
        <f t="shared" si="69"/>
        <v>1</v>
      </c>
      <c r="AF534" s="23">
        <f t="shared" si="70"/>
        <v>40220.184348713388</v>
      </c>
      <c r="AL534" s="18">
        <f t="shared" si="71"/>
        <v>1</v>
      </c>
    </row>
    <row r="535" spans="9:38" x14ac:dyDescent="0.2">
      <c r="I535" s="4">
        <v>528</v>
      </c>
      <c r="K535" s="14">
        <v>6.483754251091165</v>
      </c>
      <c r="L535" s="10">
        <v>7010.4356223993645</v>
      </c>
      <c r="O535" s="14">
        <v>6.6283300943933341</v>
      </c>
      <c r="P535" s="10">
        <v>9481.326021131712</v>
      </c>
      <c r="R535" s="19">
        <f t="shared" si="66"/>
        <v>0.1445758433021691</v>
      </c>
      <c r="S535" s="23">
        <f t="shared" si="67"/>
        <v>2470.8903987323474</v>
      </c>
      <c r="U535" s="23">
        <f t="shared" si="68"/>
        <v>17090.617231041088</v>
      </c>
      <c r="AA535" s="18">
        <f t="shared" si="69"/>
        <v>1</v>
      </c>
      <c r="AF535" s="23">
        <f t="shared" si="70"/>
        <v>4757.9017663761078</v>
      </c>
      <c r="AL535" s="18">
        <f t="shared" si="71"/>
        <v>1</v>
      </c>
    </row>
    <row r="536" spans="9:38" x14ac:dyDescent="0.2">
      <c r="I536" s="4">
        <v>529</v>
      </c>
      <c r="K536" s="14">
        <v>6.6520484109055795</v>
      </c>
      <c r="L536" s="10">
        <v>5965.7491455785666</v>
      </c>
      <c r="O536" s="14">
        <v>7.1572040773926622</v>
      </c>
      <c r="P536" s="10">
        <v>9332.5905856307345</v>
      </c>
      <c r="R536" s="19">
        <f t="shared" si="66"/>
        <v>0.50515566648708266</v>
      </c>
      <c r="S536" s="23">
        <f t="shared" si="67"/>
        <v>3366.8414400521679</v>
      </c>
      <c r="U536" s="23">
        <f t="shared" si="68"/>
        <v>6664.9582760609528</v>
      </c>
      <c r="AA536" s="18">
        <f t="shared" si="69"/>
        <v>1</v>
      </c>
      <c r="AF536" s="23">
        <f t="shared" si="70"/>
        <v>21890.941884301963</v>
      </c>
      <c r="AL536" s="18">
        <f t="shared" si="71"/>
        <v>1</v>
      </c>
    </row>
    <row r="537" spans="9:38" x14ac:dyDescent="0.2">
      <c r="I537" s="4">
        <v>530</v>
      </c>
      <c r="K537" s="14">
        <v>6.2261727467148935</v>
      </c>
      <c r="L537" s="10">
        <v>5797.5955360094295</v>
      </c>
      <c r="O537" s="14">
        <v>6.9884106868108429</v>
      </c>
      <c r="P537" s="10">
        <v>9318.2002479908388</v>
      </c>
      <c r="R537" s="19">
        <f t="shared" si="66"/>
        <v>0.76223794009594936</v>
      </c>
      <c r="S537" s="23">
        <f t="shared" si="67"/>
        <v>3520.6047119814093</v>
      </c>
      <c r="U537" s="23">
        <f t="shared" si="68"/>
        <v>4618.7739113828957</v>
      </c>
      <c r="AA537" s="18">
        <f t="shared" si="69"/>
        <v>1</v>
      </c>
      <c r="AF537" s="23">
        <f t="shared" si="70"/>
        <v>34591.292292816055</v>
      </c>
      <c r="AL537" s="18">
        <f t="shared" si="71"/>
        <v>1</v>
      </c>
    </row>
    <row r="538" spans="9:38" x14ac:dyDescent="0.2">
      <c r="I538" s="4">
        <v>531</v>
      </c>
      <c r="K538" s="14">
        <v>5.9170231646490583</v>
      </c>
      <c r="L538" s="10">
        <v>6676.0125601490236</v>
      </c>
      <c r="O538" s="14">
        <v>6.7345845512395206</v>
      </c>
      <c r="P538" s="10">
        <v>9141.8133438314362</v>
      </c>
      <c r="R538" s="19">
        <f t="shared" si="66"/>
        <v>0.81756138659046229</v>
      </c>
      <c r="S538" s="23">
        <f t="shared" si="67"/>
        <v>2465.8007836824127</v>
      </c>
      <c r="U538" s="23">
        <f t="shared" si="68"/>
        <v>3016.0435951674858</v>
      </c>
      <c r="AA538" s="18">
        <f t="shared" si="69"/>
        <v>1</v>
      </c>
      <c r="AF538" s="23">
        <f t="shared" si="70"/>
        <v>38412.268545840707</v>
      </c>
      <c r="AL538" s="18">
        <f t="shared" si="71"/>
        <v>1</v>
      </c>
    </row>
    <row r="539" spans="9:38" x14ac:dyDescent="0.2">
      <c r="I539" s="4">
        <v>532</v>
      </c>
      <c r="K539" s="14">
        <v>6.3857921412634786</v>
      </c>
      <c r="L539" s="10">
        <v>7706.4310976196693</v>
      </c>
      <c r="O539" s="14">
        <v>6.8384359339093814</v>
      </c>
      <c r="P539" s="10">
        <v>9496.1660545697905</v>
      </c>
      <c r="R539" s="19">
        <f t="shared" si="66"/>
        <v>0.45264379264590282</v>
      </c>
      <c r="S539" s="23">
        <f t="shared" si="67"/>
        <v>1789.7349569501212</v>
      </c>
      <c r="U539" s="23">
        <f t="shared" si="68"/>
        <v>3953.9589099153004</v>
      </c>
      <c r="AA539" s="18">
        <f t="shared" si="69"/>
        <v>1</v>
      </c>
      <c r="AF539" s="23">
        <f t="shared" si="70"/>
        <v>20842.454675345019</v>
      </c>
      <c r="AL539" s="18">
        <f t="shared" si="71"/>
        <v>1</v>
      </c>
    </row>
    <row r="540" spans="9:38" x14ac:dyDescent="0.2">
      <c r="I540" s="4">
        <v>533</v>
      </c>
      <c r="K540" s="14">
        <v>6.3549426769101958</v>
      </c>
      <c r="L540" s="10">
        <v>7571.1874801208496</v>
      </c>
      <c r="O540" s="14">
        <v>6.4830504269994345</v>
      </c>
      <c r="P540" s="10">
        <v>8818.1611249209273</v>
      </c>
      <c r="R540" s="19">
        <f t="shared" si="66"/>
        <v>0.12810775008923869</v>
      </c>
      <c r="S540" s="23">
        <f t="shared" si="67"/>
        <v>1246.9736448000776</v>
      </c>
      <c r="U540" s="23">
        <f t="shared" si="68"/>
        <v>9733.7877211288705</v>
      </c>
      <c r="AA540" s="18">
        <f t="shared" si="69"/>
        <v>1</v>
      </c>
      <c r="AF540" s="23">
        <f t="shared" si="70"/>
        <v>5158.4138596618568</v>
      </c>
      <c r="AL540" s="18">
        <f t="shared" si="71"/>
        <v>1</v>
      </c>
    </row>
    <row r="541" spans="9:38" x14ac:dyDescent="0.2">
      <c r="I541" s="4">
        <v>534</v>
      </c>
      <c r="K541" s="14">
        <v>6.36377743010455</v>
      </c>
      <c r="L541" s="10">
        <v>6208.5798387674158</v>
      </c>
      <c r="O541" s="14">
        <v>7.3152785199409776</v>
      </c>
      <c r="P541" s="10">
        <v>10076.624779297514</v>
      </c>
      <c r="R541" s="19">
        <f t="shared" si="66"/>
        <v>0.95150108983642756</v>
      </c>
      <c r="S541" s="23">
        <f t="shared" si="67"/>
        <v>3868.0449405300978</v>
      </c>
      <c r="U541" s="23">
        <f t="shared" si="68"/>
        <v>4065.2028482647906</v>
      </c>
      <c r="AA541" s="18">
        <f t="shared" si="69"/>
        <v>1</v>
      </c>
      <c r="AF541" s="23">
        <f t="shared" si="70"/>
        <v>43707.009551291281</v>
      </c>
      <c r="AL541" s="18">
        <f t="shared" si="71"/>
        <v>1</v>
      </c>
    </row>
    <row r="542" spans="9:38" x14ac:dyDescent="0.2">
      <c r="I542" s="4">
        <v>535</v>
      </c>
      <c r="K542" s="14">
        <v>6.2183295685613107</v>
      </c>
      <c r="L542" s="10">
        <v>9186.9973103334651</v>
      </c>
      <c r="O542" s="14">
        <v>7.1223711125303524</v>
      </c>
      <c r="P542" s="10">
        <v>9889.9279241703171</v>
      </c>
      <c r="R542" s="19">
        <f t="shared" si="66"/>
        <v>0.90404154396904168</v>
      </c>
      <c r="S542" s="23">
        <f t="shared" si="67"/>
        <v>702.93061383685199</v>
      </c>
      <c r="U542" s="23">
        <f t="shared" si="68"/>
        <v>777.54238013305655</v>
      </c>
      <c r="AA542" s="18">
        <f t="shared" si="69"/>
        <v>1</v>
      </c>
      <c r="AF542" s="23">
        <f t="shared" si="70"/>
        <v>44499.146584615228</v>
      </c>
      <c r="AL542" s="18">
        <f t="shared" si="71"/>
        <v>1</v>
      </c>
    </row>
    <row r="543" spans="9:38" x14ac:dyDescent="0.2">
      <c r="I543" s="4">
        <v>536</v>
      </c>
      <c r="K543" s="14">
        <v>7.2713315040297779</v>
      </c>
      <c r="L543" s="10">
        <v>7084.2012065144199</v>
      </c>
      <c r="O543" s="14">
        <v>6.9928148679507913</v>
      </c>
      <c r="P543" s="10">
        <v>10238.062538258895</v>
      </c>
      <c r="R543" s="19">
        <f t="shared" si="66"/>
        <v>-0.27851663607898658</v>
      </c>
      <c r="S543" s="23">
        <f t="shared" si="67"/>
        <v>3153.8613317444751</v>
      </c>
      <c r="U543" s="23">
        <f t="shared" si="68"/>
        <v>-11323.780784319284</v>
      </c>
      <c r="AA543" s="18">
        <f t="shared" si="69"/>
        <v>0</v>
      </c>
      <c r="AF543" s="23">
        <f t="shared" si="70"/>
        <v>-17079.693135693804</v>
      </c>
      <c r="AL543" s="18">
        <f t="shared" si="71"/>
        <v>0</v>
      </c>
    </row>
    <row r="544" spans="9:38" x14ac:dyDescent="0.2">
      <c r="I544" s="4">
        <v>537</v>
      </c>
      <c r="K544" s="14">
        <v>6.0108522195284033</v>
      </c>
      <c r="L544" s="10">
        <v>6189.4674968034587</v>
      </c>
      <c r="O544" s="14">
        <v>7.0601801229909018</v>
      </c>
      <c r="P544" s="10">
        <v>9936.7132405664524</v>
      </c>
      <c r="R544" s="19">
        <f t="shared" si="66"/>
        <v>1.0493279034624985</v>
      </c>
      <c r="S544" s="23">
        <f t="shared" si="67"/>
        <v>3747.2457437629937</v>
      </c>
      <c r="U544" s="23">
        <f t="shared" si="68"/>
        <v>3571.091297008395</v>
      </c>
      <c r="AA544" s="18">
        <f t="shared" si="69"/>
        <v>1</v>
      </c>
      <c r="AF544" s="23">
        <f t="shared" si="70"/>
        <v>48719.149429361933</v>
      </c>
      <c r="AL544" s="18">
        <f t="shared" si="71"/>
        <v>1</v>
      </c>
    </row>
    <row r="545" spans="9:38" x14ac:dyDescent="0.2">
      <c r="I545" s="4">
        <v>538</v>
      </c>
      <c r="K545" s="14">
        <v>6.4467037742489541</v>
      </c>
      <c r="L545" s="10">
        <v>9143.5770855339088</v>
      </c>
      <c r="O545" s="14">
        <v>6.8935029182467975</v>
      </c>
      <c r="P545" s="10">
        <v>9401.4903700626055</v>
      </c>
      <c r="R545" s="19">
        <f t="shared" si="66"/>
        <v>0.44679914399784337</v>
      </c>
      <c r="S545" s="23">
        <f t="shared" si="67"/>
        <v>257.91328452869675</v>
      </c>
      <c r="U545" s="23">
        <f t="shared" si="68"/>
        <v>577.24659501572739</v>
      </c>
      <c r="AA545" s="18">
        <f t="shared" si="69"/>
        <v>1</v>
      </c>
      <c r="AF545" s="23">
        <f t="shared" si="70"/>
        <v>22082.043915363472</v>
      </c>
      <c r="AL545" s="18">
        <f t="shared" si="71"/>
        <v>1</v>
      </c>
    </row>
    <row r="546" spans="9:38" x14ac:dyDescent="0.2">
      <c r="I546" s="4">
        <v>539</v>
      </c>
      <c r="K546" s="14">
        <v>6.0091900024242566</v>
      </c>
      <c r="L546" s="10">
        <v>5793.5561969986375</v>
      </c>
      <c r="O546" s="14">
        <v>7.383160187753953</v>
      </c>
      <c r="P546" s="10">
        <v>9644.9639059141446</v>
      </c>
      <c r="R546" s="19">
        <f t="shared" si="66"/>
        <v>1.3739701853296964</v>
      </c>
      <c r="S546" s="23">
        <f t="shared" si="67"/>
        <v>3851.4077089155071</v>
      </c>
      <c r="U546" s="23">
        <f t="shared" si="68"/>
        <v>2803.1232045921925</v>
      </c>
      <c r="AA546" s="18">
        <f t="shared" si="69"/>
        <v>1</v>
      </c>
      <c r="AF546" s="23">
        <f t="shared" si="70"/>
        <v>64847.101557569316</v>
      </c>
      <c r="AL546" s="18">
        <f t="shared" si="71"/>
        <v>1</v>
      </c>
    </row>
    <row r="547" spans="9:38" x14ac:dyDescent="0.2">
      <c r="I547" s="4">
        <v>540</v>
      </c>
      <c r="K547" s="14">
        <v>6.560971503674585</v>
      </c>
      <c r="L547" s="10">
        <v>5794.0239079338708</v>
      </c>
      <c r="O547" s="14">
        <v>6.7685005588790537</v>
      </c>
      <c r="P547" s="10">
        <v>9449.6490307663225</v>
      </c>
      <c r="R547" s="19">
        <f t="shared" si="66"/>
        <v>0.20752905520446863</v>
      </c>
      <c r="S547" s="23">
        <f t="shared" si="67"/>
        <v>3655.6251228324518</v>
      </c>
      <c r="U547" s="23">
        <f t="shared" si="68"/>
        <v>17615.003929116028</v>
      </c>
      <c r="AA547" s="18">
        <f t="shared" si="69"/>
        <v>1</v>
      </c>
      <c r="AF547" s="23">
        <f t="shared" si="70"/>
        <v>6720.8276373909803</v>
      </c>
      <c r="AL547" s="18">
        <f t="shared" si="71"/>
        <v>1</v>
      </c>
    </row>
    <row r="548" spans="9:38" x14ac:dyDescent="0.2">
      <c r="I548" s="4">
        <v>541</v>
      </c>
      <c r="K548" s="14">
        <v>6.5001560482896403</v>
      </c>
      <c r="L548" s="10">
        <v>8864.1814562966083</v>
      </c>
      <c r="O548" s="14">
        <v>7.1899673940914655</v>
      </c>
      <c r="P548" s="10">
        <v>9631.381925210555</v>
      </c>
      <c r="R548" s="19">
        <f t="shared" si="66"/>
        <v>0.68981134580182513</v>
      </c>
      <c r="S548" s="23">
        <f t="shared" si="67"/>
        <v>767.20046891394668</v>
      </c>
      <c r="U548" s="23">
        <f t="shared" si="68"/>
        <v>1112.1888231950807</v>
      </c>
      <c r="AA548" s="18">
        <f t="shared" si="69"/>
        <v>1</v>
      </c>
      <c r="AF548" s="23">
        <f t="shared" si="70"/>
        <v>33723.366821177304</v>
      </c>
      <c r="AL548" s="18">
        <f t="shared" si="71"/>
        <v>1</v>
      </c>
    </row>
    <row r="549" spans="9:38" x14ac:dyDescent="0.2">
      <c r="I549" s="4">
        <v>542</v>
      </c>
      <c r="K549" s="14">
        <v>6.3421213944603991</v>
      </c>
      <c r="L549" s="10">
        <v>7349.6180243985136</v>
      </c>
      <c r="O549" s="14">
        <v>7.6002037846365296</v>
      </c>
      <c r="P549" s="10">
        <v>9799.8034159795679</v>
      </c>
      <c r="R549" s="19">
        <f t="shared" si="66"/>
        <v>1.2580823901761304</v>
      </c>
      <c r="S549" s="23">
        <f t="shared" si="67"/>
        <v>2450.1853915810543</v>
      </c>
      <c r="U549" s="23">
        <f t="shared" si="68"/>
        <v>1947.5555899308235</v>
      </c>
      <c r="AA549" s="18">
        <f t="shared" si="69"/>
        <v>1</v>
      </c>
      <c r="AF549" s="23">
        <f t="shared" si="70"/>
        <v>60453.934117225464</v>
      </c>
      <c r="AL549" s="18">
        <f t="shared" si="71"/>
        <v>1</v>
      </c>
    </row>
    <row r="550" spans="9:38" x14ac:dyDescent="0.2">
      <c r="I550" s="4">
        <v>543</v>
      </c>
      <c r="K550" s="14">
        <v>6.030018399286325</v>
      </c>
      <c r="L550" s="10">
        <v>5743.4218940255805</v>
      </c>
      <c r="O550" s="14">
        <v>7.5176125988608566</v>
      </c>
      <c r="P550" s="10">
        <v>10039.166557308992</v>
      </c>
      <c r="R550" s="19">
        <f t="shared" si="66"/>
        <v>1.4875941995745317</v>
      </c>
      <c r="S550" s="23">
        <f t="shared" si="67"/>
        <v>4295.7446632834117</v>
      </c>
      <c r="U550" s="23">
        <f t="shared" si="68"/>
        <v>2887.7127004878362</v>
      </c>
      <c r="AA550" s="18">
        <f t="shared" si="69"/>
        <v>1</v>
      </c>
      <c r="AF550" s="23">
        <f t="shared" si="70"/>
        <v>70083.965315443158</v>
      </c>
      <c r="AL550" s="18">
        <f t="shared" si="71"/>
        <v>1</v>
      </c>
    </row>
    <row r="551" spans="9:38" x14ac:dyDescent="0.2">
      <c r="I551" s="4">
        <v>544</v>
      </c>
      <c r="K551" s="14">
        <v>6.6218201938481309</v>
      </c>
      <c r="L551" s="10">
        <v>6121.8537304887668</v>
      </c>
      <c r="O551" s="14">
        <v>7.2642088700889493</v>
      </c>
      <c r="P551" s="10">
        <v>9482.0031696736369</v>
      </c>
      <c r="R551" s="19">
        <f t="shared" si="66"/>
        <v>0.64238867624081841</v>
      </c>
      <c r="S551" s="23">
        <f t="shared" si="67"/>
        <v>3360.1494391848701</v>
      </c>
      <c r="U551" s="23">
        <f t="shared" si="68"/>
        <v>5230.7108818419129</v>
      </c>
      <c r="AA551" s="18">
        <f t="shared" si="69"/>
        <v>1</v>
      </c>
      <c r="AF551" s="23">
        <f t="shared" si="70"/>
        <v>28759.284372856047</v>
      </c>
      <c r="AL551" s="18">
        <f t="shared" si="71"/>
        <v>1</v>
      </c>
    </row>
    <row r="552" spans="9:38" x14ac:dyDescent="0.2">
      <c r="I552" s="4">
        <v>545</v>
      </c>
      <c r="K552" s="14">
        <v>6.4569931826476896</v>
      </c>
      <c r="L552" s="10">
        <v>7839.4271282426944</v>
      </c>
      <c r="O552" s="14">
        <v>7.7566223457234909</v>
      </c>
      <c r="P552" s="10">
        <v>10873.285983514763</v>
      </c>
      <c r="R552" s="19">
        <f t="shared" si="66"/>
        <v>1.2996291630758012</v>
      </c>
      <c r="S552" s="23">
        <f t="shared" si="67"/>
        <v>3033.8588552720685</v>
      </c>
      <c r="U552" s="23">
        <f t="shared" si="68"/>
        <v>2334.4034909865422</v>
      </c>
      <c r="AA552" s="18">
        <f t="shared" si="69"/>
        <v>1</v>
      </c>
      <c r="AF552" s="23">
        <f t="shared" si="70"/>
        <v>61947.599298517991</v>
      </c>
      <c r="AL552" s="18">
        <f t="shared" si="71"/>
        <v>1</v>
      </c>
    </row>
    <row r="553" spans="9:38" x14ac:dyDescent="0.2">
      <c r="I553" s="4">
        <v>546</v>
      </c>
      <c r="K553" s="14">
        <v>6.5307615980613685</v>
      </c>
      <c r="L553" s="10">
        <v>9935.5075980309684</v>
      </c>
      <c r="O553" s="14">
        <v>7.6162587609421397</v>
      </c>
      <c r="P553" s="10">
        <v>10223.346079072306</v>
      </c>
      <c r="R553" s="19">
        <f t="shared" si="66"/>
        <v>1.0854971628807712</v>
      </c>
      <c r="S553" s="23">
        <f t="shared" si="67"/>
        <v>287.83848104133722</v>
      </c>
      <c r="U553" s="23">
        <f t="shared" si="68"/>
        <v>265.16741902618202</v>
      </c>
      <c r="AA553" s="18">
        <f t="shared" si="69"/>
        <v>1</v>
      </c>
      <c r="AF553" s="23">
        <f t="shared" si="70"/>
        <v>53987.01966299722</v>
      </c>
      <c r="AL553" s="18">
        <f t="shared" si="71"/>
        <v>1</v>
      </c>
    </row>
    <row r="554" spans="9:38" x14ac:dyDescent="0.2">
      <c r="I554" s="4">
        <v>547</v>
      </c>
      <c r="K554" s="14">
        <v>6.2279266691686015</v>
      </c>
      <c r="L554" s="10">
        <v>7783.395864942775</v>
      </c>
      <c r="O554" s="14">
        <v>6.9014076311794064</v>
      </c>
      <c r="P554" s="10">
        <v>9310.4691196337444</v>
      </c>
      <c r="R554" s="19">
        <f t="shared" si="66"/>
        <v>0.67348096201080487</v>
      </c>
      <c r="S554" s="23">
        <f t="shared" si="67"/>
        <v>1527.0732546909694</v>
      </c>
      <c r="U554" s="23">
        <f t="shared" si="68"/>
        <v>2267.4334403330467</v>
      </c>
      <c r="AA554" s="18">
        <f t="shared" si="69"/>
        <v>1</v>
      </c>
      <c r="AF554" s="23">
        <f t="shared" si="70"/>
        <v>32146.974845849276</v>
      </c>
      <c r="AL554" s="18">
        <f t="shared" si="71"/>
        <v>1</v>
      </c>
    </row>
    <row r="555" spans="9:38" x14ac:dyDescent="0.2">
      <c r="I555" s="4">
        <v>548</v>
      </c>
      <c r="K555" s="14">
        <v>6.7041710719994683</v>
      </c>
      <c r="L555" s="10">
        <v>7103.5215219988422</v>
      </c>
      <c r="O555" s="14">
        <v>6.9624675639455234</v>
      </c>
      <c r="P555" s="10">
        <v>9868.8841515104687</v>
      </c>
      <c r="R555" s="19">
        <f t="shared" si="66"/>
        <v>0.25829649194605508</v>
      </c>
      <c r="S555" s="23">
        <f t="shared" si="67"/>
        <v>2765.3626295116264</v>
      </c>
      <c r="U555" s="23">
        <f t="shared" si="68"/>
        <v>10706.156358055257</v>
      </c>
      <c r="AA555" s="18">
        <f t="shared" si="69"/>
        <v>1</v>
      </c>
      <c r="AF555" s="23">
        <f t="shared" si="70"/>
        <v>10149.461967791129</v>
      </c>
      <c r="AL555" s="18">
        <f t="shared" si="71"/>
        <v>1</v>
      </c>
    </row>
    <row r="556" spans="9:38" x14ac:dyDescent="0.2">
      <c r="I556" s="4">
        <v>549</v>
      </c>
      <c r="K556" s="14">
        <v>6.049633419526061</v>
      </c>
      <c r="L556" s="10">
        <v>6962.2971642087477</v>
      </c>
      <c r="O556" s="14">
        <v>7.0777975122106866</v>
      </c>
      <c r="P556" s="10">
        <v>9409.3303585361264</v>
      </c>
      <c r="R556" s="19">
        <f t="shared" si="66"/>
        <v>1.0281640926846256</v>
      </c>
      <c r="S556" s="23">
        <f t="shared" si="67"/>
        <v>2447.0331943273786</v>
      </c>
      <c r="U556" s="23">
        <f t="shared" si="68"/>
        <v>2380.0025810451743</v>
      </c>
      <c r="AA556" s="18">
        <f t="shared" si="69"/>
        <v>1</v>
      </c>
      <c r="AF556" s="23">
        <f t="shared" si="70"/>
        <v>48961.171439903905</v>
      </c>
      <c r="AL556" s="18">
        <f t="shared" si="71"/>
        <v>1</v>
      </c>
    </row>
    <row r="557" spans="9:38" x14ac:dyDescent="0.2">
      <c r="I557" s="4">
        <v>550</v>
      </c>
      <c r="K557" s="14">
        <v>6.2016259841247816</v>
      </c>
      <c r="L557" s="10">
        <v>5466.4033977159588</v>
      </c>
      <c r="O557" s="14">
        <v>7.5670612897212699</v>
      </c>
      <c r="P557" s="10">
        <v>10148.889727761971</v>
      </c>
      <c r="R557" s="19">
        <f t="shared" si="66"/>
        <v>1.3654353055964883</v>
      </c>
      <c r="S557" s="23">
        <f t="shared" si="67"/>
        <v>4682.486330046012</v>
      </c>
      <c r="U557" s="23">
        <f t="shared" si="68"/>
        <v>3429.2992944110779</v>
      </c>
      <c r="AA557" s="18">
        <f t="shared" si="69"/>
        <v>1</v>
      </c>
      <c r="AF557" s="23">
        <f t="shared" si="70"/>
        <v>63589.278949778396</v>
      </c>
      <c r="AL557" s="18">
        <f t="shared" si="71"/>
        <v>1</v>
      </c>
    </row>
    <row r="558" spans="9:38" x14ac:dyDescent="0.2">
      <c r="I558" s="4">
        <v>551</v>
      </c>
      <c r="K558" s="14">
        <v>6.6439012000502142</v>
      </c>
      <c r="L558" s="10">
        <v>5865.8848442678445</v>
      </c>
      <c r="O558" s="14">
        <v>6.5573563703628279</v>
      </c>
      <c r="P558" s="10">
        <v>8882.9365511564793</v>
      </c>
      <c r="R558" s="19">
        <f t="shared" si="66"/>
        <v>-8.6544829687386304E-2</v>
      </c>
      <c r="S558" s="23">
        <f t="shared" si="67"/>
        <v>3017.0517068886347</v>
      </c>
      <c r="U558" s="23">
        <f t="shared" si="68"/>
        <v>-34861.143268600856</v>
      </c>
      <c r="AA558" s="18">
        <f t="shared" si="69"/>
        <v>0</v>
      </c>
      <c r="AF558" s="23">
        <f t="shared" si="70"/>
        <v>-7344.2931912579497</v>
      </c>
      <c r="AL558" s="18">
        <f t="shared" si="71"/>
        <v>0</v>
      </c>
    </row>
    <row r="559" spans="9:38" x14ac:dyDescent="0.2">
      <c r="I559" s="4">
        <v>552</v>
      </c>
      <c r="K559" s="14">
        <v>5.945284040581222</v>
      </c>
      <c r="L559" s="10">
        <v>8160.7665890378812</v>
      </c>
      <c r="O559" s="14">
        <v>7.3245764292718709</v>
      </c>
      <c r="P559" s="10">
        <v>10364.214324550227</v>
      </c>
      <c r="R559" s="19">
        <f t="shared" si="66"/>
        <v>1.379292388690649</v>
      </c>
      <c r="S559" s="23">
        <f t="shared" si="67"/>
        <v>2203.4477355123454</v>
      </c>
      <c r="U559" s="23">
        <f t="shared" si="68"/>
        <v>1597.5204050854368</v>
      </c>
      <c r="AA559" s="18">
        <f t="shared" si="69"/>
        <v>1</v>
      </c>
      <c r="AF559" s="23">
        <f t="shared" si="70"/>
        <v>66761.171699020109</v>
      </c>
      <c r="AL559" s="18">
        <f t="shared" si="71"/>
        <v>1</v>
      </c>
    </row>
    <row r="560" spans="9:38" x14ac:dyDescent="0.2">
      <c r="I560" s="4">
        <v>553</v>
      </c>
      <c r="K560" s="14">
        <v>6.4231833443003659</v>
      </c>
      <c r="L560" s="10">
        <v>10697.245012946405</v>
      </c>
      <c r="O560" s="14">
        <v>6.91268375506026</v>
      </c>
      <c r="P560" s="10">
        <v>9662.2117917535797</v>
      </c>
      <c r="R560" s="19">
        <f t="shared" si="66"/>
        <v>0.48950041075989414</v>
      </c>
      <c r="S560" s="23">
        <f t="shared" si="67"/>
        <v>-1035.0332211928253</v>
      </c>
      <c r="U560" s="23">
        <f t="shared" si="68"/>
        <v>-2114.468544747599</v>
      </c>
      <c r="AA560" s="18">
        <f t="shared" si="69"/>
        <v>1</v>
      </c>
      <c r="AF560" s="23">
        <f t="shared" si="70"/>
        <v>25510.053759187533</v>
      </c>
      <c r="AL560" s="18">
        <f t="shared" si="71"/>
        <v>1</v>
      </c>
    </row>
    <row r="561" spans="9:38" x14ac:dyDescent="0.2">
      <c r="I561" s="4">
        <v>554</v>
      </c>
      <c r="K561" s="14">
        <v>5.8747611091181469</v>
      </c>
      <c r="L561" s="10">
        <v>7044.447851543975</v>
      </c>
      <c r="O561" s="14">
        <v>6.7762988684726144</v>
      </c>
      <c r="P561" s="10">
        <v>9156.8996132874217</v>
      </c>
      <c r="R561" s="19">
        <f t="shared" si="66"/>
        <v>0.90153775935446756</v>
      </c>
      <c r="S561" s="23">
        <f t="shared" si="67"/>
        <v>2112.4517617434467</v>
      </c>
      <c r="U561" s="23">
        <f t="shared" si="68"/>
        <v>2343.1650419789803</v>
      </c>
      <c r="AA561" s="18">
        <f t="shared" si="69"/>
        <v>1</v>
      </c>
      <c r="AF561" s="23">
        <f t="shared" si="70"/>
        <v>42964.436205979931</v>
      </c>
      <c r="AL561" s="18">
        <f t="shared" si="71"/>
        <v>1</v>
      </c>
    </row>
    <row r="562" spans="9:38" x14ac:dyDescent="0.2">
      <c r="I562" s="4">
        <v>555</v>
      </c>
      <c r="K562" s="14">
        <v>6.1982198793655421</v>
      </c>
      <c r="L562" s="10">
        <v>6252.5951742401094</v>
      </c>
      <c r="O562" s="14">
        <v>7.1200925447637671</v>
      </c>
      <c r="P562" s="10">
        <v>9847.1139414737354</v>
      </c>
      <c r="R562" s="19">
        <f t="shared" si="66"/>
        <v>0.92187266539822499</v>
      </c>
      <c r="S562" s="23">
        <f t="shared" si="67"/>
        <v>3594.518767233626</v>
      </c>
      <c r="U562" s="23">
        <f t="shared" si="68"/>
        <v>3899.148876142116</v>
      </c>
      <c r="AA562" s="18">
        <f t="shared" si="69"/>
        <v>1</v>
      </c>
      <c r="AF562" s="23">
        <f t="shared" si="70"/>
        <v>42499.114502677621</v>
      </c>
      <c r="AL562" s="18">
        <f t="shared" si="71"/>
        <v>1</v>
      </c>
    </row>
    <row r="563" spans="9:38" x14ac:dyDescent="0.2">
      <c r="I563" s="4">
        <v>556</v>
      </c>
      <c r="K563" s="14">
        <v>6.2311660673970914</v>
      </c>
      <c r="L563" s="10">
        <v>6641.6251258426928</v>
      </c>
      <c r="O563" s="14">
        <v>6.9261724647587686</v>
      </c>
      <c r="P563" s="10">
        <v>9507.4389752184306</v>
      </c>
      <c r="R563" s="19">
        <f t="shared" si="66"/>
        <v>0.69500639736167713</v>
      </c>
      <c r="S563" s="23">
        <f t="shared" si="67"/>
        <v>2865.8138493757378</v>
      </c>
      <c r="U563" s="23">
        <f t="shared" si="68"/>
        <v>4123.4352090206521</v>
      </c>
      <c r="AA563" s="18">
        <f t="shared" si="69"/>
        <v>1</v>
      </c>
      <c r="AF563" s="23">
        <f t="shared" si="70"/>
        <v>31884.506018708118</v>
      </c>
      <c r="AL563" s="18">
        <f t="shared" si="71"/>
        <v>1</v>
      </c>
    </row>
    <row r="564" spans="9:38" x14ac:dyDescent="0.2">
      <c r="I564" s="4">
        <v>557</v>
      </c>
      <c r="K564" s="14">
        <v>6.0559682799570487</v>
      </c>
      <c r="L564" s="10">
        <v>7051.2569898787051</v>
      </c>
      <c r="O564" s="14">
        <v>6.5701362315943639</v>
      </c>
      <c r="P564" s="10">
        <v>9500.6184166025923</v>
      </c>
      <c r="R564" s="19">
        <f t="shared" si="66"/>
        <v>0.51416795163731521</v>
      </c>
      <c r="S564" s="23">
        <f t="shared" si="67"/>
        <v>2449.3614267238872</v>
      </c>
      <c r="U564" s="23">
        <f t="shared" si="68"/>
        <v>4763.7380333102183</v>
      </c>
      <c r="AA564" s="18">
        <f t="shared" si="69"/>
        <v>1</v>
      </c>
      <c r="AF564" s="23">
        <f t="shared" si="70"/>
        <v>23259.036155141872</v>
      </c>
      <c r="AL564" s="18">
        <f t="shared" si="71"/>
        <v>1</v>
      </c>
    </row>
    <row r="565" spans="9:38" x14ac:dyDescent="0.2">
      <c r="I565" s="4">
        <v>558</v>
      </c>
      <c r="K565" s="14">
        <v>6.7096585796575798</v>
      </c>
      <c r="L565" s="10">
        <v>8504.4885006434415</v>
      </c>
      <c r="O565" s="14">
        <v>7.720243999029643</v>
      </c>
      <c r="P565" s="10">
        <v>9843.3888250128603</v>
      </c>
      <c r="R565" s="19">
        <f t="shared" si="66"/>
        <v>1.0105854193720631</v>
      </c>
      <c r="S565" s="23">
        <f t="shared" si="67"/>
        <v>1338.9003243694187</v>
      </c>
      <c r="U565" s="23">
        <f t="shared" si="68"/>
        <v>1324.8759567512434</v>
      </c>
      <c r="AA565" s="18">
        <f t="shared" si="69"/>
        <v>1</v>
      </c>
      <c r="AF565" s="23">
        <f t="shared" si="70"/>
        <v>49190.370644233742</v>
      </c>
      <c r="AL565" s="18">
        <f t="shared" si="71"/>
        <v>1</v>
      </c>
    </row>
    <row r="566" spans="9:38" x14ac:dyDescent="0.2">
      <c r="I566" s="4">
        <v>559</v>
      </c>
      <c r="K566" s="14">
        <v>6.1097393725239417</v>
      </c>
      <c r="L566" s="10">
        <v>6067.8339738010336</v>
      </c>
      <c r="O566" s="14">
        <v>7.9094757124462021</v>
      </c>
      <c r="P566" s="10">
        <v>11749.943929629375</v>
      </c>
      <c r="R566" s="19">
        <f t="shared" si="66"/>
        <v>1.7997363399222603</v>
      </c>
      <c r="S566" s="23">
        <f t="shared" si="67"/>
        <v>5682.1099558283413</v>
      </c>
      <c r="U566" s="23">
        <f t="shared" si="68"/>
        <v>3157.1902115805365</v>
      </c>
      <c r="AA566" s="18">
        <f t="shared" si="69"/>
        <v>1</v>
      </c>
      <c r="AF566" s="23">
        <f t="shared" si="70"/>
        <v>84304.707040284673</v>
      </c>
      <c r="AL566" s="18">
        <f t="shared" si="71"/>
        <v>1</v>
      </c>
    </row>
    <row r="567" spans="9:38" x14ac:dyDescent="0.2">
      <c r="I567" s="4">
        <v>560</v>
      </c>
      <c r="K567" s="14">
        <v>6.1656345287942012</v>
      </c>
      <c r="L567" s="10">
        <v>7908.8839450910718</v>
      </c>
      <c r="O567" s="14">
        <v>6.2395657451204105</v>
      </c>
      <c r="P567" s="10">
        <v>9358.0350660747026</v>
      </c>
      <c r="R567" s="19">
        <f t="shared" si="66"/>
        <v>7.3931216326209359E-2</v>
      </c>
      <c r="S567" s="23">
        <f t="shared" si="67"/>
        <v>1449.1511209836308</v>
      </c>
      <c r="U567" s="23">
        <f t="shared" si="68"/>
        <v>19601.342883221201</v>
      </c>
      <c r="AA567" s="18">
        <f t="shared" si="69"/>
        <v>1</v>
      </c>
      <c r="AF567" s="23">
        <f t="shared" si="70"/>
        <v>2247.4096953268372</v>
      </c>
      <c r="AL567" s="18">
        <f t="shared" si="71"/>
        <v>1</v>
      </c>
    </row>
    <row r="568" spans="9:38" x14ac:dyDescent="0.2">
      <c r="I568" s="4">
        <v>561</v>
      </c>
      <c r="K568" s="14">
        <v>6.0032113631952972</v>
      </c>
      <c r="L568" s="10">
        <v>5946.7626334982224</v>
      </c>
      <c r="O568" s="14">
        <v>6.6846668501781821</v>
      </c>
      <c r="P568" s="10">
        <v>9424.114437394268</v>
      </c>
      <c r="R568" s="19">
        <f t="shared" si="66"/>
        <v>0.68145548698288483</v>
      </c>
      <c r="S568" s="23">
        <f t="shared" si="67"/>
        <v>3477.3518038960456</v>
      </c>
      <c r="U568" s="23">
        <f t="shared" si="68"/>
        <v>5102.8304420760815</v>
      </c>
      <c r="AA568" s="18">
        <f t="shared" si="69"/>
        <v>1</v>
      </c>
      <c r="AF568" s="23">
        <f t="shared" si="70"/>
        <v>30595.422545248191</v>
      </c>
      <c r="AL568" s="18">
        <f t="shared" si="71"/>
        <v>1</v>
      </c>
    </row>
    <row r="569" spans="9:38" x14ac:dyDescent="0.2">
      <c r="I569" s="4">
        <v>562</v>
      </c>
      <c r="K569" s="14">
        <v>6.2456967703638853</v>
      </c>
      <c r="L569" s="10">
        <v>6507.8468058298131</v>
      </c>
      <c r="O569" s="14">
        <v>7.6829635567232639</v>
      </c>
      <c r="P569" s="10">
        <v>9899.2150560184546</v>
      </c>
      <c r="R569" s="19">
        <f t="shared" si="66"/>
        <v>1.4372667863593787</v>
      </c>
      <c r="S569" s="23">
        <f t="shared" si="67"/>
        <v>3391.3682501886415</v>
      </c>
      <c r="U569" s="23">
        <f t="shared" si="68"/>
        <v>2359.5955061196642</v>
      </c>
      <c r="AA569" s="18">
        <f t="shared" si="69"/>
        <v>1</v>
      </c>
      <c r="AF569" s="23">
        <f t="shared" si="70"/>
        <v>68471.971067780294</v>
      </c>
      <c r="AL569" s="18">
        <f t="shared" si="71"/>
        <v>1</v>
      </c>
    </row>
    <row r="570" spans="9:38" x14ac:dyDescent="0.2">
      <c r="I570" s="4">
        <v>563</v>
      </c>
      <c r="K570" s="14">
        <v>6.0785369926025927</v>
      </c>
      <c r="L570" s="10">
        <v>6101.5956426877683</v>
      </c>
      <c r="O570" s="14">
        <v>6.8932964532946928</v>
      </c>
      <c r="P570" s="10">
        <v>9488.2151743641643</v>
      </c>
      <c r="R570" s="19">
        <f t="shared" si="66"/>
        <v>0.81475946069210003</v>
      </c>
      <c r="S570" s="23">
        <f t="shared" si="67"/>
        <v>3386.619531676396</v>
      </c>
      <c r="U570" s="23">
        <f t="shared" si="68"/>
        <v>4156.5881650513411</v>
      </c>
      <c r="AA570" s="18">
        <f t="shared" si="69"/>
        <v>1</v>
      </c>
      <c r="AF570" s="23">
        <f t="shared" si="70"/>
        <v>37351.353502928599</v>
      </c>
      <c r="AL570" s="18">
        <f t="shared" si="71"/>
        <v>1</v>
      </c>
    </row>
    <row r="571" spans="9:38" x14ac:dyDescent="0.2">
      <c r="I571" s="4">
        <v>564</v>
      </c>
      <c r="K571" s="14">
        <v>6.854482295133006</v>
      </c>
      <c r="L571" s="10">
        <v>8420.3812339070209</v>
      </c>
      <c r="O571" s="14">
        <v>6.9046387508899265</v>
      </c>
      <c r="P571" s="10">
        <v>9274.6672523316629</v>
      </c>
      <c r="R571" s="19">
        <f t="shared" si="66"/>
        <v>5.0156455756920515E-2</v>
      </c>
      <c r="S571" s="23">
        <f t="shared" si="67"/>
        <v>854.28601842464195</v>
      </c>
      <c r="U571" s="23">
        <f t="shared" si="68"/>
        <v>17032.423952858127</v>
      </c>
      <c r="AA571" s="18">
        <f t="shared" si="69"/>
        <v>1</v>
      </c>
      <c r="AF571" s="23">
        <f t="shared" si="70"/>
        <v>1653.5367694213837</v>
      </c>
      <c r="AL571" s="18">
        <f t="shared" si="71"/>
        <v>1</v>
      </c>
    </row>
    <row r="572" spans="9:38" x14ac:dyDescent="0.2">
      <c r="I572" s="4">
        <v>565</v>
      </c>
      <c r="K572" s="14">
        <v>6.2904132735455214</v>
      </c>
      <c r="L572" s="10">
        <v>5383.8345012373202</v>
      </c>
      <c r="O572" s="14">
        <v>7.0351433337660412</v>
      </c>
      <c r="P572" s="10">
        <v>9110.4722587839333</v>
      </c>
      <c r="R572" s="19">
        <f t="shared" si="66"/>
        <v>0.7447300602205198</v>
      </c>
      <c r="S572" s="23">
        <f t="shared" si="67"/>
        <v>3726.6377575466131</v>
      </c>
      <c r="U572" s="23">
        <f t="shared" si="68"/>
        <v>5004.0114621439207</v>
      </c>
      <c r="AA572" s="18">
        <f t="shared" si="69"/>
        <v>1</v>
      </c>
      <c r="AF572" s="23">
        <f t="shared" si="70"/>
        <v>33509.86525347938</v>
      </c>
      <c r="AL572" s="18">
        <f t="shared" si="71"/>
        <v>1</v>
      </c>
    </row>
    <row r="573" spans="9:38" x14ac:dyDescent="0.2">
      <c r="I573" s="4">
        <v>566</v>
      </c>
      <c r="K573" s="14">
        <v>5.9402278275505083</v>
      </c>
      <c r="L573" s="10">
        <v>8142.8504634958317</v>
      </c>
      <c r="O573" s="14">
        <v>6.7900764615386446</v>
      </c>
      <c r="P573" s="10">
        <v>9825.4548754379994</v>
      </c>
      <c r="R573" s="19">
        <f t="shared" si="66"/>
        <v>0.84984863398813637</v>
      </c>
      <c r="S573" s="23">
        <f t="shared" si="67"/>
        <v>1682.6044119421676</v>
      </c>
      <c r="U573" s="23">
        <f t="shared" si="68"/>
        <v>1979.8871759622741</v>
      </c>
      <c r="AA573" s="18">
        <f t="shared" si="69"/>
        <v>1</v>
      </c>
      <c r="AF573" s="23">
        <f t="shared" si="70"/>
        <v>40809.82728746465</v>
      </c>
      <c r="AL573" s="18">
        <f t="shared" si="71"/>
        <v>1</v>
      </c>
    </row>
    <row r="574" spans="9:38" x14ac:dyDescent="0.2">
      <c r="I574" s="4">
        <v>567</v>
      </c>
      <c r="K574" s="14">
        <v>6.4536334112761162</v>
      </c>
      <c r="L574" s="10">
        <v>9362.4570376800584</v>
      </c>
      <c r="O574" s="14">
        <v>7.1888845799436103</v>
      </c>
      <c r="P574" s="10">
        <v>9951.8830927112485</v>
      </c>
      <c r="R574" s="19">
        <f t="shared" si="66"/>
        <v>0.73525116866749407</v>
      </c>
      <c r="S574" s="23">
        <f t="shared" si="67"/>
        <v>589.42605503119012</v>
      </c>
      <c r="U574" s="23">
        <f t="shared" si="68"/>
        <v>801.66626065949026</v>
      </c>
      <c r="AA574" s="18">
        <f t="shared" si="69"/>
        <v>1</v>
      </c>
      <c r="AF574" s="23">
        <f t="shared" si="70"/>
        <v>36173.132378343515</v>
      </c>
      <c r="AL574" s="18">
        <f t="shared" si="71"/>
        <v>1</v>
      </c>
    </row>
    <row r="575" spans="9:38" x14ac:dyDescent="0.2">
      <c r="I575" s="4">
        <v>568</v>
      </c>
      <c r="K575" s="14">
        <v>6.9076586534111826</v>
      </c>
      <c r="L575" s="10">
        <v>8411.6810139761219</v>
      </c>
      <c r="O575" s="14">
        <v>7.0232873131887921</v>
      </c>
      <c r="P575" s="10">
        <v>9123.1578321714169</v>
      </c>
      <c r="R575" s="19">
        <f t="shared" si="66"/>
        <v>0.1156286597776095</v>
      </c>
      <c r="S575" s="23">
        <f t="shared" si="67"/>
        <v>711.47681819529498</v>
      </c>
      <c r="U575" s="23">
        <f t="shared" si="68"/>
        <v>6153.1182629262503</v>
      </c>
      <c r="AA575" s="18">
        <f t="shared" si="69"/>
        <v>1</v>
      </c>
      <c r="AF575" s="23">
        <f t="shared" si="70"/>
        <v>5069.95617068518</v>
      </c>
      <c r="AL575" s="18">
        <f t="shared" si="71"/>
        <v>1</v>
      </c>
    </row>
    <row r="576" spans="9:38" x14ac:dyDescent="0.2">
      <c r="I576" s="4">
        <v>569</v>
      </c>
      <c r="K576" s="14">
        <v>6.8503067635302868</v>
      </c>
      <c r="L576" s="10">
        <v>8466.0507430870493</v>
      </c>
      <c r="O576" s="14">
        <v>7.0149728322228109</v>
      </c>
      <c r="P576" s="10">
        <v>9654.8013699256917</v>
      </c>
      <c r="R576" s="19">
        <f t="shared" si="66"/>
        <v>0.16466606869252409</v>
      </c>
      <c r="S576" s="23">
        <f t="shared" si="67"/>
        <v>1188.7506268386423</v>
      </c>
      <c r="U576" s="23">
        <f t="shared" si="68"/>
        <v>7219.1595771825951</v>
      </c>
      <c r="AA576" s="18">
        <f t="shared" si="69"/>
        <v>1</v>
      </c>
      <c r="AF576" s="23">
        <f t="shared" si="70"/>
        <v>7044.5528077875624</v>
      </c>
      <c r="AL576" s="18">
        <f t="shared" si="71"/>
        <v>1</v>
      </c>
    </row>
    <row r="577" spans="9:38" x14ac:dyDescent="0.2">
      <c r="I577" s="4">
        <v>570</v>
      </c>
      <c r="K577" s="14">
        <v>6.1801679221579704</v>
      </c>
      <c r="L577" s="10">
        <v>8747.4360038043797</v>
      </c>
      <c r="O577" s="14">
        <v>7.4296927716754109</v>
      </c>
      <c r="P577" s="10">
        <v>10398.482243131737</v>
      </c>
      <c r="R577" s="19">
        <f t="shared" si="66"/>
        <v>1.2495248495174405</v>
      </c>
      <c r="S577" s="23">
        <f t="shared" si="67"/>
        <v>1651.0462393273574</v>
      </c>
      <c r="U577" s="23">
        <f t="shared" si="68"/>
        <v>1321.3392594512884</v>
      </c>
      <c r="AA577" s="18">
        <f t="shared" si="69"/>
        <v>1</v>
      </c>
      <c r="AF577" s="23">
        <f t="shared" si="70"/>
        <v>60825.196236544667</v>
      </c>
      <c r="AL577" s="18">
        <f t="shared" si="71"/>
        <v>1</v>
      </c>
    </row>
    <row r="578" spans="9:38" x14ac:dyDescent="0.2">
      <c r="I578" s="4">
        <v>571</v>
      </c>
      <c r="K578" s="14">
        <v>6.3609515769218259</v>
      </c>
      <c r="L578" s="10">
        <v>6053.8539668988033</v>
      </c>
      <c r="O578" s="14">
        <v>6.6040933628098024</v>
      </c>
      <c r="P578" s="10">
        <v>9298.434778182318</v>
      </c>
      <c r="R578" s="19">
        <f t="shared" si="66"/>
        <v>0.24314178588797652</v>
      </c>
      <c r="S578" s="23">
        <f t="shared" si="67"/>
        <v>3244.5808112835148</v>
      </c>
      <c r="U578" s="23">
        <f t="shared" si="68"/>
        <v>13344.39820549151</v>
      </c>
      <c r="AA578" s="18">
        <f t="shared" si="69"/>
        <v>1</v>
      </c>
      <c r="AF578" s="23">
        <f t="shared" si="70"/>
        <v>8912.5084831153108</v>
      </c>
      <c r="AL578" s="18">
        <f t="shared" si="71"/>
        <v>1</v>
      </c>
    </row>
    <row r="579" spans="9:38" x14ac:dyDescent="0.2">
      <c r="I579" s="4">
        <v>572</v>
      </c>
      <c r="K579" s="14">
        <v>6.3651807211139131</v>
      </c>
      <c r="L579" s="10">
        <v>6001.647683986258</v>
      </c>
      <c r="O579" s="14">
        <v>6.4991473006741218</v>
      </c>
      <c r="P579" s="10">
        <v>8785.8872992444303</v>
      </c>
      <c r="R579" s="19">
        <f t="shared" si="66"/>
        <v>0.13396657956020874</v>
      </c>
      <c r="S579" s="23">
        <f t="shared" si="67"/>
        <v>2784.2396152581723</v>
      </c>
      <c r="U579" s="23">
        <f t="shared" si="68"/>
        <v>20783.091009701031</v>
      </c>
      <c r="AA579" s="18">
        <f t="shared" si="69"/>
        <v>1</v>
      </c>
      <c r="AF579" s="23">
        <f t="shared" si="70"/>
        <v>3914.0893627522646</v>
      </c>
      <c r="AL579" s="18">
        <f t="shared" si="71"/>
        <v>1</v>
      </c>
    </row>
    <row r="580" spans="9:38" x14ac:dyDescent="0.2">
      <c r="I580" s="4">
        <v>573</v>
      </c>
      <c r="K580" s="14">
        <v>6.3712990251181161</v>
      </c>
      <c r="L580" s="10">
        <v>5586.31734786779</v>
      </c>
      <c r="O580" s="14">
        <v>7.2399191934998921</v>
      </c>
      <c r="P580" s="10">
        <v>10168.807771115215</v>
      </c>
      <c r="R580" s="19">
        <f t="shared" si="66"/>
        <v>0.86862016838177603</v>
      </c>
      <c r="S580" s="23">
        <f t="shared" si="67"/>
        <v>4582.4904232474246</v>
      </c>
      <c r="U580" s="23">
        <f t="shared" si="68"/>
        <v>5275.597539698535</v>
      </c>
      <c r="AA580" s="18">
        <f t="shared" si="69"/>
        <v>1</v>
      </c>
      <c r="AF580" s="23">
        <f t="shared" si="70"/>
        <v>38848.517995841379</v>
      </c>
      <c r="AL580" s="18">
        <f t="shared" si="71"/>
        <v>1</v>
      </c>
    </row>
    <row r="581" spans="9:38" x14ac:dyDescent="0.2">
      <c r="I581" s="4">
        <v>574</v>
      </c>
      <c r="K581" s="14">
        <v>6.43163068058068</v>
      </c>
      <c r="L581" s="10">
        <v>7444.7224764942875</v>
      </c>
      <c r="O581" s="14">
        <v>7.0935952537130023</v>
      </c>
      <c r="P581" s="10">
        <v>10414.456907208012</v>
      </c>
      <c r="R581" s="19">
        <f t="shared" si="66"/>
        <v>0.66196457313232226</v>
      </c>
      <c r="S581" s="23">
        <f t="shared" si="67"/>
        <v>2969.7344307137246</v>
      </c>
      <c r="U581" s="23">
        <f t="shared" si="68"/>
        <v>4486.2437526850772</v>
      </c>
      <c r="AA581" s="18">
        <f t="shared" si="69"/>
        <v>1</v>
      </c>
      <c r="AF581" s="23">
        <f t="shared" si="70"/>
        <v>30128.494225902388</v>
      </c>
      <c r="AL581" s="18">
        <f t="shared" si="71"/>
        <v>1</v>
      </c>
    </row>
    <row r="582" spans="9:38" x14ac:dyDescent="0.2">
      <c r="I582" s="4">
        <v>575</v>
      </c>
      <c r="K582" s="14">
        <v>6.1567739622777973</v>
      </c>
      <c r="L582" s="10">
        <v>5417.5749873692876</v>
      </c>
      <c r="O582" s="14">
        <v>7.1959300444516439</v>
      </c>
      <c r="P582" s="10">
        <v>10589.589042893087</v>
      </c>
      <c r="R582" s="19">
        <f t="shared" si="66"/>
        <v>1.0391560821738466</v>
      </c>
      <c r="S582" s="23">
        <f t="shared" si="67"/>
        <v>5172.0140555237995</v>
      </c>
      <c r="U582" s="23">
        <f t="shared" si="68"/>
        <v>4977.1291764989573</v>
      </c>
      <c r="AA582" s="18">
        <f t="shared" si="69"/>
        <v>1</v>
      </c>
      <c r="AF582" s="23">
        <f t="shared" si="70"/>
        <v>46785.79005316853</v>
      </c>
      <c r="AL582" s="18">
        <f t="shared" si="71"/>
        <v>1</v>
      </c>
    </row>
    <row r="583" spans="9:38" x14ac:dyDescent="0.2">
      <c r="I583" s="4">
        <v>576</v>
      </c>
      <c r="K583" s="14">
        <v>6.3290707423735935</v>
      </c>
      <c r="L583" s="10">
        <v>6030.0350600716592</v>
      </c>
      <c r="O583" s="14">
        <v>7.1910629009401239</v>
      </c>
      <c r="P583" s="10">
        <v>9781.9250784603246</v>
      </c>
      <c r="R583" s="19">
        <f t="shared" si="66"/>
        <v>0.86199215856653044</v>
      </c>
      <c r="S583" s="23">
        <f t="shared" si="67"/>
        <v>3751.8900183886653</v>
      </c>
      <c r="U583" s="23">
        <f t="shared" si="68"/>
        <v>4352.580219091501</v>
      </c>
      <c r="AA583" s="18">
        <f t="shared" si="69"/>
        <v>1</v>
      </c>
      <c r="AF583" s="23">
        <f t="shared" si="70"/>
        <v>39347.717909937855</v>
      </c>
      <c r="AL583" s="18">
        <f t="shared" si="71"/>
        <v>1</v>
      </c>
    </row>
    <row r="584" spans="9:38" x14ac:dyDescent="0.2">
      <c r="I584" s="4">
        <v>577</v>
      </c>
      <c r="K584" s="14">
        <v>6.7193869037938816</v>
      </c>
      <c r="L584" s="10">
        <v>6271.1973984749902</v>
      </c>
      <c r="O584" s="14">
        <v>7.0543995626970881</v>
      </c>
      <c r="P584" s="10">
        <v>9550.6717701065536</v>
      </c>
      <c r="R584" s="19">
        <f t="shared" ref="R584:R647" si="72">O584-K584</f>
        <v>0.33501265890320653</v>
      </c>
      <c r="S584" s="23">
        <f t="shared" ref="S584:S647" si="73">P584-L584</f>
        <v>3279.4743716315634</v>
      </c>
      <c r="U584" s="23">
        <f t="shared" ref="U584:U647" si="74">S584/R584</f>
        <v>9789.105827726602</v>
      </c>
      <c r="AA584" s="18">
        <f t="shared" ref="AA584:AA647" si="75">IF(R584&lt;0,IF(U584&lt;Rc_,0,1),IF(U584&lt;Rc_,1,0))</f>
        <v>1</v>
      </c>
      <c r="AF584" s="23">
        <f t="shared" ref="AF584:AF647" si="76">R584*Rc_-S584</f>
        <v>13471.158573528763</v>
      </c>
      <c r="AL584" s="18">
        <f t="shared" ref="AL584:AL647" si="77">IF(AF584&gt;0,1,0)</f>
        <v>1</v>
      </c>
    </row>
    <row r="585" spans="9:38" x14ac:dyDescent="0.2">
      <c r="I585" s="4">
        <v>578</v>
      </c>
      <c r="K585" s="14">
        <v>5.9154370440411972</v>
      </c>
      <c r="L585" s="10">
        <v>6062.5331315309004</v>
      </c>
      <c r="O585" s="14">
        <v>7.6121633677683498</v>
      </c>
      <c r="P585" s="10">
        <v>9965.7467030082389</v>
      </c>
      <c r="R585" s="19">
        <f t="shared" si="72"/>
        <v>1.6967263237271526</v>
      </c>
      <c r="S585" s="23">
        <f t="shared" si="73"/>
        <v>3903.2135714773385</v>
      </c>
      <c r="U585" s="23">
        <f t="shared" si="74"/>
        <v>2300.4379179449843</v>
      </c>
      <c r="AA585" s="18">
        <f t="shared" si="75"/>
        <v>1</v>
      </c>
      <c r="AF585" s="23">
        <f t="shared" si="76"/>
        <v>80933.102614880292</v>
      </c>
      <c r="AL585" s="18">
        <f t="shared" si="77"/>
        <v>1</v>
      </c>
    </row>
    <row r="586" spans="9:38" x14ac:dyDescent="0.2">
      <c r="I586" s="4">
        <v>579</v>
      </c>
      <c r="K586" s="14">
        <v>6.1647341251273247</v>
      </c>
      <c r="L586" s="10">
        <v>5510.350438444656</v>
      </c>
      <c r="O586" s="14">
        <v>7.5100593878075843</v>
      </c>
      <c r="P586" s="10">
        <v>10025.089663440329</v>
      </c>
      <c r="R586" s="19">
        <f t="shared" si="72"/>
        <v>1.3453252626802596</v>
      </c>
      <c r="S586" s="23">
        <f t="shared" si="73"/>
        <v>4514.7392249956729</v>
      </c>
      <c r="U586" s="23">
        <f t="shared" si="74"/>
        <v>3355.8718848414878</v>
      </c>
      <c r="AA586" s="18">
        <f t="shared" si="75"/>
        <v>1</v>
      </c>
      <c r="AF586" s="23">
        <f t="shared" si="76"/>
        <v>62751.523909017313</v>
      </c>
      <c r="AL586" s="18">
        <f t="shared" si="77"/>
        <v>1</v>
      </c>
    </row>
    <row r="587" spans="9:38" x14ac:dyDescent="0.2">
      <c r="I587" s="4">
        <v>580</v>
      </c>
      <c r="K587" s="14">
        <v>6.2996164223667428</v>
      </c>
      <c r="L587" s="10">
        <v>5653.1435448346929</v>
      </c>
      <c r="O587" s="14">
        <v>7.3319130298803294</v>
      </c>
      <c r="P587" s="10">
        <v>9213.7928091424965</v>
      </c>
      <c r="R587" s="19">
        <f t="shared" si="72"/>
        <v>1.0322966075135867</v>
      </c>
      <c r="S587" s="23">
        <f t="shared" si="73"/>
        <v>3560.6492643078036</v>
      </c>
      <c r="U587" s="23">
        <f t="shared" si="74"/>
        <v>3449.250184870863</v>
      </c>
      <c r="AA587" s="18">
        <f t="shared" si="75"/>
        <v>1</v>
      </c>
      <c r="AF587" s="23">
        <f t="shared" si="76"/>
        <v>48054.18111137153</v>
      </c>
      <c r="AL587" s="18">
        <f t="shared" si="77"/>
        <v>1</v>
      </c>
    </row>
    <row r="588" spans="9:38" x14ac:dyDescent="0.2">
      <c r="I588" s="4">
        <v>581</v>
      </c>
      <c r="K588" s="14">
        <v>6.0690630978574074</v>
      </c>
      <c r="L588" s="10">
        <v>5600.9672647546722</v>
      </c>
      <c r="O588" s="14">
        <v>7.206141387792786</v>
      </c>
      <c r="P588" s="10">
        <v>9908.2837986253508</v>
      </c>
      <c r="R588" s="19">
        <f t="shared" si="72"/>
        <v>1.1370782899353786</v>
      </c>
      <c r="S588" s="23">
        <f t="shared" si="73"/>
        <v>4307.3165338706785</v>
      </c>
      <c r="U588" s="23">
        <f t="shared" si="74"/>
        <v>3788.056259622605</v>
      </c>
      <c r="AA588" s="18">
        <f t="shared" si="75"/>
        <v>1</v>
      </c>
      <c r="AF588" s="23">
        <f t="shared" si="76"/>
        <v>52546.597962898246</v>
      </c>
      <c r="AL588" s="18">
        <f t="shared" si="77"/>
        <v>1</v>
      </c>
    </row>
    <row r="589" spans="9:38" x14ac:dyDescent="0.2">
      <c r="I589" s="4">
        <v>582</v>
      </c>
      <c r="K589" s="14">
        <v>5.7609682022706208</v>
      </c>
      <c r="L589" s="10">
        <v>6893.9756669060234</v>
      </c>
      <c r="O589" s="14">
        <v>7.0870607533608219</v>
      </c>
      <c r="P589" s="10">
        <v>9813.3749407383257</v>
      </c>
      <c r="R589" s="19">
        <f t="shared" si="72"/>
        <v>1.3260925510902011</v>
      </c>
      <c r="S589" s="23">
        <f t="shared" si="73"/>
        <v>2919.3992738323022</v>
      </c>
      <c r="U589" s="23">
        <f t="shared" si="74"/>
        <v>2201.5049186666643</v>
      </c>
      <c r="AA589" s="18">
        <f t="shared" si="75"/>
        <v>1</v>
      </c>
      <c r="AF589" s="23">
        <f t="shared" si="76"/>
        <v>63385.228280677751</v>
      </c>
      <c r="AL589" s="18">
        <f t="shared" si="77"/>
        <v>1</v>
      </c>
    </row>
    <row r="590" spans="9:38" x14ac:dyDescent="0.2">
      <c r="I590" s="4">
        <v>583</v>
      </c>
      <c r="K590" s="14">
        <v>6.644871910897475</v>
      </c>
      <c r="L590" s="10">
        <v>9261.8934312700694</v>
      </c>
      <c r="O590" s="14">
        <v>7.7280404794944078</v>
      </c>
      <c r="P590" s="10">
        <v>10294.849043794076</v>
      </c>
      <c r="R590" s="19">
        <f t="shared" si="72"/>
        <v>1.0831685685969328</v>
      </c>
      <c r="S590" s="23">
        <f t="shared" si="73"/>
        <v>1032.9556125240069</v>
      </c>
      <c r="U590" s="23">
        <f t="shared" si="74"/>
        <v>953.64252847738328</v>
      </c>
      <c r="AA590" s="18">
        <f t="shared" si="75"/>
        <v>1</v>
      </c>
      <c r="AF590" s="23">
        <f t="shared" si="76"/>
        <v>53125.472817322632</v>
      </c>
      <c r="AL590" s="18">
        <f t="shared" si="77"/>
        <v>1</v>
      </c>
    </row>
    <row r="591" spans="9:38" x14ac:dyDescent="0.2">
      <c r="I591" s="4">
        <v>584</v>
      </c>
      <c r="K591" s="14">
        <v>5.894564707407592</v>
      </c>
      <c r="L591" s="10">
        <v>7642.5488846578783</v>
      </c>
      <c r="O591" s="14">
        <v>6.7296046680101185</v>
      </c>
      <c r="P591" s="10">
        <v>9890.9651016569915</v>
      </c>
      <c r="R591" s="19">
        <f t="shared" si="72"/>
        <v>0.8350399606025265</v>
      </c>
      <c r="S591" s="23">
        <f t="shared" si="73"/>
        <v>2248.4162169991132</v>
      </c>
      <c r="U591" s="23">
        <f t="shared" si="74"/>
        <v>2692.5851732613601</v>
      </c>
      <c r="AA591" s="18">
        <f t="shared" si="75"/>
        <v>1</v>
      </c>
      <c r="AF591" s="23">
        <f t="shared" si="76"/>
        <v>39503.581813127217</v>
      </c>
      <c r="AL591" s="18">
        <f t="shared" si="77"/>
        <v>1</v>
      </c>
    </row>
    <row r="592" spans="9:38" x14ac:dyDescent="0.2">
      <c r="I592" s="4">
        <v>585</v>
      </c>
      <c r="K592" s="14">
        <v>6.2281639610247712</v>
      </c>
      <c r="L592" s="10">
        <v>5371.3233027071346</v>
      </c>
      <c r="O592" s="14">
        <v>7.6519419548477678</v>
      </c>
      <c r="P592" s="10">
        <v>10220.474041988327</v>
      </c>
      <c r="R592" s="19">
        <f t="shared" si="72"/>
        <v>1.4237779938229966</v>
      </c>
      <c r="S592" s="23">
        <f t="shared" si="73"/>
        <v>4849.1507392811927</v>
      </c>
      <c r="U592" s="23">
        <f t="shared" si="74"/>
        <v>3405.8334658345875</v>
      </c>
      <c r="AA592" s="18">
        <f t="shared" si="75"/>
        <v>1</v>
      </c>
      <c r="AF592" s="23">
        <f t="shared" si="76"/>
        <v>66339.748951868634</v>
      </c>
      <c r="AL592" s="18">
        <f t="shared" si="77"/>
        <v>1</v>
      </c>
    </row>
    <row r="593" spans="9:38" x14ac:dyDescent="0.2">
      <c r="I593" s="4">
        <v>586</v>
      </c>
      <c r="K593" s="14">
        <v>6.1185720246976754</v>
      </c>
      <c r="L593" s="10">
        <v>7604.9455342032416</v>
      </c>
      <c r="O593" s="14">
        <v>8.0690161148201511</v>
      </c>
      <c r="P593" s="10">
        <v>11137.038428013006</v>
      </c>
      <c r="R593" s="19">
        <f t="shared" si="72"/>
        <v>1.9504440901224758</v>
      </c>
      <c r="S593" s="23">
        <f t="shared" si="73"/>
        <v>3532.0928938097641</v>
      </c>
      <c r="U593" s="23">
        <f t="shared" si="74"/>
        <v>1810.9172735056304</v>
      </c>
      <c r="AA593" s="18">
        <f t="shared" si="75"/>
        <v>1</v>
      </c>
      <c r="AF593" s="23">
        <f t="shared" si="76"/>
        <v>93990.111612314024</v>
      </c>
      <c r="AL593" s="18">
        <f t="shared" si="77"/>
        <v>1</v>
      </c>
    </row>
    <row r="594" spans="9:38" x14ac:dyDescent="0.2">
      <c r="I594" s="4">
        <v>587</v>
      </c>
      <c r="K594" s="14">
        <v>6.7180659861907861</v>
      </c>
      <c r="L594" s="10">
        <v>6240.444049218906</v>
      </c>
      <c r="O594" s="14">
        <v>7.0101782098438017</v>
      </c>
      <c r="P594" s="10">
        <v>9464.3489506848946</v>
      </c>
      <c r="R594" s="19">
        <f t="shared" si="72"/>
        <v>0.29211222365301559</v>
      </c>
      <c r="S594" s="23">
        <f t="shared" si="73"/>
        <v>3223.9049014659886</v>
      </c>
      <c r="U594" s="23">
        <f t="shared" si="74"/>
        <v>11036.528568196762</v>
      </c>
      <c r="AA594" s="18">
        <f t="shared" si="75"/>
        <v>1</v>
      </c>
      <c r="AF594" s="23">
        <f t="shared" si="76"/>
        <v>11381.706281184792</v>
      </c>
      <c r="AL594" s="18">
        <f t="shared" si="77"/>
        <v>1</v>
      </c>
    </row>
    <row r="595" spans="9:38" x14ac:dyDescent="0.2">
      <c r="I595" s="4">
        <v>588</v>
      </c>
      <c r="K595" s="14">
        <v>6.6335578091777894</v>
      </c>
      <c r="L595" s="10">
        <v>7143.2947704555609</v>
      </c>
      <c r="O595" s="14">
        <v>7.2301110926184542</v>
      </c>
      <c r="P595" s="10">
        <v>9667.3529664928155</v>
      </c>
      <c r="R595" s="19">
        <f t="shared" si="72"/>
        <v>0.59655328344066483</v>
      </c>
      <c r="S595" s="23">
        <f t="shared" si="73"/>
        <v>2524.0581960372547</v>
      </c>
      <c r="U595" s="23">
        <f t="shared" si="74"/>
        <v>4231.0691535876958</v>
      </c>
      <c r="AA595" s="18">
        <f t="shared" si="75"/>
        <v>1</v>
      </c>
      <c r="AF595" s="23">
        <f t="shared" si="76"/>
        <v>27303.605975995986</v>
      </c>
      <c r="AL595" s="18">
        <f t="shared" si="77"/>
        <v>1</v>
      </c>
    </row>
    <row r="596" spans="9:38" x14ac:dyDescent="0.2">
      <c r="I596" s="4">
        <v>589</v>
      </c>
      <c r="K596" s="14">
        <v>6.0646129240561768</v>
      </c>
      <c r="L596" s="10">
        <v>5657.9267232079656</v>
      </c>
      <c r="O596" s="14">
        <v>7.4343519005777914</v>
      </c>
      <c r="P596" s="10">
        <v>9887.8769753056513</v>
      </c>
      <c r="R596" s="19">
        <f t="shared" si="72"/>
        <v>1.3697389765216146</v>
      </c>
      <c r="S596" s="23">
        <f t="shared" si="73"/>
        <v>4229.9502520976857</v>
      </c>
      <c r="U596" s="23">
        <f t="shared" si="74"/>
        <v>3088.1433065732263</v>
      </c>
      <c r="AA596" s="18">
        <f t="shared" si="75"/>
        <v>1</v>
      </c>
      <c r="AF596" s="23">
        <f t="shared" si="76"/>
        <v>64256.998573983044</v>
      </c>
      <c r="AL596" s="18">
        <f t="shared" si="77"/>
        <v>1</v>
      </c>
    </row>
    <row r="597" spans="9:38" x14ac:dyDescent="0.2">
      <c r="I597" s="4">
        <v>590</v>
      </c>
      <c r="K597" s="14">
        <v>6.2082206684007897</v>
      </c>
      <c r="L597" s="10">
        <v>6916.6713300521023</v>
      </c>
      <c r="O597" s="14">
        <v>6.8596547243972807</v>
      </c>
      <c r="P597" s="10">
        <v>9515.6989400393686</v>
      </c>
      <c r="R597" s="19">
        <f t="shared" si="72"/>
        <v>0.65143405599649107</v>
      </c>
      <c r="S597" s="23">
        <f t="shared" si="73"/>
        <v>2599.0276099872663</v>
      </c>
      <c r="U597" s="23">
        <f t="shared" si="74"/>
        <v>3989.7017757408526</v>
      </c>
      <c r="AA597" s="18">
        <f t="shared" si="75"/>
        <v>1</v>
      </c>
      <c r="AF597" s="23">
        <f t="shared" si="76"/>
        <v>29972.67518983729</v>
      </c>
      <c r="AL597" s="18">
        <f t="shared" si="77"/>
        <v>1</v>
      </c>
    </row>
    <row r="598" spans="9:38" x14ac:dyDescent="0.2">
      <c r="I598" s="4">
        <v>591</v>
      </c>
      <c r="K598" s="14">
        <v>6.2551405745037485</v>
      </c>
      <c r="L598" s="10">
        <v>6805.8429560573122</v>
      </c>
      <c r="O598" s="14">
        <v>7.6469310574827238</v>
      </c>
      <c r="P598" s="10">
        <v>10272.911522875975</v>
      </c>
      <c r="R598" s="19">
        <f t="shared" si="72"/>
        <v>1.3917904829789753</v>
      </c>
      <c r="S598" s="23">
        <f t="shared" si="73"/>
        <v>3467.0685668186625</v>
      </c>
      <c r="U598" s="23">
        <f t="shared" si="74"/>
        <v>2491.0851232419564</v>
      </c>
      <c r="AA598" s="18">
        <f t="shared" si="75"/>
        <v>1</v>
      </c>
      <c r="AF598" s="23">
        <f t="shared" si="76"/>
        <v>66122.455582130104</v>
      </c>
      <c r="AL598" s="18">
        <f t="shared" si="77"/>
        <v>1</v>
      </c>
    </row>
    <row r="599" spans="9:38" x14ac:dyDescent="0.2">
      <c r="I599" s="4">
        <v>592</v>
      </c>
      <c r="K599" s="14">
        <v>6.4587070474205506</v>
      </c>
      <c r="L599" s="10">
        <v>7018.3218427872853</v>
      </c>
      <c r="O599" s="14">
        <v>7.3382626883887045</v>
      </c>
      <c r="P599" s="10">
        <v>9626.0062880676851</v>
      </c>
      <c r="R599" s="19">
        <f t="shared" si="72"/>
        <v>0.87955564096815397</v>
      </c>
      <c r="S599" s="23">
        <f t="shared" si="73"/>
        <v>2607.6844452803998</v>
      </c>
      <c r="U599" s="23">
        <f t="shared" si="74"/>
        <v>2964.7748520037244</v>
      </c>
      <c r="AA599" s="18">
        <f t="shared" si="75"/>
        <v>1</v>
      </c>
      <c r="AF599" s="23">
        <f t="shared" si="76"/>
        <v>41370.097603127302</v>
      </c>
      <c r="AL599" s="18">
        <f t="shared" si="77"/>
        <v>1</v>
      </c>
    </row>
    <row r="600" spans="9:38" x14ac:dyDescent="0.2">
      <c r="I600" s="4">
        <v>593</v>
      </c>
      <c r="K600" s="14">
        <v>6.6639448014820859</v>
      </c>
      <c r="L600" s="10">
        <v>7434.1823474087632</v>
      </c>
      <c r="O600" s="14">
        <v>7.2052249382562499</v>
      </c>
      <c r="P600" s="10">
        <v>9694.1671420545717</v>
      </c>
      <c r="R600" s="19">
        <f t="shared" si="72"/>
        <v>0.54128013677416398</v>
      </c>
      <c r="S600" s="23">
        <f t="shared" si="73"/>
        <v>2259.9847946458085</v>
      </c>
      <c r="U600" s="23">
        <f t="shared" si="74"/>
        <v>4175.2590592267243</v>
      </c>
      <c r="AA600" s="18">
        <f t="shared" si="75"/>
        <v>1</v>
      </c>
      <c r="AF600" s="23">
        <f t="shared" si="76"/>
        <v>24804.022044062389</v>
      </c>
      <c r="AL600" s="18">
        <f t="shared" si="77"/>
        <v>1</v>
      </c>
    </row>
    <row r="601" spans="9:38" x14ac:dyDescent="0.2">
      <c r="I601" s="4">
        <v>594</v>
      </c>
      <c r="K601" s="14">
        <v>6.3249858080913324</v>
      </c>
      <c r="L601" s="10">
        <v>7299.3528708672393</v>
      </c>
      <c r="O601" s="14">
        <v>7.4179789413832591</v>
      </c>
      <c r="P601" s="10">
        <v>9839.4646995957974</v>
      </c>
      <c r="R601" s="19">
        <f t="shared" si="72"/>
        <v>1.0929931332919267</v>
      </c>
      <c r="S601" s="23">
        <f t="shared" si="73"/>
        <v>2540.1118287285581</v>
      </c>
      <c r="U601" s="23">
        <f t="shared" si="74"/>
        <v>2323.9961454086479</v>
      </c>
      <c r="AA601" s="18">
        <f t="shared" si="75"/>
        <v>1</v>
      </c>
      <c r="AF601" s="23">
        <f t="shared" si="76"/>
        <v>52109.544835867775</v>
      </c>
      <c r="AL601" s="18">
        <f t="shared" si="77"/>
        <v>1</v>
      </c>
    </row>
    <row r="602" spans="9:38" x14ac:dyDescent="0.2">
      <c r="I602" s="4">
        <v>595</v>
      </c>
      <c r="K602" s="14">
        <v>6.6064703276455035</v>
      </c>
      <c r="L602" s="10">
        <v>6351.1522933376718</v>
      </c>
      <c r="O602" s="14">
        <v>7.4579151608108862</v>
      </c>
      <c r="P602" s="10">
        <v>10223.846515103241</v>
      </c>
      <c r="R602" s="19">
        <f t="shared" si="72"/>
        <v>0.85144483316538278</v>
      </c>
      <c r="S602" s="23">
        <f t="shared" si="73"/>
        <v>3872.6942217655696</v>
      </c>
      <c r="U602" s="23">
        <f t="shared" si="74"/>
        <v>4548.3794967293506</v>
      </c>
      <c r="AA602" s="18">
        <f t="shared" si="75"/>
        <v>1</v>
      </c>
      <c r="AF602" s="23">
        <f t="shared" si="76"/>
        <v>38699.54743650357</v>
      </c>
      <c r="AL602" s="18">
        <f t="shared" si="77"/>
        <v>1</v>
      </c>
    </row>
    <row r="603" spans="9:38" x14ac:dyDescent="0.2">
      <c r="I603" s="4">
        <v>596</v>
      </c>
      <c r="K603" s="14">
        <v>6.4526154668784717</v>
      </c>
      <c r="L603" s="10">
        <v>7445.5495156592215</v>
      </c>
      <c r="O603" s="14">
        <v>6.8981124516541437</v>
      </c>
      <c r="P603" s="10">
        <v>9384.7528032942064</v>
      </c>
      <c r="R603" s="19">
        <f t="shared" si="72"/>
        <v>0.44549698477567201</v>
      </c>
      <c r="S603" s="23">
        <f t="shared" si="73"/>
        <v>1939.2032876349849</v>
      </c>
      <c r="U603" s="23">
        <f t="shared" si="74"/>
        <v>4352.8987937179008</v>
      </c>
      <c r="AA603" s="18">
        <f t="shared" si="75"/>
        <v>1</v>
      </c>
      <c r="AF603" s="23">
        <f t="shared" si="76"/>
        <v>20335.645951148617</v>
      </c>
      <c r="AL603" s="18">
        <f t="shared" si="77"/>
        <v>1</v>
      </c>
    </row>
    <row r="604" spans="9:38" x14ac:dyDescent="0.2">
      <c r="I604" s="4">
        <v>597</v>
      </c>
      <c r="K604" s="14">
        <v>6.0672638447154847</v>
      </c>
      <c r="L604" s="10">
        <v>7522.1566771666294</v>
      </c>
      <c r="O604" s="14">
        <v>7.1666672711952204</v>
      </c>
      <c r="P604" s="10">
        <v>9168.8667410946182</v>
      </c>
      <c r="R604" s="19">
        <f t="shared" si="72"/>
        <v>1.0994034264797357</v>
      </c>
      <c r="S604" s="23">
        <f t="shared" si="73"/>
        <v>1646.7100639279888</v>
      </c>
      <c r="U604" s="23">
        <f t="shared" si="74"/>
        <v>1497.8214768719763</v>
      </c>
      <c r="AA604" s="18">
        <f t="shared" si="75"/>
        <v>1</v>
      </c>
      <c r="AF604" s="23">
        <f t="shared" si="76"/>
        <v>53323.461260058793</v>
      </c>
      <c r="AL604" s="18">
        <f t="shared" si="77"/>
        <v>1</v>
      </c>
    </row>
    <row r="605" spans="9:38" x14ac:dyDescent="0.2">
      <c r="I605" s="4">
        <v>598</v>
      </c>
      <c r="K605" s="14">
        <v>6.6042108713857672</v>
      </c>
      <c r="L605" s="10">
        <v>9163.7296384294223</v>
      </c>
      <c r="O605" s="14">
        <v>7.5830149935466116</v>
      </c>
      <c r="P605" s="10">
        <v>11075.009559903288</v>
      </c>
      <c r="R605" s="19">
        <f t="shared" si="72"/>
        <v>0.97880412216084434</v>
      </c>
      <c r="S605" s="23">
        <f t="shared" si="73"/>
        <v>1911.2799214738661</v>
      </c>
      <c r="U605" s="23">
        <f t="shared" si="74"/>
        <v>1952.6684432575269</v>
      </c>
      <c r="AA605" s="18">
        <f t="shared" si="75"/>
        <v>1</v>
      </c>
      <c r="AF605" s="23">
        <f t="shared" si="76"/>
        <v>47028.926186568351</v>
      </c>
      <c r="AL605" s="18">
        <f t="shared" si="77"/>
        <v>1</v>
      </c>
    </row>
    <row r="606" spans="9:38" x14ac:dyDescent="0.2">
      <c r="I606" s="4">
        <v>599</v>
      </c>
      <c r="K606" s="14">
        <v>5.5875509340442751</v>
      </c>
      <c r="L606" s="10">
        <v>6773.9157534603655</v>
      </c>
      <c r="O606" s="14">
        <v>6.7975606678854454</v>
      </c>
      <c r="P606" s="10">
        <v>9535.5198164878202</v>
      </c>
      <c r="R606" s="19">
        <f t="shared" si="72"/>
        <v>1.2100097338411704</v>
      </c>
      <c r="S606" s="23">
        <f t="shared" si="73"/>
        <v>2761.6040630274547</v>
      </c>
      <c r="U606" s="23">
        <f t="shared" si="74"/>
        <v>2282.2990475132419</v>
      </c>
      <c r="AA606" s="18">
        <f t="shared" si="75"/>
        <v>1</v>
      </c>
      <c r="AF606" s="23">
        <f t="shared" si="76"/>
        <v>57738.882629031068</v>
      </c>
      <c r="AL606" s="18">
        <f t="shared" si="77"/>
        <v>1</v>
      </c>
    </row>
    <row r="607" spans="9:38" x14ac:dyDescent="0.2">
      <c r="I607" s="4">
        <v>600</v>
      </c>
      <c r="K607" s="14">
        <v>6.5957431883065123</v>
      </c>
      <c r="L607" s="10">
        <v>8548.8033848735558</v>
      </c>
      <c r="O607" s="14">
        <v>6.7383405193827342</v>
      </c>
      <c r="P607" s="10">
        <v>9261.4513195633699</v>
      </c>
      <c r="R607" s="19">
        <f t="shared" si="72"/>
        <v>0.14259733107622186</v>
      </c>
      <c r="S607" s="23">
        <f t="shared" si="73"/>
        <v>712.64793468981406</v>
      </c>
      <c r="U607" s="23">
        <f t="shared" si="74"/>
        <v>4997.6246351264863</v>
      </c>
      <c r="AA607" s="18">
        <f t="shared" si="75"/>
        <v>1</v>
      </c>
      <c r="AF607" s="23">
        <f t="shared" si="76"/>
        <v>6417.2186191212786</v>
      </c>
      <c r="AL607" s="18">
        <f t="shared" si="77"/>
        <v>1</v>
      </c>
    </row>
    <row r="608" spans="9:38" x14ac:dyDescent="0.2">
      <c r="I608" s="4">
        <v>601</v>
      </c>
      <c r="K608" s="14">
        <v>6.4383629842774983</v>
      </c>
      <c r="L608" s="10">
        <v>7606.1173342358243</v>
      </c>
      <c r="O608" s="14">
        <v>6.9470271791075557</v>
      </c>
      <c r="P608" s="10">
        <v>9352.5201710829933</v>
      </c>
      <c r="R608" s="19">
        <f t="shared" si="72"/>
        <v>0.50866419483005743</v>
      </c>
      <c r="S608" s="23">
        <f t="shared" si="73"/>
        <v>1746.4028368471691</v>
      </c>
      <c r="U608" s="23">
        <f t="shared" si="74"/>
        <v>3433.3119071426581</v>
      </c>
      <c r="AA608" s="18">
        <f t="shared" si="75"/>
        <v>1</v>
      </c>
      <c r="AF608" s="23">
        <f t="shared" si="76"/>
        <v>23686.806904655703</v>
      </c>
      <c r="AL608" s="18">
        <f t="shared" si="77"/>
        <v>1</v>
      </c>
    </row>
    <row r="609" spans="9:38" x14ac:dyDescent="0.2">
      <c r="I609" s="4">
        <v>602</v>
      </c>
      <c r="K609" s="14">
        <v>6.7340260106862591</v>
      </c>
      <c r="L609" s="10">
        <v>5841.372761611975</v>
      </c>
      <c r="O609" s="14">
        <v>7.2595293520912749</v>
      </c>
      <c r="P609" s="10">
        <v>10513.749693766094</v>
      </c>
      <c r="R609" s="19">
        <f t="shared" si="72"/>
        <v>0.52550334140501587</v>
      </c>
      <c r="S609" s="23">
        <f t="shared" si="73"/>
        <v>4672.3769321541195</v>
      </c>
      <c r="U609" s="23">
        <f t="shared" si="74"/>
        <v>8891.2411473194152</v>
      </c>
      <c r="AA609" s="18">
        <f t="shared" si="75"/>
        <v>1</v>
      </c>
      <c r="AF609" s="23">
        <f t="shared" si="76"/>
        <v>21602.790138096676</v>
      </c>
      <c r="AL609" s="18">
        <f t="shared" si="77"/>
        <v>1</v>
      </c>
    </row>
    <row r="610" spans="9:38" x14ac:dyDescent="0.2">
      <c r="I610" s="4">
        <v>603</v>
      </c>
      <c r="K610" s="14">
        <v>6.7710773124723973</v>
      </c>
      <c r="L610" s="10">
        <v>7947.6537860010749</v>
      </c>
      <c r="O610" s="14">
        <v>6.7920824950951495</v>
      </c>
      <c r="P610" s="10">
        <v>9409.3965238757046</v>
      </c>
      <c r="R610" s="19">
        <f t="shared" si="72"/>
        <v>2.1005182622752194E-2</v>
      </c>
      <c r="S610" s="23">
        <f t="shared" si="73"/>
        <v>1461.7427378746297</v>
      </c>
      <c r="U610" s="23">
        <f t="shared" si="74"/>
        <v>69589.622910077116</v>
      </c>
      <c r="AA610" s="18">
        <f t="shared" si="75"/>
        <v>0</v>
      </c>
      <c r="AF610" s="23">
        <f t="shared" si="76"/>
        <v>-411.48360673701995</v>
      </c>
      <c r="AL610" s="18">
        <f t="shared" si="77"/>
        <v>0</v>
      </c>
    </row>
    <row r="611" spans="9:38" x14ac:dyDescent="0.2">
      <c r="I611" s="4">
        <v>604</v>
      </c>
      <c r="K611" s="14">
        <v>6.0844839534252104</v>
      </c>
      <c r="L611" s="10">
        <v>7834.1743297349904</v>
      </c>
      <c r="O611" s="14">
        <v>8.1426207684280936</v>
      </c>
      <c r="P611" s="10">
        <v>10671.179138588228</v>
      </c>
      <c r="R611" s="19">
        <f t="shared" si="72"/>
        <v>2.0581368150028831</v>
      </c>
      <c r="S611" s="23">
        <f t="shared" si="73"/>
        <v>2837.0048088532376</v>
      </c>
      <c r="U611" s="23">
        <f t="shared" si="74"/>
        <v>1378.4335366690691</v>
      </c>
      <c r="AA611" s="18">
        <f t="shared" si="75"/>
        <v>1</v>
      </c>
      <c r="AF611" s="23">
        <f t="shared" si="76"/>
        <v>100069.83594129092</v>
      </c>
      <c r="AL611" s="18">
        <f t="shared" si="77"/>
        <v>1</v>
      </c>
    </row>
    <row r="612" spans="9:38" x14ac:dyDescent="0.2">
      <c r="I612" s="4">
        <v>605</v>
      </c>
      <c r="K612" s="14">
        <v>6.969400289224196</v>
      </c>
      <c r="L612" s="10">
        <v>6481.6983124160452</v>
      </c>
      <c r="O612" s="14">
        <v>7.4890721945314809</v>
      </c>
      <c r="P612" s="10">
        <v>9784.4691139014176</v>
      </c>
      <c r="R612" s="19">
        <f t="shared" si="72"/>
        <v>0.51967190530728491</v>
      </c>
      <c r="S612" s="23">
        <f t="shared" si="73"/>
        <v>3302.7708014853724</v>
      </c>
      <c r="U612" s="23">
        <f t="shared" si="74"/>
        <v>6355.4923168925698</v>
      </c>
      <c r="AA612" s="18">
        <f t="shared" si="75"/>
        <v>1</v>
      </c>
      <c r="AF612" s="23">
        <f t="shared" si="76"/>
        <v>22680.824463878875</v>
      </c>
      <c r="AL612" s="18">
        <f t="shared" si="77"/>
        <v>1</v>
      </c>
    </row>
    <row r="613" spans="9:38" x14ac:dyDescent="0.2">
      <c r="I613" s="4">
        <v>606</v>
      </c>
      <c r="K613" s="14">
        <v>7.0284867732750751</v>
      </c>
      <c r="L613" s="10">
        <v>8082.9888966587951</v>
      </c>
      <c r="O613" s="14">
        <v>7.2229674366293093</v>
      </c>
      <c r="P613" s="10">
        <v>10311.605007108505</v>
      </c>
      <c r="R613" s="19">
        <f t="shared" si="72"/>
        <v>0.1944806633542342</v>
      </c>
      <c r="S613" s="23">
        <f t="shared" si="73"/>
        <v>2228.6161104497096</v>
      </c>
      <c r="U613" s="23">
        <f t="shared" si="74"/>
        <v>11459.319769957934</v>
      </c>
      <c r="AA613" s="18">
        <f t="shared" si="75"/>
        <v>1</v>
      </c>
      <c r="AF613" s="23">
        <f t="shared" si="76"/>
        <v>7495.4170572620005</v>
      </c>
      <c r="AL613" s="18">
        <f t="shared" si="77"/>
        <v>1</v>
      </c>
    </row>
    <row r="614" spans="9:38" x14ac:dyDescent="0.2">
      <c r="I614" s="4">
        <v>607</v>
      </c>
      <c r="K614" s="14">
        <v>6.4524347234647408</v>
      </c>
      <c r="L614" s="10">
        <v>6262.3880374768369</v>
      </c>
      <c r="O614" s="14">
        <v>6.5203847242784612</v>
      </c>
      <c r="P614" s="10">
        <v>9428.6430116739048</v>
      </c>
      <c r="R614" s="19">
        <f t="shared" si="72"/>
        <v>6.7950000813720379E-2</v>
      </c>
      <c r="S614" s="23">
        <f t="shared" si="73"/>
        <v>3166.2549741970679</v>
      </c>
      <c r="U614" s="23">
        <f t="shared" si="74"/>
        <v>46596.834971012118</v>
      </c>
      <c r="AA614" s="18">
        <f t="shared" si="75"/>
        <v>1</v>
      </c>
      <c r="AF614" s="23">
        <f t="shared" si="76"/>
        <v>231.24506648895112</v>
      </c>
      <c r="AL614" s="18">
        <f t="shared" si="77"/>
        <v>1</v>
      </c>
    </row>
    <row r="615" spans="9:38" x14ac:dyDescent="0.2">
      <c r="I615" s="4">
        <v>608</v>
      </c>
      <c r="K615" s="14">
        <v>6.9606692998509434</v>
      </c>
      <c r="L615" s="10">
        <v>8440.3697165231806</v>
      </c>
      <c r="O615" s="14">
        <v>6.8988985267681651</v>
      </c>
      <c r="P615" s="10">
        <v>9540.9525894722647</v>
      </c>
      <c r="R615" s="19">
        <f t="shared" si="72"/>
        <v>-6.1770773082778341E-2</v>
      </c>
      <c r="S615" s="23">
        <f t="shared" si="73"/>
        <v>1100.582872949084</v>
      </c>
      <c r="U615" s="23">
        <f t="shared" si="74"/>
        <v>-17817.210600136168</v>
      </c>
      <c r="AA615" s="18">
        <f t="shared" si="75"/>
        <v>0</v>
      </c>
      <c r="AF615" s="23">
        <f t="shared" si="76"/>
        <v>-4189.1215270880011</v>
      </c>
      <c r="AL615" s="18">
        <f t="shared" si="77"/>
        <v>0</v>
      </c>
    </row>
    <row r="616" spans="9:38" x14ac:dyDescent="0.2">
      <c r="I616" s="4">
        <v>609</v>
      </c>
      <c r="K616" s="14">
        <v>6.3352746212305426</v>
      </c>
      <c r="L616" s="10">
        <v>6367.7112422673354</v>
      </c>
      <c r="O616" s="14">
        <v>7.0641233974671627</v>
      </c>
      <c r="P616" s="10">
        <v>10107.267886163796</v>
      </c>
      <c r="R616" s="19">
        <f t="shared" si="72"/>
        <v>0.72884877623662003</v>
      </c>
      <c r="S616" s="23">
        <f t="shared" si="73"/>
        <v>3739.5566438964606</v>
      </c>
      <c r="U616" s="23">
        <f t="shared" si="74"/>
        <v>5130.7716577442907</v>
      </c>
      <c r="AA616" s="18">
        <f t="shared" si="75"/>
        <v>1</v>
      </c>
      <c r="AF616" s="23">
        <f t="shared" si="76"/>
        <v>32702.882167934542</v>
      </c>
      <c r="AL616" s="18">
        <f t="shared" si="77"/>
        <v>1</v>
      </c>
    </row>
    <row r="617" spans="9:38" x14ac:dyDescent="0.2">
      <c r="I617" s="4">
        <v>610</v>
      </c>
      <c r="K617" s="14">
        <v>6.2604455710912168</v>
      </c>
      <c r="L617" s="10">
        <v>8044.5189048209004</v>
      </c>
      <c r="O617" s="14">
        <v>6.9955321227909906</v>
      </c>
      <c r="P617" s="10">
        <v>9857.643381199161</v>
      </c>
      <c r="R617" s="19">
        <f t="shared" si="72"/>
        <v>0.73508655169977377</v>
      </c>
      <c r="S617" s="23">
        <f t="shared" si="73"/>
        <v>1813.1244763782606</v>
      </c>
      <c r="U617" s="23">
        <f t="shared" si="74"/>
        <v>2466.5455682540937</v>
      </c>
      <c r="AA617" s="18">
        <f t="shared" si="75"/>
        <v>1</v>
      </c>
      <c r="AF617" s="23">
        <f t="shared" si="76"/>
        <v>34941.203108610425</v>
      </c>
      <c r="AL617" s="18">
        <f t="shared" si="77"/>
        <v>1</v>
      </c>
    </row>
    <row r="618" spans="9:38" x14ac:dyDescent="0.2">
      <c r="I618" s="4">
        <v>611</v>
      </c>
      <c r="K618" s="14">
        <v>6.4300123186385063</v>
      </c>
      <c r="L618" s="10">
        <v>6642.5935538000531</v>
      </c>
      <c r="O618" s="14">
        <v>7.1803587133315716</v>
      </c>
      <c r="P618" s="10">
        <v>9879.3509009165209</v>
      </c>
      <c r="R618" s="19">
        <f t="shared" si="72"/>
        <v>0.7503463946930653</v>
      </c>
      <c r="S618" s="23">
        <f t="shared" si="73"/>
        <v>3236.7573471164678</v>
      </c>
      <c r="U618" s="23">
        <f t="shared" si="74"/>
        <v>4313.6841464274476</v>
      </c>
      <c r="AA618" s="18">
        <f t="shared" si="75"/>
        <v>1</v>
      </c>
      <c r="AF618" s="23">
        <f t="shared" si="76"/>
        <v>34280.562387536796</v>
      </c>
      <c r="AL618" s="18">
        <f t="shared" si="77"/>
        <v>1</v>
      </c>
    </row>
    <row r="619" spans="9:38" x14ac:dyDescent="0.2">
      <c r="I619" s="4">
        <v>612</v>
      </c>
      <c r="K619" s="14">
        <v>6.3821529793250367</v>
      </c>
      <c r="L619" s="10">
        <v>6882.8105542649464</v>
      </c>
      <c r="O619" s="14">
        <v>7.1359216552128881</v>
      </c>
      <c r="P619" s="10">
        <v>10170.592006445073</v>
      </c>
      <c r="R619" s="19">
        <f t="shared" si="72"/>
        <v>0.75376867588785146</v>
      </c>
      <c r="S619" s="23">
        <f t="shared" si="73"/>
        <v>3287.7814521801265</v>
      </c>
      <c r="U619" s="23">
        <f t="shared" si="74"/>
        <v>4361.7910339767095</v>
      </c>
      <c r="AA619" s="18">
        <f t="shared" si="75"/>
        <v>1</v>
      </c>
      <c r="AF619" s="23">
        <f t="shared" si="76"/>
        <v>34400.652342212445</v>
      </c>
      <c r="AL619" s="18">
        <f t="shared" si="77"/>
        <v>1</v>
      </c>
    </row>
    <row r="620" spans="9:38" x14ac:dyDescent="0.2">
      <c r="I620" s="4">
        <v>613</v>
      </c>
      <c r="K620" s="14">
        <v>6.3386553266462666</v>
      </c>
      <c r="L620" s="10">
        <v>8272.7119332365419</v>
      </c>
      <c r="O620" s="14">
        <v>7.7677768473260302</v>
      </c>
      <c r="P620" s="10">
        <v>9816.9911968221859</v>
      </c>
      <c r="R620" s="19">
        <f t="shared" si="72"/>
        <v>1.4291215206797636</v>
      </c>
      <c r="S620" s="23">
        <f t="shared" si="73"/>
        <v>1544.279263585644</v>
      </c>
      <c r="U620" s="23">
        <f t="shared" si="74"/>
        <v>1080.5793917728602</v>
      </c>
      <c r="AA620" s="18">
        <f t="shared" si="75"/>
        <v>1</v>
      </c>
      <c r="AF620" s="23">
        <f t="shared" si="76"/>
        <v>69911.796770402536</v>
      </c>
      <c r="AL620" s="18">
        <f t="shared" si="77"/>
        <v>1</v>
      </c>
    </row>
    <row r="621" spans="9:38" x14ac:dyDescent="0.2">
      <c r="I621" s="4">
        <v>614</v>
      </c>
      <c r="K621" s="14">
        <v>6.119526198768809</v>
      </c>
      <c r="L621" s="10">
        <v>6541.3302855752836</v>
      </c>
      <c r="O621" s="14">
        <v>7.4039992276630207</v>
      </c>
      <c r="P621" s="10">
        <v>10225.128837085178</v>
      </c>
      <c r="R621" s="19">
        <f t="shared" si="72"/>
        <v>1.2844730288942117</v>
      </c>
      <c r="S621" s="23">
        <f t="shared" si="73"/>
        <v>3683.7985515098944</v>
      </c>
      <c r="U621" s="23">
        <f t="shared" si="74"/>
        <v>2867.9454287033454</v>
      </c>
      <c r="AA621" s="18">
        <f t="shared" si="75"/>
        <v>1</v>
      </c>
      <c r="AF621" s="23">
        <f t="shared" si="76"/>
        <v>60539.852893200688</v>
      </c>
      <c r="AL621" s="18">
        <f t="shared" si="77"/>
        <v>1</v>
      </c>
    </row>
    <row r="622" spans="9:38" x14ac:dyDescent="0.2">
      <c r="I622" s="4">
        <v>615</v>
      </c>
      <c r="K622" s="14">
        <v>5.9706901341193044</v>
      </c>
      <c r="L622" s="10">
        <v>5967.4043859337362</v>
      </c>
      <c r="O622" s="14">
        <v>6.9538746381440442</v>
      </c>
      <c r="P622" s="10">
        <v>9648.6026395952231</v>
      </c>
      <c r="R622" s="19">
        <f t="shared" si="72"/>
        <v>0.98318450402473978</v>
      </c>
      <c r="S622" s="23">
        <f t="shared" si="73"/>
        <v>3681.1982536614869</v>
      </c>
      <c r="U622" s="23">
        <f t="shared" si="74"/>
        <v>3744.1581296208642</v>
      </c>
      <c r="AA622" s="18">
        <f t="shared" si="75"/>
        <v>1</v>
      </c>
      <c r="AF622" s="23">
        <f t="shared" si="76"/>
        <v>45478.026947575498</v>
      </c>
      <c r="AL622" s="18">
        <f t="shared" si="77"/>
        <v>1</v>
      </c>
    </row>
    <row r="623" spans="9:38" x14ac:dyDescent="0.2">
      <c r="I623" s="4">
        <v>616</v>
      </c>
      <c r="K623" s="14">
        <v>5.7579644523460392</v>
      </c>
      <c r="L623" s="10">
        <v>6836.5711877208059</v>
      </c>
      <c r="O623" s="14">
        <v>7.0647691838968463</v>
      </c>
      <c r="P623" s="10">
        <v>9759.4175034501586</v>
      </c>
      <c r="R623" s="19">
        <f t="shared" si="72"/>
        <v>1.3068047315508071</v>
      </c>
      <c r="S623" s="23">
        <f t="shared" si="73"/>
        <v>2922.8463157293527</v>
      </c>
      <c r="U623" s="23">
        <f t="shared" si="74"/>
        <v>2236.6358532087361</v>
      </c>
      <c r="AA623" s="18">
        <f t="shared" si="75"/>
        <v>1</v>
      </c>
      <c r="AF623" s="23">
        <f t="shared" si="76"/>
        <v>62417.390261811008</v>
      </c>
      <c r="AL623" s="18">
        <f t="shared" si="77"/>
        <v>1</v>
      </c>
    </row>
    <row r="624" spans="9:38" x14ac:dyDescent="0.2">
      <c r="I624" s="4">
        <v>617</v>
      </c>
      <c r="K624" s="14">
        <v>5.9396698240311192</v>
      </c>
      <c r="L624" s="10">
        <v>6023.4895801415341</v>
      </c>
      <c r="O624" s="14">
        <v>6.2768000191683306</v>
      </c>
      <c r="P624" s="10">
        <v>8636.291461866942</v>
      </c>
      <c r="R624" s="19">
        <f t="shared" si="72"/>
        <v>0.33713019513721143</v>
      </c>
      <c r="S624" s="23">
        <f t="shared" si="73"/>
        <v>2612.8018817254078</v>
      </c>
      <c r="U624" s="23">
        <f t="shared" si="74"/>
        <v>7750.1271598113653</v>
      </c>
      <c r="AA624" s="18">
        <f t="shared" si="75"/>
        <v>1</v>
      </c>
      <c r="AF624" s="23">
        <f t="shared" si="76"/>
        <v>14243.707875135162</v>
      </c>
      <c r="AL624" s="18">
        <f t="shared" si="77"/>
        <v>1</v>
      </c>
    </row>
    <row r="625" spans="9:38" x14ac:dyDescent="0.2">
      <c r="I625" s="4">
        <v>618</v>
      </c>
      <c r="K625" s="14">
        <v>6.6354091377522364</v>
      </c>
      <c r="L625" s="10">
        <v>9459.9675159821782</v>
      </c>
      <c r="O625" s="14">
        <v>6.8310527606859441</v>
      </c>
      <c r="P625" s="10">
        <v>9231.9462580869767</v>
      </c>
      <c r="R625" s="19">
        <f t="shared" si="72"/>
        <v>0.19564362293370774</v>
      </c>
      <c r="S625" s="23">
        <f t="shared" si="73"/>
        <v>-228.02125789520142</v>
      </c>
      <c r="U625" s="23">
        <f t="shared" si="74"/>
        <v>-1165.4929226722845</v>
      </c>
      <c r="AA625" s="18">
        <f t="shared" si="75"/>
        <v>1</v>
      </c>
      <c r="AF625" s="23">
        <f t="shared" si="76"/>
        <v>10010.202404580588</v>
      </c>
      <c r="AL625" s="18">
        <f t="shared" si="77"/>
        <v>1</v>
      </c>
    </row>
    <row r="626" spans="9:38" x14ac:dyDescent="0.2">
      <c r="I626" s="4">
        <v>619</v>
      </c>
      <c r="K626" s="14">
        <v>7.2275011664689544</v>
      </c>
      <c r="L626" s="10">
        <v>7251.1302659080411</v>
      </c>
      <c r="O626" s="14">
        <v>7.3789507132468888</v>
      </c>
      <c r="P626" s="10">
        <v>10097.715822651475</v>
      </c>
      <c r="R626" s="19">
        <f t="shared" si="72"/>
        <v>0.15144954677793443</v>
      </c>
      <c r="S626" s="23">
        <f t="shared" si="73"/>
        <v>2846.5855567434337</v>
      </c>
      <c r="U626" s="23">
        <f t="shared" si="74"/>
        <v>18795.603006440753</v>
      </c>
      <c r="AA626" s="18">
        <f t="shared" si="75"/>
        <v>1</v>
      </c>
      <c r="AF626" s="23">
        <f t="shared" si="76"/>
        <v>4725.8917821532877</v>
      </c>
      <c r="AL626" s="18">
        <f t="shared" si="77"/>
        <v>1</v>
      </c>
    </row>
    <row r="627" spans="9:38" x14ac:dyDescent="0.2">
      <c r="I627" s="4">
        <v>620</v>
      </c>
      <c r="K627" s="14">
        <v>6.3401687941992755</v>
      </c>
      <c r="L627" s="10">
        <v>8849.5646417633288</v>
      </c>
      <c r="O627" s="14">
        <v>7.3723348408223082</v>
      </c>
      <c r="P627" s="10">
        <v>10121.41990568397</v>
      </c>
      <c r="R627" s="19">
        <f t="shared" si="72"/>
        <v>1.0321660466230327</v>
      </c>
      <c r="S627" s="23">
        <f t="shared" si="73"/>
        <v>1271.8552639206409</v>
      </c>
      <c r="U627" s="23">
        <f t="shared" si="74"/>
        <v>1232.2196298568495</v>
      </c>
      <c r="AA627" s="18">
        <f t="shared" si="75"/>
        <v>1</v>
      </c>
      <c r="AF627" s="23">
        <f t="shared" si="76"/>
        <v>50336.447067230998</v>
      </c>
      <c r="AL627" s="18">
        <f t="shared" si="77"/>
        <v>1</v>
      </c>
    </row>
    <row r="628" spans="9:38" x14ac:dyDescent="0.2">
      <c r="I628" s="4">
        <v>621</v>
      </c>
      <c r="K628" s="14">
        <v>6.6903149170660763</v>
      </c>
      <c r="L628" s="10">
        <v>5465.2626582172734</v>
      </c>
      <c r="O628" s="14">
        <v>7.1807999963354154</v>
      </c>
      <c r="P628" s="10">
        <v>9911.5833642485941</v>
      </c>
      <c r="R628" s="19">
        <f t="shared" si="72"/>
        <v>0.49048507926933915</v>
      </c>
      <c r="S628" s="23">
        <f t="shared" si="73"/>
        <v>4446.3207060313207</v>
      </c>
      <c r="U628" s="23">
        <f t="shared" si="74"/>
        <v>9065.1497751060451</v>
      </c>
      <c r="AA628" s="18">
        <f t="shared" si="75"/>
        <v>1</v>
      </c>
      <c r="AF628" s="23">
        <f t="shared" si="76"/>
        <v>20077.933257435638</v>
      </c>
      <c r="AL628" s="18">
        <f t="shared" si="77"/>
        <v>1</v>
      </c>
    </row>
    <row r="629" spans="9:38" x14ac:dyDescent="0.2">
      <c r="I629" s="4">
        <v>622</v>
      </c>
      <c r="K629" s="14">
        <v>6.6091006122052285</v>
      </c>
      <c r="L629" s="10">
        <v>7494.6431054570594</v>
      </c>
      <c r="O629" s="14">
        <v>7.2689216828715466</v>
      </c>
      <c r="P629" s="10">
        <v>10125.42836372672</v>
      </c>
      <c r="R629" s="19">
        <f t="shared" si="72"/>
        <v>0.65982107066631812</v>
      </c>
      <c r="S629" s="23">
        <f t="shared" si="73"/>
        <v>2630.7852582696605</v>
      </c>
      <c r="U629" s="23">
        <f t="shared" si="74"/>
        <v>3987.1191982592654</v>
      </c>
      <c r="AA629" s="18">
        <f t="shared" si="75"/>
        <v>1</v>
      </c>
      <c r="AF629" s="23">
        <f t="shared" si="76"/>
        <v>30360.268275046245</v>
      </c>
      <c r="AL629" s="18">
        <f t="shared" si="77"/>
        <v>1</v>
      </c>
    </row>
    <row r="630" spans="9:38" x14ac:dyDescent="0.2">
      <c r="I630" s="4">
        <v>623</v>
      </c>
      <c r="K630" s="14">
        <v>6.9236152276412728</v>
      </c>
      <c r="L630" s="10">
        <v>7109.7354910892409</v>
      </c>
      <c r="O630" s="14">
        <v>7.0037176062368873</v>
      </c>
      <c r="P630" s="10">
        <v>9190.7783324807078</v>
      </c>
      <c r="R630" s="19">
        <f t="shared" si="72"/>
        <v>8.0102378595614532E-2</v>
      </c>
      <c r="S630" s="23">
        <f t="shared" si="73"/>
        <v>2081.0428413914669</v>
      </c>
      <c r="U630" s="23">
        <f t="shared" si="74"/>
        <v>25979.788339336537</v>
      </c>
      <c r="AA630" s="18">
        <f t="shared" si="75"/>
        <v>1</v>
      </c>
      <c r="AF630" s="23">
        <f t="shared" si="76"/>
        <v>1924.0760883892594</v>
      </c>
      <c r="AL630" s="18">
        <f t="shared" si="77"/>
        <v>1</v>
      </c>
    </row>
    <row r="631" spans="9:38" x14ac:dyDescent="0.2">
      <c r="I631" s="4">
        <v>624</v>
      </c>
      <c r="K631" s="14">
        <v>6.2805828061091891</v>
      </c>
      <c r="L631" s="10">
        <v>5653.687757827407</v>
      </c>
      <c r="O631" s="14">
        <v>7.1747345057184582</v>
      </c>
      <c r="P631" s="10">
        <v>9808.8411187857255</v>
      </c>
      <c r="R631" s="19">
        <f t="shared" si="72"/>
        <v>0.8941516996092691</v>
      </c>
      <c r="S631" s="23">
        <f t="shared" si="73"/>
        <v>4155.1533609583184</v>
      </c>
      <c r="U631" s="23">
        <f t="shared" si="74"/>
        <v>4647.0340131032108</v>
      </c>
      <c r="AA631" s="18">
        <f t="shared" si="75"/>
        <v>1</v>
      </c>
      <c r="AF631" s="23">
        <f t="shared" si="76"/>
        <v>40552.431619505136</v>
      </c>
      <c r="AL631" s="18">
        <f t="shared" si="77"/>
        <v>1</v>
      </c>
    </row>
    <row r="632" spans="9:38" x14ac:dyDescent="0.2">
      <c r="I632" s="4">
        <v>625</v>
      </c>
      <c r="K632" s="14">
        <v>6.7229021372628006</v>
      </c>
      <c r="L632" s="10">
        <v>7545.137480117548</v>
      </c>
      <c r="O632" s="14">
        <v>7.2377883243737156</v>
      </c>
      <c r="P632" s="10">
        <v>10066.713124368885</v>
      </c>
      <c r="R632" s="19">
        <f t="shared" si="72"/>
        <v>0.51488618711091494</v>
      </c>
      <c r="S632" s="23">
        <f t="shared" si="73"/>
        <v>2521.5756442513375</v>
      </c>
      <c r="U632" s="23">
        <f t="shared" si="74"/>
        <v>4897.3456802175751</v>
      </c>
      <c r="AA632" s="18">
        <f t="shared" si="75"/>
        <v>1</v>
      </c>
      <c r="AF632" s="23">
        <f t="shared" si="76"/>
        <v>23222.733711294408</v>
      </c>
      <c r="AL632" s="18">
        <f t="shared" si="77"/>
        <v>1</v>
      </c>
    </row>
    <row r="633" spans="9:38" x14ac:dyDescent="0.2">
      <c r="I633" s="4">
        <v>626</v>
      </c>
      <c r="K633" s="14">
        <v>6.740254538000233</v>
      </c>
      <c r="L633" s="10">
        <v>9684.5928096938696</v>
      </c>
      <c r="O633" s="14">
        <v>7.3655029199262358</v>
      </c>
      <c r="P633" s="10">
        <v>10101.213655851323</v>
      </c>
      <c r="R633" s="19">
        <f t="shared" si="72"/>
        <v>0.62524838192600285</v>
      </c>
      <c r="S633" s="23">
        <f t="shared" si="73"/>
        <v>416.62084615745334</v>
      </c>
      <c r="U633" s="23">
        <f t="shared" si="74"/>
        <v>666.32854750315812</v>
      </c>
      <c r="AA633" s="18">
        <f t="shared" si="75"/>
        <v>1</v>
      </c>
      <c r="AF633" s="23">
        <f t="shared" si="76"/>
        <v>30845.798250142689</v>
      </c>
      <c r="AL633" s="18">
        <f t="shared" si="77"/>
        <v>1</v>
      </c>
    </row>
    <row r="634" spans="9:38" x14ac:dyDescent="0.2">
      <c r="I634" s="4">
        <v>627</v>
      </c>
      <c r="K634" s="14">
        <v>6.6151985053342139</v>
      </c>
      <c r="L634" s="10">
        <v>6270.1255182534087</v>
      </c>
      <c r="O634" s="14">
        <v>6.792215262914203</v>
      </c>
      <c r="P634" s="10">
        <v>9591.0817712282769</v>
      </c>
      <c r="R634" s="19">
        <f t="shared" si="72"/>
        <v>0.17701675757998903</v>
      </c>
      <c r="S634" s="23">
        <f t="shared" si="73"/>
        <v>3320.9562529748682</v>
      </c>
      <c r="U634" s="23">
        <f t="shared" si="74"/>
        <v>18760.688526758371</v>
      </c>
      <c r="AA634" s="18">
        <f t="shared" si="75"/>
        <v>1</v>
      </c>
      <c r="AF634" s="23">
        <f t="shared" si="76"/>
        <v>5529.8816260245831</v>
      </c>
      <c r="AL634" s="18">
        <f t="shared" si="77"/>
        <v>1</v>
      </c>
    </row>
    <row r="635" spans="9:38" x14ac:dyDescent="0.2">
      <c r="I635" s="4">
        <v>628</v>
      </c>
      <c r="K635" s="14">
        <v>6.4605253287112756</v>
      </c>
      <c r="L635" s="10">
        <v>6052.1785062115287</v>
      </c>
      <c r="O635" s="14">
        <v>7.1001873293874489</v>
      </c>
      <c r="P635" s="10">
        <v>9344.7081804560512</v>
      </c>
      <c r="R635" s="19">
        <f t="shared" si="72"/>
        <v>0.63966200067617329</v>
      </c>
      <c r="S635" s="23">
        <f t="shared" si="73"/>
        <v>3292.5296742445225</v>
      </c>
      <c r="U635" s="23">
        <f t="shared" si="74"/>
        <v>5147.2960262827219</v>
      </c>
      <c r="AA635" s="18">
        <f t="shared" si="75"/>
        <v>1</v>
      </c>
      <c r="AF635" s="23">
        <f t="shared" si="76"/>
        <v>28690.570359564139</v>
      </c>
      <c r="AL635" s="18">
        <f t="shared" si="77"/>
        <v>1</v>
      </c>
    </row>
    <row r="636" spans="9:38" x14ac:dyDescent="0.2">
      <c r="I636" s="4">
        <v>629</v>
      </c>
      <c r="K636" s="14">
        <v>6.3955340258862261</v>
      </c>
      <c r="L636" s="10">
        <v>7649.3437917401725</v>
      </c>
      <c r="O636" s="14">
        <v>7.8940492338430976</v>
      </c>
      <c r="P636" s="10">
        <v>10340.967637175176</v>
      </c>
      <c r="R636" s="19">
        <f t="shared" si="72"/>
        <v>1.4985152079568715</v>
      </c>
      <c r="S636" s="23">
        <f t="shared" si="73"/>
        <v>2691.6238454350032</v>
      </c>
      <c r="U636" s="23">
        <f t="shared" si="74"/>
        <v>1796.1938798771739</v>
      </c>
      <c r="AA636" s="18">
        <f t="shared" si="75"/>
        <v>1</v>
      </c>
      <c r="AF636" s="23">
        <f t="shared" si="76"/>
        <v>72234.13655240857</v>
      </c>
      <c r="AL636" s="18">
        <f t="shared" si="77"/>
        <v>1</v>
      </c>
    </row>
    <row r="637" spans="9:38" x14ac:dyDescent="0.2">
      <c r="I637" s="4">
        <v>630</v>
      </c>
      <c r="K637" s="14">
        <v>7.0536955701559796</v>
      </c>
      <c r="L637" s="10">
        <v>6526.5482449354949</v>
      </c>
      <c r="O637" s="14">
        <v>7.5419511055706598</v>
      </c>
      <c r="P637" s="10">
        <v>9995.051237887963</v>
      </c>
      <c r="R637" s="19">
        <f t="shared" si="72"/>
        <v>0.48825553541468025</v>
      </c>
      <c r="S637" s="23">
        <f t="shared" si="73"/>
        <v>3468.502992952468</v>
      </c>
      <c r="U637" s="23">
        <f t="shared" si="74"/>
        <v>7103.8682439240229</v>
      </c>
      <c r="AA637" s="18">
        <f t="shared" si="75"/>
        <v>1</v>
      </c>
      <c r="AF637" s="23">
        <f t="shared" si="76"/>
        <v>20944.273777781546</v>
      </c>
      <c r="AL637" s="18">
        <f t="shared" si="77"/>
        <v>1</v>
      </c>
    </row>
    <row r="638" spans="9:38" x14ac:dyDescent="0.2">
      <c r="I638" s="4">
        <v>631</v>
      </c>
      <c r="K638" s="14">
        <v>6.1309575808369372</v>
      </c>
      <c r="L638" s="10">
        <v>6666.5323528405224</v>
      </c>
      <c r="O638" s="14">
        <v>7.222063271902238</v>
      </c>
      <c r="P638" s="10">
        <v>9651.5137877716697</v>
      </c>
      <c r="R638" s="19">
        <f t="shared" si="72"/>
        <v>1.0911056910653008</v>
      </c>
      <c r="S638" s="23">
        <f t="shared" si="73"/>
        <v>2984.9814349311473</v>
      </c>
      <c r="U638" s="23">
        <f t="shared" si="74"/>
        <v>2735.7399556927994</v>
      </c>
      <c r="AA638" s="18">
        <f t="shared" si="75"/>
        <v>1</v>
      </c>
      <c r="AF638" s="23">
        <f t="shared" si="76"/>
        <v>51570.30311833389</v>
      </c>
      <c r="AL638" s="18">
        <f t="shared" si="77"/>
        <v>1</v>
      </c>
    </row>
    <row r="639" spans="9:38" x14ac:dyDescent="0.2">
      <c r="I639" s="4">
        <v>632</v>
      </c>
      <c r="K639" s="14">
        <v>6.8905115265030874</v>
      </c>
      <c r="L639" s="10">
        <v>9123.619609119658</v>
      </c>
      <c r="O639" s="14">
        <v>6.9128412284103709</v>
      </c>
      <c r="P639" s="10">
        <v>10389.374317641381</v>
      </c>
      <c r="R639" s="19">
        <f t="shared" si="72"/>
        <v>2.232970190728345E-2</v>
      </c>
      <c r="S639" s="23">
        <f t="shared" si="73"/>
        <v>1265.7547085217229</v>
      </c>
      <c r="U639" s="23">
        <f t="shared" si="74"/>
        <v>56684.800978416199</v>
      </c>
      <c r="AA639" s="18">
        <f t="shared" si="75"/>
        <v>0</v>
      </c>
      <c r="AF639" s="23">
        <f t="shared" si="76"/>
        <v>-149.26961315755034</v>
      </c>
      <c r="AL639" s="18">
        <f t="shared" si="77"/>
        <v>0</v>
      </c>
    </row>
    <row r="640" spans="9:38" x14ac:dyDescent="0.2">
      <c r="I640" s="4">
        <v>633</v>
      </c>
      <c r="K640" s="14">
        <v>6.6198005520528787</v>
      </c>
      <c r="L640" s="10">
        <v>6592.1639742027</v>
      </c>
      <c r="O640" s="14">
        <v>7.5662970880959186</v>
      </c>
      <c r="P640" s="10">
        <v>9500.5202856643882</v>
      </c>
      <c r="R640" s="19">
        <f t="shared" si="72"/>
        <v>0.94649653604303996</v>
      </c>
      <c r="S640" s="23">
        <f t="shared" si="73"/>
        <v>2908.3563114616882</v>
      </c>
      <c r="U640" s="23">
        <f t="shared" si="74"/>
        <v>3072.7595936277539</v>
      </c>
      <c r="AA640" s="18">
        <f t="shared" si="75"/>
        <v>1</v>
      </c>
      <c r="AF640" s="23">
        <f t="shared" si="76"/>
        <v>44416.470490690306</v>
      </c>
      <c r="AL640" s="18">
        <f t="shared" si="77"/>
        <v>1</v>
      </c>
    </row>
    <row r="641" spans="9:38" x14ac:dyDescent="0.2">
      <c r="I641" s="4">
        <v>634</v>
      </c>
      <c r="K641" s="14">
        <v>6.6290936042358544</v>
      </c>
      <c r="L641" s="10">
        <v>8562.6731038186135</v>
      </c>
      <c r="O641" s="14">
        <v>7.5931957068408327</v>
      </c>
      <c r="P641" s="10">
        <v>9981.9285077587574</v>
      </c>
      <c r="R641" s="19">
        <f t="shared" si="72"/>
        <v>0.96410210260497831</v>
      </c>
      <c r="S641" s="23">
        <f t="shared" si="73"/>
        <v>1419.2554039401439</v>
      </c>
      <c r="U641" s="23">
        <f t="shared" si="74"/>
        <v>1472.1007247109549</v>
      </c>
      <c r="AA641" s="18">
        <f t="shared" si="75"/>
        <v>1</v>
      </c>
      <c r="AF641" s="23">
        <f t="shared" si="76"/>
        <v>46785.84972630877</v>
      </c>
      <c r="AL641" s="18">
        <f t="shared" si="77"/>
        <v>1</v>
      </c>
    </row>
    <row r="642" spans="9:38" x14ac:dyDescent="0.2">
      <c r="I642" s="4">
        <v>635</v>
      </c>
      <c r="K642" s="14">
        <v>6.1751588005653106</v>
      </c>
      <c r="L642" s="10">
        <v>7476.758597680483</v>
      </c>
      <c r="O642" s="14">
        <v>7.4674757242312673</v>
      </c>
      <c r="P642" s="10">
        <v>9720.5928642883355</v>
      </c>
      <c r="R642" s="19">
        <f t="shared" si="72"/>
        <v>1.2923169236659566</v>
      </c>
      <c r="S642" s="23">
        <f t="shared" si="73"/>
        <v>2243.8342666078524</v>
      </c>
      <c r="U642" s="23">
        <f t="shared" si="74"/>
        <v>1736.2879225033255</v>
      </c>
      <c r="AA642" s="18">
        <f t="shared" si="75"/>
        <v>1</v>
      </c>
      <c r="AF642" s="23">
        <f t="shared" si="76"/>
        <v>62372.011916689975</v>
      </c>
      <c r="AL642" s="18">
        <f t="shared" si="77"/>
        <v>1</v>
      </c>
    </row>
    <row r="643" spans="9:38" x14ac:dyDescent="0.2">
      <c r="I643" s="4">
        <v>636</v>
      </c>
      <c r="K643" s="14">
        <v>6.3820233926313703</v>
      </c>
      <c r="L643" s="10">
        <v>5568.5237250150394</v>
      </c>
      <c r="O643" s="14">
        <v>6.5367645461424297</v>
      </c>
      <c r="P643" s="10">
        <v>9228.2505759217056</v>
      </c>
      <c r="R643" s="19">
        <f t="shared" si="72"/>
        <v>0.15474115351105944</v>
      </c>
      <c r="S643" s="23">
        <f t="shared" si="73"/>
        <v>3659.7268509066662</v>
      </c>
      <c r="U643" s="23">
        <f t="shared" si="74"/>
        <v>23650.637001650008</v>
      </c>
      <c r="AA643" s="18">
        <f t="shared" si="75"/>
        <v>1</v>
      </c>
      <c r="AF643" s="23">
        <f t="shared" si="76"/>
        <v>4077.3308246463057</v>
      </c>
      <c r="AL643" s="18">
        <f t="shared" si="77"/>
        <v>1</v>
      </c>
    </row>
    <row r="644" spans="9:38" x14ac:dyDescent="0.2">
      <c r="I644" s="4">
        <v>637</v>
      </c>
      <c r="K644" s="14">
        <v>6.4082617920806921</v>
      </c>
      <c r="L644" s="10">
        <v>5590.6405834630605</v>
      </c>
      <c r="O644" s="14">
        <v>7.3372652842778097</v>
      </c>
      <c r="P644" s="10">
        <v>9922.2259385609213</v>
      </c>
      <c r="R644" s="19">
        <f t="shared" si="72"/>
        <v>0.92900349219711753</v>
      </c>
      <c r="S644" s="23">
        <f t="shared" si="73"/>
        <v>4331.5853550978609</v>
      </c>
      <c r="U644" s="23">
        <f t="shared" si="74"/>
        <v>4662.6147172531591</v>
      </c>
      <c r="AA644" s="18">
        <f t="shared" si="75"/>
        <v>1</v>
      </c>
      <c r="AF644" s="23">
        <f t="shared" si="76"/>
        <v>42118.589254758015</v>
      </c>
      <c r="AL644" s="18">
        <f t="shared" si="77"/>
        <v>1</v>
      </c>
    </row>
    <row r="645" spans="9:38" x14ac:dyDescent="0.2">
      <c r="I645" s="4">
        <v>638</v>
      </c>
      <c r="K645" s="14">
        <v>6.6208833053879834</v>
      </c>
      <c r="L645" s="10">
        <v>6646.0177866938784</v>
      </c>
      <c r="O645" s="14">
        <v>6.7509805862573709</v>
      </c>
      <c r="P645" s="10">
        <v>9600.1894843688115</v>
      </c>
      <c r="R645" s="19">
        <f t="shared" si="72"/>
        <v>0.13009728086938743</v>
      </c>
      <c r="S645" s="23">
        <f t="shared" si="73"/>
        <v>2954.1716976749331</v>
      </c>
      <c r="U645" s="23">
        <f t="shared" si="74"/>
        <v>22707.405396434115</v>
      </c>
      <c r="AA645" s="18">
        <f t="shared" si="75"/>
        <v>1</v>
      </c>
      <c r="AF645" s="23">
        <f t="shared" si="76"/>
        <v>3550.6923457944386</v>
      </c>
      <c r="AL645" s="18">
        <f t="shared" si="77"/>
        <v>1</v>
      </c>
    </row>
    <row r="646" spans="9:38" x14ac:dyDescent="0.2">
      <c r="I646" s="4">
        <v>639</v>
      </c>
      <c r="K646" s="14">
        <v>6.4434065675080214</v>
      </c>
      <c r="L646" s="10">
        <v>6076.5468011331404</v>
      </c>
      <c r="O646" s="14">
        <v>6.6684414935363563</v>
      </c>
      <c r="P646" s="10">
        <v>9177.9216868316016</v>
      </c>
      <c r="R646" s="19">
        <f t="shared" si="72"/>
        <v>0.22503492602833486</v>
      </c>
      <c r="S646" s="23">
        <f t="shared" si="73"/>
        <v>3101.3748856984612</v>
      </c>
      <c r="U646" s="23">
        <f t="shared" si="74"/>
        <v>13781.749084175304</v>
      </c>
      <c r="AA646" s="18">
        <f t="shared" si="75"/>
        <v>1</v>
      </c>
      <c r="AF646" s="23">
        <f t="shared" si="76"/>
        <v>8150.3714157182812</v>
      </c>
      <c r="AL646" s="18">
        <f t="shared" si="77"/>
        <v>1</v>
      </c>
    </row>
    <row r="647" spans="9:38" x14ac:dyDescent="0.2">
      <c r="I647" s="4">
        <v>640</v>
      </c>
      <c r="K647" s="14">
        <v>6.803255167748099</v>
      </c>
      <c r="L647" s="10">
        <v>7087.0059248341349</v>
      </c>
      <c r="O647" s="14">
        <v>7.0639506907577632</v>
      </c>
      <c r="P647" s="10">
        <v>10191.721130355179</v>
      </c>
      <c r="R647" s="19">
        <f t="shared" si="72"/>
        <v>0.26069552300966414</v>
      </c>
      <c r="S647" s="23">
        <f t="shared" si="73"/>
        <v>3104.7152055210445</v>
      </c>
      <c r="U647" s="23">
        <f t="shared" si="74"/>
        <v>11909.353753673595</v>
      </c>
      <c r="AA647" s="18">
        <f t="shared" si="75"/>
        <v>1</v>
      </c>
      <c r="AF647" s="23">
        <f t="shared" si="76"/>
        <v>9930.0609449621625</v>
      </c>
      <c r="AL647" s="18">
        <f t="shared" si="77"/>
        <v>1</v>
      </c>
    </row>
    <row r="648" spans="9:38" x14ac:dyDescent="0.2">
      <c r="I648" s="4">
        <v>641</v>
      </c>
      <c r="K648" s="14">
        <v>6.2888863007736653</v>
      </c>
      <c r="L648" s="10">
        <v>8240.7243640429188</v>
      </c>
      <c r="O648" s="14">
        <v>6.789330721161563</v>
      </c>
      <c r="P648" s="10">
        <v>10168.352010193054</v>
      </c>
      <c r="R648" s="19">
        <f t="shared" ref="R648:R711" si="78">O648-K648</f>
        <v>0.50044442038789771</v>
      </c>
      <c r="S648" s="23">
        <f t="shared" ref="S648:S711" si="79">P648-L648</f>
        <v>1927.6276461501348</v>
      </c>
      <c r="U648" s="23">
        <f t="shared" ref="U648:U711" si="80">S648/R648</f>
        <v>3851.8316272884372</v>
      </c>
      <c r="AA648" s="18">
        <f t="shared" ref="AA648:AA711" si="81">IF(R648&lt;0,IF(U648&lt;Rc_,0,1),IF(U648&lt;Rc_,1,0))</f>
        <v>1</v>
      </c>
      <c r="AF648" s="23">
        <f t="shared" ref="AF648:AF711" si="82">R648*Rc_-S648</f>
        <v>23094.593373244752</v>
      </c>
      <c r="AL648" s="18">
        <f t="shared" ref="AL648:AL711" si="83">IF(AF648&gt;0,1,0)</f>
        <v>1</v>
      </c>
    </row>
    <row r="649" spans="9:38" x14ac:dyDescent="0.2">
      <c r="I649" s="4">
        <v>642</v>
      </c>
      <c r="K649" s="14">
        <v>6.2553612040364532</v>
      </c>
      <c r="L649" s="10">
        <v>5886.8501213694663</v>
      </c>
      <c r="O649" s="14">
        <v>6.6770746356133666</v>
      </c>
      <c r="P649" s="10">
        <v>9208.8688540519361</v>
      </c>
      <c r="R649" s="19">
        <f t="shared" si="78"/>
        <v>0.42171343157691332</v>
      </c>
      <c r="S649" s="23">
        <f t="shared" si="79"/>
        <v>3322.0187326824698</v>
      </c>
      <c r="U649" s="23">
        <f t="shared" si="80"/>
        <v>7877.4316489290914</v>
      </c>
      <c r="AA649" s="18">
        <f t="shared" si="81"/>
        <v>1</v>
      </c>
      <c r="AF649" s="23">
        <f t="shared" si="82"/>
        <v>17763.652846163197</v>
      </c>
      <c r="AL649" s="18">
        <f t="shared" si="83"/>
        <v>1</v>
      </c>
    </row>
    <row r="650" spans="9:38" x14ac:dyDescent="0.2">
      <c r="I650" s="4">
        <v>643</v>
      </c>
      <c r="K650" s="14">
        <v>6.5985443234319492</v>
      </c>
      <c r="L650" s="10">
        <v>5792.946785656377</v>
      </c>
      <c r="O650" s="14">
        <v>7.1749963766306557</v>
      </c>
      <c r="P650" s="10">
        <v>10194.256484582664</v>
      </c>
      <c r="R650" s="19">
        <f t="shared" si="78"/>
        <v>0.57645205319870652</v>
      </c>
      <c r="S650" s="23">
        <f t="shared" si="79"/>
        <v>4401.3096989262867</v>
      </c>
      <c r="U650" s="23">
        <f t="shared" si="80"/>
        <v>7635.170478626309</v>
      </c>
      <c r="AA650" s="18">
        <f t="shared" si="81"/>
        <v>1</v>
      </c>
      <c r="AF650" s="23">
        <f t="shared" si="82"/>
        <v>24421.292961009036</v>
      </c>
      <c r="AL650" s="18">
        <f t="shared" si="83"/>
        <v>1</v>
      </c>
    </row>
    <row r="651" spans="9:38" x14ac:dyDescent="0.2">
      <c r="I651" s="4">
        <v>644</v>
      </c>
      <c r="K651" s="14">
        <v>6.8915045617089001</v>
      </c>
      <c r="L651" s="10">
        <v>6157.6035133143414</v>
      </c>
      <c r="O651" s="14">
        <v>7.6428093927662539</v>
      </c>
      <c r="P651" s="10">
        <v>10203.354714191519</v>
      </c>
      <c r="R651" s="19">
        <f t="shared" si="78"/>
        <v>0.75130483105735379</v>
      </c>
      <c r="S651" s="23">
        <f t="shared" si="79"/>
        <v>4045.7512008771773</v>
      </c>
      <c r="U651" s="23">
        <f t="shared" si="80"/>
        <v>5384.9663061308456</v>
      </c>
      <c r="AA651" s="18">
        <f t="shared" si="81"/>
        <v>1</v>
      </c>
      <c r="AF651" s="23">
        <f t="shared" si="82"/>
        <v>33519.490351990506</v>
      </c>
      <c r="AL651" s="18">
        <f t="shared" si="83"/>
        <v>1</v>
      </c>
    </row>
    <row r="652" spans="9:38" x14ac:dyDescent="0.2">
      <c r="I652" s="4">
        <v>645</v>
      </c>
      <c r="K652" s="14">
        <v>7.2131902507969752</v>
      </c>
      <c r="L652" s="10">
        <v>8580.3175712979264</v>
      </c>
      <c r="O652" s="14">
        <v>6.7829257410323986</v>
      </c>
      <c r="P652" s="10">
        <v>9116.7631949998213</v>
      </c>
      <c r="R652" s="19">
        <f t="shared" si="78"/>
        <v>-0.43026450976457653</v>
      </c>
      <c r="S652" s="23">
        <f t="shared" si="79"/>
        <v>536.44562370189487</v>
      </c>
      <c r="U652" s="23">
        <f t="shared" si="80"/>
        <v>-1246.7810184842258</v>
      </c>
      <c r="AA652" s="18">
        <f t="shared" si="81"/>
        <v>0</v>
      </c>
      <c r="AF652" s="23">
        <f t="shared" si="82"/>
        <v>-22049.671111930722</v>
      </c>
      <c r="AL652" s="18">
        <f t="shared" si="83"/>
        <v>0</v>
      </c>
    </row>
    <row r="653" spans="9:38" x14ac:dyDescent="0.2">
      <c r="I653" s="4">
        <v>646</v>
      </c>
      <c r="K653" s="14">
        <v>6.7815372644913614</v>
      </c>
      <c r="L653" s="10">
        <v>7663.5497076854317</v>
      </c>
      <c r="O653" s="14">
        <v>6.7616693568715718</v>
      </c>
      <c r="P653" s="10">
        <v>10031.140540804998</v>
      </c>
      <c r="R653" s="19">
        <f t="shared" si="78"/>
        <v>-1.9867907619789626E-2</v>
      </c>
      <c r="S653" s="23">
        <f t="shared" si="79"/>
        <v>2367.590833119566</v>
      </c>
      <c r="U653" s="23">
        <f t="shared" si="80"/>
        <v>-119166.59159222704</v>
      </c>
      <c r="AA653" s="18">
        <f t="shared" si="81"/>
        <v>0</v>
      </c>
      <c r="AF653" s="23">
        <f t="shared" si="82"/>
        <v>-3360.9862141090471</v>
      </c>
      <c r="AL653" s="18">
        <f t="shared" si="83"/>
        <v>0</v>
      </c>
    </row>
    <row r="654" spans="9:38" x14ac:dyDescent="0.2">
      <c r="I654" s="4">
        <v>647</v>
      </c>
      <c r="K654" s="14">
        <v>6.0279228179914535</v>
      </c>
      <c r="L654" s="10">
        <v>6811.3427551611539</v>
      </c>
      <c r="O654" s="14">
        <v>7.1826441790474753</v>
      </c>
      <c r="P654" s="10">
        <v>9771.3148578362998</v>
      </c>
      <c r="R654" s="19">
        <f t="shared" si="78"/>
        <v>1.1547213610560219</v>
      </c>
      <c r="S654" s="23">
        <f t="shared" si="79"/>
        <v>2959.9721026751458</v>
      </c>
      <c r="U654" s="23">
        <f t="shared" si="80"/>
        <v>2563.364810336735</v>
      </c>
      <c r="AA654" s="18">
        <f t="shared" si="81"/>
        <v>1</v>
      </c>
      <c r="AF654" s="23">
        <f t="shared" si="82"/>
        <v>54776.095950125949</v>
      </c>
      <c r="AL654" s="18">
        <f t="shared" si="83"/>
        <v>1</v>
      </c>
    </row>
    <row r="655" spans="9:38" x14ac:dyDescent="0.2">
      <c r="I655" s="4">
        <v>648</v>
      </c>
      <c r="K655" s="14">
        <v>6.7233919998995164</v>
      </c>
      <c r="L655" s="10">
        <v>7571.0465083801328</v>
      </c>
      <c r="O655" s="14">
        <v>6.9548256783812743</v>
      </c>
      <c r="P655" s="10">
        <v>8996.1428982794405</v>
      </c>
      <c r="R655" s="19">
        <f t="shared" si="78"/>
        <v>0.23143367848175789</v>
      </c>
      <c r="S655" s="23">
        <f t="shared" si="79"/>
        <v>1425.0963898993077</v>
      </c>
      <c r="U655" s="23">
        <f t="shared" si="80"/>
        <v>6157.688022107106</v>
      </c>
      <c r="AA655" s="18">
        <f t="shared" si="81"/>
        <v>1</v>
      </c>
      <c r="AF655" s="23">
        <f t="shared" si="82"/>
        <v>10146.587534188588</v>
      </c>
      <c r="AL655" s="18">
        <f t="shared" si="83"/>
        <v>1</v>
      </c>
    </row>
    <row r="656" spans="9:38" x14ac:dyDescent="0.2">
      <c r="I656" s="4">
        <v>649</v>
      </c>
      <c r="K656" s="14">
        <v>6.1185939100208566</v>
      </c>
      <c r="L656" s="10">
        <v>7090.9582877965904</v>
      </c>
      <c r="O656" s="14">
        <v>7.495850843583229</v>
      </c>
      <c r="P656" s="10">
        <v>10252.033713310477</v>
      </c>
      <c r="R656" s="19">
        <f t="shared" si="78"/>
        <v>1.3772569335623723</v>
      </c>
      <c r="S656" s="23">
        <f t="shared" si="79"/>
        <v>3161.0754255138863</v>
      </c>
      <c r="U656" s="23">
        <f t="shared" si="80"/>
        <v>2295.196595843262</v>
      </c>
      <c r="AA656" s="18">
        <f t="shared" si="81"/>
        <v>1</v>
      </c>
      <c r="AF656" s="23">
        <f t="shared" si="82"/>
        <v>65701.771252604725</v>
      </c>
      <c r="AL656" s="18">
        <f t="shared" si="83"/>
        <v>1</v>
      </c>
    </row>
    <row r="657" spans="9:38" x14ac:dyDescent="0.2">
      <c r="I657" s="4">
        <v>650</v>
      </c>
      <c r="K657" s="14">
        <v>6.8095540414907854</v>
      </c>
      <c r="L657" s="10">
        <v>7915.7053590646092</v>
      </c>
      <c r="O657" s="14">
        <v>6.8076304285086131</v>
      </c>
      <c r="P657" s="10">
        <v>9358.4596067181355</v>
      </c>
      <c r="R657" s="19">
        <f t="shared" si="78"/>
        <v>-1.9236129821722514E-3</v>
      </c>
      <c r="S657" s="23">
        <f t="shared" si="79"/>
        <v>1442.7542476535264</v>
      </c>
      <c r="U657" s="23">
        <f t="shared" si="80"/>
        <v>-750023.13928256382</v>
      </c>
      <c r="AA657" s="18">
        <f t="shared" si="81"/>
        <v>0</v>
      </c>
      <c r="AF657" s="23">
        <f t="shared" si="82"/>
        <v>-1538.934896762139</v>
      </c>
      <c r="AL657" s="18">
        <f t="shared" si="83"/>
        <v>0</v>
      </c>
    </row>
    <row r="658" spans="9:38" x14ac:dyDescent="0.2">
      <c r="I658" s="4">
        <v>651</v>
      </c>
      <c r="K658" s="14">
        <v>6.2601078996495509</v>
      </c>
      <c r="L658" s="10">
        <v>6717.7686976391215</v>
      </c>
      <c r="O658" s="14">
        <v>7.3586523980120297</v>
      </c>
      <c r="P658" s="10">
        <v>9144.13789899728</v>
      </c>
      <c r="R658" s="19">
        <f t="shared" si="78"/>
        <v>1.0985444983624788</v>
      </c>
      <c r="S658" s="23">
        <f t="shared" si="79"/>
        <v>2426.3692013581585</v>
      </c>
      <c r="U658" s="23">
        <f t="shared" si="80"/>
        <v>2208.7127148467562</v>
      </c>
      <c r="AA658" s="18">
        <f t="shared" si="81"/>
        <v>1</v>
      </c>
      <c r="AF658" s="23">
        <f t="shared" si="82"/>
        <v>52500.855716765778</v>
      </c>
      <c r="AL658" s="18">
        <f t="shared" si="83"/>
        <v>1</v>
      </c>
    </row>
    <row r="659" spans="9:38" x14ac:dyDescent="0.2">
      <c r="I659" s="4">
        <v>652</v>
      </c>
      <c r="K659" s="14">
        <v>6.4454567326119472</v>
      </c>
      <c r="L659" s="10">
        <v>6354.2886453345245</v>
      </c>
      <c r="O659" s="14">
        <v>6.7258643591141309</v>
      </c>
      <c r="P659" s="10">
        <v>9214.3189471694859</v>
      </c>
      <c r="R659" s="19">
        <f t="shared" si="78"/>
        <v>0.28040762650218376</v>
      </c>
      <c r="S659" s="23">
        <f t="shared" si="79"/>
        <v>2860.0303018349614</v>
      </c>
      <c r="U659" s="23">
        <f t="shared" si="80"/>
        <v>10199.545345863437</v>
      </c>
      <c r="AA659" s="18">
        <f t="shared" si="81"/>
        <v>1</v>
      </c>
      <c r="AF659" s="23">
        <f t="shared" si="82"/>
        <v>11160.351023274226</v>
      </c>
      <c r="AL659" s="18">
        <f t="shared" si="83"/>
        <v>1</v>
      </c>
    </row>
    <row r="660" spans="9:38" x14ac:dyDescent="0.2">
      <c r="I660" s="4">
        <v>653</v>
      </c>
      <c r="K660" s="14">
        <v>6.2742450532533125</v>
      </c>
      <c r="L660" s="10">
        <v>6338.1235180538251</v>
      </c>
      <c r="O660" s="14">
        <v>7.2562940226980785</v>
      </c>
      <c r="P660" s="10">
        <v>10110.175860574214</v>
      </c>
      <c r="R660" s="19">
        <f t="shared" si="78"/>
        <v>0.98204896944476605</v>
      </c>
      <c r="S660" s="23">
        <f t="shared" si="79"/>
        <v>3772.0523425203892</v>
      </c>
      <c r="U660" s="23">
        <f t="shared" si="80"/>
        <v>3841.002292027295</v>
      </c>
      <c r="AA660" s="18">
        <f t="shared" si="81"/>
        <v>1</v>
      </c>
      <c r="AF660" s="23">
        <f t="shared" si="82"/>
        <v>45330.396129717919</v>
      </c>
      <c r="AL660" s="18">
        <f t="shared" si="83"/>
        <v>1</v>
      </c>
    </row>
    <row r="661" spans="9:38" x14ac:dyDescent="0.2">
      <c r="I661" s="4">
        <v>654</v>
      </c>
      <c r="K661" s="14">
        <v>6.5834029003115759</v>
      </c>
      <c r="L661" s="10">
        <v>6175.9953542116882</v>
      </c>
      <c r="O661" s="14">
        <v>6.8707452778595988</v>
      </c>
      <c r="P661" s="10">
        <v>9538.8033229823523</v>
      </c>
      <c r="R661" s="19">
        <f t="shared" si="78"/>
        <v>0.28734237754802283</v>
      </c>
      <c r="S661" s="23">
        <f t="shared" si="79"/>
        <v>3362.807968770664</v>
      </c>
      <c r="U661" s="23">
        <f t="shared" si="80"/>
        <v>11703.139639431174</v>
      </c>
      <c r="AA661" s="18">
        <f t="shared" si="81"/>
        <v>1</v>
      </c>
      <c r="AF661" s="23">
        <f t="shared" si="82"/>
        <v>11004.310908630476</v>
      </c>
      <c r="AL661" s="18">
        <f t="shared" si="83"/>
        <v>1</v>
      </c>
    </row>
    <row r="662" spans="9:38" x14ac:dyDescent="0.2">
      <c r="I662" s="4">
        <v>655</v>
      </c>
      <c r="K662" s="14">
        <v>6.4402016613692998</v>
      </c>
      <c r="L662" s="10">
        <v>6565.4606373751521</v>
      </c>
      <c r="O662" s="14">
        <v>7.1645132797389053</v>
      </c>
      <c r="P662" s="10">
        <v>9689.575559451363</v>
      </c>
      <c r="R662" s="19">
        <f t="shared" si="78"/>
        <v>0.72431161836960545</v>
      </c>
      <c r="S662" s="23">
        <f t="shared" si="79"/>
        <v>3124.1149220762109</v>
      </c>
      <c r="U662" s="23">
        <f t="shared" si="80"/>
        <v>4313.2193973478716</v>
      </c>
      <c r="AA662" s="18">
        <f t="shared" si="81"/>
        <v>1</v>
      </c>
      <c r="AF662" s="23">
        <f t="shared" si="82"/>
        <v>33091.465996404062</v>
      </c>
      <c r="AL662" s="18">
        <f t="shared" si="83"/>
        <v>1</v>
      </c>
    </row>
    <row r="663" spans="9:38" x14ac:dyDescent="0.2">
      <c r="I663" s="4">
        <v>656</v>
      </c>
      <c r="K663" s="14">
        <v>5.9266266402109169</v>
      </c>
      <c r="L663" s="10">
        <v>6580.3647840925832</v>
      </c>
      <c r="O663" s="14">
        <v>7.169975600233923</v>
      </c>
      <c r="P663" s="10">
        <v>9787.16088560967</v>
      </c>
      <c r="R663" s="19">
        <f t="shared" si="78"/>
        <v>1.2433489600230061</v>
      </c>
      <c r="S663" s="23">
        <f t="shared" si="79"/>
        <v>3206.7961015170868</v>
      </c>
      <c r="U663" s="23">
        <f t="shared" si="80"/>
        <v>2579.160159073725</v>
      </c>
      <c r="AA663" s="18">
        <f t="shared" si="81"/>
        <v>1</v>
      </c>
      <c r="AF663" s="23">
        <f t="shared" si="82"/>
        <v>58960.651899633216</v>
      </c>
      <c r="AL663" s="18">
        <f t="shared" si="83"/>
        <v>1</v>
      </c>
    </row>
    <row r="664" spans="9:38" x14ac:dyDescent="0.2">
      <c r="I664" s="4">
        <v>657</v>
      </c>
      <c r="K664" s="14">
        <v>5.8555491700973166</v>
      </c>
      <c r="L664" s="10">
        <v>5217.8799142445096</v>
      </c>
      <c r="O664" s="14">
        <v>6.5027490476621033</v>
      </c>
      <c r="P664" s="10">
        <v>8883.8775994584084</v>
      </c>
      <c r="R664" s="19">
        <f t="shared" si="78"/>
        <v>0.6471998775647867</v>
      </c>
      <c r="S664" s="23">
        <f t="shared" si="79"/>
        <v>3665.9976852138989</v>
      </c>
      <c r="U664" s="23">
        <f t="shared" si="80"/>
        <v>5664.3979893938122</v>
      </c>
      <c r="AA664" s="18">
        <f t="shared" si="81"/>
        <v>1</v>
      </c>
      <c r="AF664" s="23">
        <f t="shared" si="82"/>
        <v>28693.996193025436</v>
      </c>
      <c r="AL664" s="18">
        <f t="shared" si="83"/>
        <v>1</v>
      </c>
    </row>
    <row r="665" spans="9:38" x14ac:dyDescent="0.2">
      <c r="I665" s="4">
        <v>658</v>
      </c>
      <c r="K665" s="14">
        <v>6.3971203348880756</v>
      </c>
      <c r="L665" s="10">
        <v>9176.7972337999781</v>
      </c>
      <c r="O665" s="14">
        <v>7.8834043799460929</v>
      </c>
      <c r="P665" s="10">
        <v>11461.609865283104</v>
      </c>
      <c r="R665" s="19">
        <f t="shared" si="78"/>
        <v>1.4862840450580173</v>
      </c>
      <c r="S665" s="23">
        <f t="shared" si="79"/>
        <v>2284.8126314831261</v>
      </c>
      <c r="U665" s="23">
        <f t="shared" si="80"/>
        <v>1537.2651271338502</v>
      </c>
      <c r="AA665" s="18">
        <f t="shared" si="81"/>
        <v>1</v>
      </c>
      <c r="AF665" s="23">
        <f t="shared" si="82"/>
        <v>72029.389621417737</v>
      </c>
      <c r="AL665" s="18">
        <f t="shared" si="83"/>
        <v>1</v>
      </c>
    </row>
    <row r="666" spans="9:38" x14ac:dyDescent="0.2">
      <c r="I666" s="4">
        <v>659</v>
      </c>
      <c r="K666" s="14">
        <v>6.6357675406876808</v>
      </c>
      <c r="L666" s="10">
        <v>5884.3647503186958</v>
      </c>
      <c r="O666" s="14">
        <v>7.1041782593056944</v>
      </c>
      <c r="P666" s="10">
        <v>9839.3349626101244</v>
      </c>
      <c r="R666" s="19">
        <f t="shared" si="78"/>
        <v>0.46841071861801353</v>
      </c>
      <c r="S666" s="23">
        <f t="shared" si="79"/>
        <v>3954.9702122914287</v>
      </c>
      <c r="U666" s="23">
        <f t="shared" si="80"/>
        <v>8443.3811078449853</v>
      </c>
      <c r="AA666" s="18">
        <f t="shared" si="81"/>
        <v>1</v>
      </c>
      <c r="AF666" s="23">
        <f t="shared" si="82"/>
        <v>19465.56571860925</v>
      </c>
      <c r="AL666" s="18">
        <f t="shared" si="83"/>
        <v>1</v>
      </c>
    </row>
    <row r="667" spans="9:38" x14ac:dyDescent="0.2">
      <c r="I667" s="4">
        <v>660</v>
      </c>
      <c r="K667" s="14">
        <v>5.9347980397963083</v>
      </c>
      <c r="L667" s="10">
        <v>7333.8881845333508</v>
      </c>
      <c r="O667" s="14">
        <v>6.7603877938070207</v>
      </c>
      <c r="P667" s="10">
        <v>9582.8268259894612</v>
      </c>
      <c r="R667" s="19">
        <f t="shared" si="78"/>
        <v>0.82558975401071244</v>
      </c>
      <c r="S667" s="23">
        <f t="shared" si="79"/>
        <v>2248.9386414561104</v>
      </c>
      <c r="U667" s="23">
        <f t="shared" si="80"/>
        <v>2724.0389437135982</v>
      </c>
      <c r="AA667" s="18">
        <f t="shared" si="81"/>
        <v>1</v>
      </c>
      <c r="AF667" s="23">
        <f t="shared" si="82"/>
        <v>39030.549059079516</v>
      </c>
      <c r="AL667" s="18">
        <f t="shared" si="83"/>
        <v>1</v>
      </c>
    </row>
    <row r="668" spans="9:38" x14ac:dyDescent="0.2">
      <c r="I668" s="4">
        <v>661</v>
      </c>
      <c r="K668" s="14">
        <v>6.0110037478572034</v>
      </c>
      <c r="L668" s="10">
        <v>7842.7353858851038</v>
      </c>
      <c r="O668" s="14">
        <v>7.3735305458252469</v>
      </c>
      <c r="P668" s="10">
        <v>9812.414513839678</v>
      </c>
      <c r="R668" s="19">
        <f t="shared" si="78"/>
        <v>1.3625267979680435</v>
      </c>
      <c r="S668" s="23">
        <f t="shared" si="79"/>
        <v>1969.6791279545741</v>
      </c>
      <c r="U668" s="23">
        <f t="shared" si="80"/>
        <v>1445.6076246661614</v>
      </c>
      <c r="AA668" s="18">
        <f t="shared" si="81"/>
        <v>1</v>
      </c>
      <c r="AF668" s="23">
        <f t="shared" si="82"/>
        <v>66156.660770447605</v>
      </c>
      <c r="AL668" s="18">
        <f t="shared" si="83"/>
        <v>1</v>
      </c>
    </row>
    <row r="669" spans="9:38" x14ac:dyDescent="0.2">
      <c r="I669" s="4">
        <v>662</v>
      </c>
      <c r="K669" s="14">
        <v>6.5367021670495919</v>
      </c>
      <c r="L669" s="10">
        <v>7244.6913085867991</v>
      </c>
      <c r="O669" s="14">
        <v>6.7504323912465303</v>
      </c>
      <c r="P669" s="10">
        <v>9504.1416932018128</v>
      </c>
      <c r="R669" s="19">
        <f t="shared" si="78"/>
        <v>0.21373022419693832</v>
      </c>
      <c r="S669" s="23">
        <f t="shared" si="79"/>
        <v>2259.4503846150137</v>
      </c>
      <c r="U669" s="23">
        <f t="shared" si="80"/>
        <v>10571.506173750508</v>
      </c>
      <c r="AA669" s="18">
        <f t="shared" si="81"/>
        <v>1</v>
      </c>
      <c r="AF669" s="23">
        <f t="shared" si="82"/>
        <v>8427.0608252319034</v>
      </c>
      <c r="AL669" s="18">
        <f t="shared" si="83"/>
        <v>1</v>
      </c>
    </row>
    <row r="670" spans="9:38" x14ac:dyDescent="0.2">
      <c r="I670" s="4">
        <v>663</v>
      </c>
      <c r="K670" s="14">
        <v>6.4311735466187079</v>
      </c>
      <c r="L670" s="10">
        <v>6928.0850282047386</v>
      </c>
      <c r="O670" s="14">
        <v>7.0960095629912043</v>
      </c>
      <c r="P670" s="10">
        <v>10228.306350770923</v>
      </c>
      <c r="R670" s="19">
        <f t="shared" si="78"/>
        <v>0.66483601637249645</v>
      </c>
      <c r="S670" s="23">
        <f t="shared" si="79"/>
        <v>3300.2213225661844</v>
      </c>
      <c r="U670" s="23">
        <f t="shared" si="80"/>
        <v>4963.9629040751697</v>
      </c>
      <c r="AA670" s="18">
        <f t="shared" si="81"/>
        <v>1</v>
      </c>
      <c r="AF670" s="23">
        <f t="shared" si="82"/>
        <v>29941.579496058643</v>
      </c>
      <c r="AL670" s="18">
        <f t="shared" si="83"/>
        <v>1</v>
      </c>
    </row>
    <row r="671" spans="9:38" x14ac:dyDescent="0.2">
      <c r="I671" s="4">
        <v>664</v>
      </c>
      <c r="K671" s="14">
        <v>6.2825663096851505</v>
      </c>
      <c r="L671" s="10">
        <v>6605.2677429421719</v>
      </c>
      <c r="O671" s="14">
        <v>7.0635820417325075</v>
      </c>
      <c r="P671" s="10">
        <v>10167.500207911318</v>
      </c>
      <c r="R671" s="19">
        <f t="shared" si="78"/>
        <v>0.78101573204735697</v>
      </c>
      <c r="S671" s="23">
        <f t="shared" si="79"/>
        <v>3562.2324649691463</v>
      </c>
      <c r="U671" s="23">
        <f t="shared" si="80"/>
        <v>4561.0252377773486</v>
      </c>
      <c r="AA671" s="18">
        <f t="shared" si="81"/>
        <v>1</v>
      </c>
      <c r="AF671" s="23">
        <f t="shared" si="82"/>
        <v>35488.554137398707</v>
      </c>
      <c r="AL671" s="18">
        <f t="shared" si="83"/>
        <v>1</v>
      </c>
    </row>
    <row r="672" spans="9:38" x14ac:dyDescent="0.2">
      <c r="I672" s="4">
        <v>665</v>
      </c>
      <c r="K672" s="14">
        <v>6.3372757579727503</v>
      </c>
      <c r="L672" s="10">
        <v>8324.8723005257525</v>
      </c>
      <c r="O672" s="14">
        <v>7.8496082049484883</v>
      </c>
      <c r="P672" s="10">
        <v>10988.222736006423</v>
      </c>
      <c r="R672" s="19">
        <f t="shared" si="78"/>
        <v>1.512332446975738</v>
      </c>
      <c r="S672" s="23">
        <f t="shared" si="79"/>
        <v>2663.3504354806701</v>
      </c>
      <c r="U672" s="23">
        <f t="shared" si="80"/>
        <v>1761.0879412173306</v>
      </c>
      <c r="AA672" s="18">
        <f t="shared" si="81"/>
        <v>1</v>
      </c>
      <c r="AF672" s="23">
        <f t="shared" si="82"/>
        <v>72953.271913306235</v>
      </c>
      <c r="AL672" s="18">
        <f t="shared" si="83"/>
        <v>1</v>
      </c>
    </row>
    <row r="673" spans="9:38" x14ac:dyDescent="0.2">
      <c r="I673" s="4">
        <v>666</v>
      </c>
      <c r="K673" s="14">
        <v>7.037845692937303</v>
      </c>
      <c r="L673" s="10">
        <v>8524.8481009497827</v>
      </c>
      <c r="O673" s="14">
        <v>7.0431501726394217</v>
      </c>
      <c r="P673" s="10">
        <v>9726.7151687810019</v>
      </c>
      <c r="R673" s="19">
        <f t="shared" si="78"/>
        <v>5.3044797021186696E-3</v>
      </c>
      <c r="S673" s="23">
        <f t="shared" si="79"/>
        <v>1201.8670678312192</v>
      </c>
      <c r="U673" s="23">
        <f t="shared" si="80"/>
        <v>226575.8632936572</v>
      </c>
      <c r="AA673" s="18">
        <f t="shared" si="81"/>
        <v>0</v>
      </c>
      <c r="AF673" s="23">
        <f t="shared" si="82"/>
        <v>-936.64308272528569</v>
      </c>
      <c r="AL673" s="18">
        <f t="shared" si="83"/>
        <v>0</v>
      </c>
    </row>
    <row r="674" spans="9:38" x14ac:dyDescent="0.2">
      <c r="I674" s="4">
        <v>667</v>
      </c>
      <c r="K674" s="14">
        <v>6.5357919773484783</v>
      </c>
      <c r="L674" s="10">
        <v>5828.796549176016</v>
      </c>
      <c r="O674" s="14">
        <v>7.8183965904242623</v>
      </c>
      <c r="P674" s="10">
        <v>10434.810610202667</v>
      </c>
      <c r="R674" s="19">
        <f t="shared" si="78"/>
        <v>1.282604613075784</v>
      </c>
      <c r="S674" s="23">
        <f t="shared" si="79"/>
        <v>4606.0140610266508</v>
      </c>
      <c r="U674" s="23">
        <f t="shared" si="80"/>
        <v>3591.1410375962055</v>
      </c>
      <c r="AA674" s="18">
        <f t="shared" si="81"/>
        <v>1</v>
      </c>
      <c r="AF674" s="23">
        <f t="shared" si="82"/>
        <v>59524.216592762546</v>
      </c>
      <c r="AL674" s="18">
        <f t="shared" si="83"/>
        <v>1</v>
      </c>
    </row>
    <row r="675" spans="9:38" x14ac:dyDescent="0.2">
      <c r="I675" s="4">
        <v>668</v>
      </c>
      <c r="K675" s="14">
        <v>6.3871972540873223</v>
      </c>
      <c r="L675" s="10">
        <v>7073.1102533939211</v>
      </c>
      <c r="O675" s="14">
        <v>6.7779770632900522</v>
      </c>
      <c r="P675" s="10">
        <v>8970.5470248951297</v>
      </c>
      <c r="R675" s="19">
        <f t="shared" si="78"/>
        <v>0.39077980920272992</v>
      </c>
      <c r="S675" s="23">
        <f t="shared" si="79"/>
        <v>1897.4367715012086</v>
      </c>
      <c r="U675" s="23">
        <f t="shared" si="80"/>
        <v>4855.5138387839552</v>
      </c>
      <c r="AA675" s="18">
        <f t="shared" si="81"/>
        <v>1</v>
      </c>
      <c r="AF675" s="23">
        <f t="shared" si="82"/>
        <v>17641.553688635289</v>
      </c>
      <c r="AL675" s="18">
        <f t="shared" si="83"/>
        <v>1</v>
      </c>
    </row>
    <row r="676" spans="9:38" x14ac:dyDescent="0.2">
      <c r="I676" s="4">
        <v>669</v>
      </c>
      <c r="K676" s="14">
        <v>6.5883637267086268</v>
      </c>
      <c r="L676" s="10">
        <v>7843.0057229152353</v>
      </c>
      <c r="O676" s="14">
        <v>7.2499795005019996</v>
      </c>
      <c r="P676" s="10">
        <v>10162.523458502752</v>
      </c>
      <c r="R676" s="19">
        <f t="shared" si="78"/>
        <v>0.66161577379337277</v>
      </c>
      <c r="S676" s="23">
        <f t="shared" si="79"/>
        <v>2319.5177355875167</v>
      </c>
      <c r="U676" s="23">
        <f t="shared" si="80"/>
        <v>3505.8380218001244</v>
      </c>
      <c r="AA676" s="18">
        <f t="shared" si="81"/>
        <v>1</v>
      </c>
      <c r="AF676" s="23">
        <f t="shared" si="82"/>
        <v>30761.270954081123</v>
      </c>
      <c r="AL676" s="18">
        <f t="shared" si="83"/>
        <v>1</v>
      </c>
    </row>
    <row r="677" spans="9:38" x14ac:dyDescent="0.2">
      <c r="I677" s="4">
        <v>670</v>
      </c>
      <c r="K677" s="14">
        <v>6.6009850403528754</v>
      </c>
      <c r="L677" s="10">
        <v>8154.0392451207936</v>
      </c>
      <c r="O677" s="14">
        <v>6.8878471687942957</v>
      </c>
      <c r="P677" s="10">
        <v>8999.6237535111486</v>
      </c>
      <c r="R677" s="19">
        <f t="shared" si="78"/>
        <v>0.28686212844142034</v>
      </c>
      <c r="S677" s="23">
        <f t="shared" si="79"/>
        <v>845.58450839035504</v>
      </c>
      <c r="U677" s="23">
        <f t="shared" si="80"/>
        <v>2947.7035291642915</v>
      </c>
      <c r="AA677" s="18">
        <f t="shared" si="81"/>
        <v>1</v>
      </c>
      <c r="AF677" s="23">
        <f t="shared" si="82"/>
        <v>13497.521913680663</v>
      </c>
      <c r="AL677" s="18">
        <f t="shared" si="83"/>
        <v>1</v>
      </c>
    </row>
    <row r="678" spans="9:38" x14ac:dyDescent="0.2">
      <c r="I678" s="4">
        <v>671</v>
      </c>
      <c r="K678" s="14">
        <v>6.5587689410419987</v>
      </c>
      <c r="L678" s="10">
        <v>7363.4816176906807</v>
      </c>
      <c r="O678" s="14">
        <v>7.0651377808296774</v>
      </c>
      <c r="P678" s="10">
        <v>9550.2606347487399</v>
      </c>
      <c r="R678" s="19">
        <f t="shared" si="78"/>
        <v>0.50636883978767866</v>
      </c>
      <c r="S678" s="23">
        <f t="shared" si="79"/>
        <v>2186.7790170580593</v>
      </c>
      <c r="U678" s="23">
        <f t="shared" si="80"/>
        <v>4318.5497314072081</v>
      </c>
      <c r="AA678" s="18">
        <f t="shared" si="81"/>
        <v>1</v>
      </c>
      <c r="AF678" s="23">
        <f t="shared" si="82"/>
        <v>23131.662972325874</v>
      </c>
      <c r="AL678" s="18">
        <f t="shared" si="83"/>
        <v>1</v>
      </c>
    </row>
    <row r="679" spans="9:38" x14ac:dyDescent="0.2">
      <c r="I679" s="4">
        <v>672</v>
      </c>
      <c r="K679" s="14">
        <v>6.0352219058139163</v>
      </c>
      <c r="L679" s="10">
        <v>10624.940719452346</v>
      </c>
      <c r="O679" s="14">
        <v>6.9315093874625573</v>
      </c>
      <c r="P679" s="10">
        <v>9548.5266378113483</v>
      </c>
      <c r="R679" s="19">
        <f t="shared" si="78"/>
        <v>0.89628748164864103</v>
      </c>
      <c r="S679" s="23">
        <f t="shared" si="79"/>
        <v>-1076.4140816409981</v>
      </c>
      <c r="U679" s="23">
        <f t="shared" si="80"/>
        <v>-1200.9696706474469</v>
      </c>
      <c r="AA679" s="18">
        <f t="shared" si="81"/>
        <v>1</v>
      </c>
      <c r="AF679" s="23">
        <f t="shared" si="82"/>
        <v>45890.788164073048</v>
      </c>
      <c r="AL679" s="18">
        <f t="shared" si="83"/>
        <v>1</v>
      </c>
    </row>
    <row r="680" spans="9:38" x14ac:dyDescent="0.2">
      <c r="I680" s="4">
        <v>673</v>
      </c>
      <c r="K680" s="14">
        <v>6.3924333519770444</v>
      </c>
      <c r="L680" s="10">
        <v>6807.4753587841569</v>
      </c>
      <c r="O680" s="14">
        <v>6.6030559906331563</v>
      </c>
      <c r="P680" s="10">
        <v>9527.5271117838056</v>
      </c>
      <c r="R680" s="19">
        <f t="shared" si="78"/>
        <v>0.21062263865611186</v>
      </c>
      <c r="S680" s="23">
        <f t="shared" si="79"/>
        <v>2720.0517529996487</v>
      </c>
      <c r="U680" s="23">
        <f t="shared" si="80"/>
        <v>12914.33708339746</v>
      </c>
      <c r="AA680" s="18">
        <f t="shared" si="81"/>
        <v>1</v>
      </c>
      <c r="AF680" s="23">
        <f t="shared" si="82"/>
        <v>7811.0801798059438</v>
      </c>
      <c r="AL680" s="18">
        <f t="shared" si="83"/>
        <v>1</v>
      </c>
    </row>
    <row r="681" spans="9:38" x14ac:dyDescent="0.2">
      <c r="I681" s="4">
        <v>674</v>
      </c>
      <c r="K681" s="14">
        <v>6.3282364928961696</v>
      </c>
      <c r="L681" s="10">
        <v>6841.962004743601</v>
      </c>
      <c r="O681" s="14">
        <v>6.9738039489600672</v>
      </c>
      <c r="P681" s="10">
        <v>10245.014868463506</v>
      </c>
      <c r="R681" s="19">
        <f t="shared" si="78"/>
        <v>0.64556745606389754</v>
      </c>
      <c r="S681" s="23">
        <f t="shared" si="79"/>
        <v>3403.052863719905</v>
      </c>
      <c r="U681" s="23">
        <f t="shared" si="80"/>
        <v>5271.413284165109</v>
      </c>
      <c r="AA681" s="18">
        <f t="shared" si="81"/>
        <v>1</v>
      </c>
      <c r="AF681" s="23">
        <f t="shared" si="82"/>
        <v>28875.319939474972</v>
      </c>
      <c r="AL681" s="18">
        <f t="shared" si="83"/>
        <v>1</v>
      </c>
    </row>
    <row r="682" spans="9:38" x14ac:dyDescent="0.2">
      <c r="I682" s="4">
        <v>675</v>
      </c>
      <c r="K682" s="14">
        <v>6.1933995845418277</v>
      </c>
      <c r="L682" s="10">
        <v>7070.5245148432259</v>
      </c>
      <c r="O682" s="14">
        <v>7.1560852375928459</v>
      </c>
      <c r="P682" s="10">
        <v>9538.1883113887216</v>
      </c>
      <c r="R682" s="19">
        <f t="shared" si="78"/>
        <v>0.96268565305101816</v>
      </c>
      <c r="S682" s="23">
        <f t="shared" si="79"/>
        <v>2467.6637965454956</v>
      </c>
      <c r="U682" s="23">
        <f t="shared" si="80"/>
        <v>2563.3121141099214</v>
      </c>
      <c r="AA682" s="18">
        <f t="shared" si="81"/>
        <v>1</v>
      </c>
      <c r="AF682" s="23">
        <f t="shared" si="82"/>
        <v>45666.618856005414</v>
      </c>
      <c r="AL682" s="18">
        <f t="shared" si="83"/>
        <v>1</v>
      </c>
    </row>
    <row r="683" spans="9:38" x14ac:dyDescent="0.2">
      <c r="I683" s="4">
        <v>676</v>
      </c>
      <c r="K683" s="14">
        <v>6.8509644921299584</v>
      </c>
      <c r="L683" s="10">
        <v>6201.3779841995656</v>
      </c>
      <c r="O683" s="14">
        <v>6.6427470969712328</v>
      </c>
      <c r="P683" s="10">
        <v>9966.4099206476585</v>
      </c>
      <c r="R683" s="19">
        <f t="shared" si="78"/>
        <v>-0.20821739515872562</v>
      </c>
      <c r="S683" s="23">
        <f t="shared" si="79"/>
        <v>3765.0319364480929</v>
      </c>
      <c r="U683" s="23">
        <f t="shared" si="80"/>
        <v>-18082.216106766595</v>
      </c>
      <c r="AA683" s="18">
        <f t="shared" si="81"/>
        <v>0</v>
      </c>
      <c r="AF683" s="23">
        <f t="shared" si="82"/>
        <v>-14175.901694384374</v>
      </c>
      <c r="AL683" s="18">
        <f t="shared" si="83"/>
        <v>0</v>
      </c>
    </row>
    <row r="684" spans="9:38" x14ac:dyDescent="0.2">
      <c r="I684" s="4">
        <v>677</v>
      </c>
      <c r="K684" s="14">
        <v>6.2438259545562831</v>
      </c>
      <c r="L684" s="10">
        <v>6583.4690196622905</v>
      </c>
      <c r="O684" s="14">
        <v>6.5029750706511971</v>
      </c>
      <c r="P684" s="10">
        <v>9860.2991307911143</v>
      </c>
      <c r="R684" s="19">
        <f t="shared" si="78"/>
        <v>0.25914911609491398</v>
      </c>
      <c r="S684" s="23">
        <f t="shared" si="79"/>
        <v>3276.8301111288238</v>
      </c>
      <c r="U684" s="23">
        <f t="shared" si="80"/>
        <v>12644.573751618265</v>
      </c>
      <c r="AA684" s="18">
        <f t="shared" si="81"/>
        <v>1</v>
      </c>
      <c r="AF684" s="23">
        <f t="shared" si="82"/>
        <v>9680.6256936168757</v>
      </c>
      <c r="AL684" s="18">
        <f t="shared" si="83"/>
        <v>1</v>
      </c>
    </row>
    <row r="685" spans="9:38" x14ac:dyDescent="0.2">
      <c r="I685" s="4">
        <v>678</v>
      </c>
      <c r="K685" s="14">
        <v>5.8618781218913618</v>
      </c>
      <c r="L685" s="10">
        <v>6612.6819574745869</v>
      </c>
      <c r="O685" s="14">
        <v>6.8715463586977901</v>
      </c>
      <c r="P685" s="10">
        <v>9661.5892871854212</v>
      </c>
      <c r="R685" s="19">
        <f t="shared" si="78"/>
        <v>1.0096682368064283</v>
      </c>
      <c r="S685" s="23">
        <f t="shared" si="79"/>
        <v>3048.9073297108343</v>
      </c>
      <c r="U685" s="23">
        <f t="shared" si="80"/>
        <v>3019.7120386340976</v>
      </c>
      <c r="AA685" s="18">
        <f t="shared" si="81"/>
        <v>1</v>
      </c>
      <c r="AF685" s="23">
        <f t="shared" si="82"/>
        <v>47434.504510610583</v>
      </c>
      <c r="AL685" s="18">
        <f t="shared" si="83"/>
        <v>1</v>
      </c>
    </row>
    <row r="686" spans="9:38" x14ac:dyDescent="0.2">
      <c r="I686" s="4">
        <v>679</v>
      </c>
      <c r="K686" s="14">
        <v>6.6527966060805861</v>
      </c>
      <c r="L686" s="10">
        <v>7613.6528509143054</v>
      </c>
      <c r="O686" s="14">
        <v>6.7437289232494946</v>
      </c>
      <c r="P686" s="10">
        <v>9505.8792782085638</v>
      </c>
      <c r="R686" s="19">
        <f t="shared" si="78"/>
        <v>9.0932317168908483E-2</v>
      </c>
      <c r="S686" s="23">
        <f t="shared" si="79"/>
        <v>1892.2264272942584</v>
      </c>
      <c r="U686" s="23">
        <f t="shared" si="80"/>
        <v>20809.174188087745</v>
      </c>
      <c r="AA686" s="18">
        <f t="shared" si="81"/>
        <v>1</v>
      </c>
      <c r="AF686" s="23">
        <f t="shared" si="82"/>
        <v>2654.3894311511658</v>
      </c>
      <c r="AL686" s="18">
        <f t="shared" si="83"/>
        <v>1</v>
      </c>
    </row>
    <row r="687" spans="9:38" x14ac:dyDescent="0.2">
      <c r="I687" s="4">
        <v>680</v>
      </c>
      <c r="K687" s="14">
        <v>6.5939286706976254</v>
      </c>
      <c r="L687" s="10">
        <v>5941.0485579679544</v>
      </c>
      <c r="O687" s="14">
        <v>6.8309776532002502</v>
      </c>
      <c r="P687" s="10">
        <v>9436.9639680374585</v>
      </c>
      <c r="R687" s="19">
        <f t="shared" si="78"/>
        <v>0.23704898250262474</v>
      </c>
      <c r="S687" s="23">
        <f t="shared" si="79"/>
        <v>3495.9154100695041</v>
      </c>
      <c r="U687" s="23">
        <f t="shared" si="80"/>
        <v>14747.649929401387</v>
      </c>
      <c r="AA687" s="18">
        <f t="shared" si="81"/>
        <v>1</v>
      </c>
      <c r="AF687" s="23">
        <f t="shared" si="82"/>
        <v>8356.5337150617343</v>
      </c>
      <c r="AL687" s="18">
        <f t="shared" si="83"/>
        <v>1</v>
      </c>
    </row>
    <row r="688" spans="9:38" x14ac:dyDescent="0.2">
      <c r="I688" s="4">
        <v>681</v>
      </c>
      <c r="K688" s="14">
        <v>6.9532752014221568</v>
      </c>
      <c r="L688" s="10">
        <v>9176.1802262167148</v>
      </c>
      <c r="O688" s="14">
        <v>6.4765384829856965</v>
      </c>
      <c r="P688" s="10">
        <v>9484.5230328453454</v>
      </c>
      <c r="R688" s="19">
        <f t="shared" si="78"/>
        <v>-0.47673671843646037</v>
      </c>
      <c r="S688" s="23">
        <f t="shared" si="79"/>
        <v>308.34280662863057</v>
      </c>
      <c r="U688" s="23">
        <f t="shared" si="80"/>
        <v>-646.77796927388681</v>
      </c>
      <c r="AA688" s="18">
        <f t="shared" si="81"/>
        <v>0</v>
      </c>
      <c r="AF688" s="23">
        <f t="shared" si="82"/>
        <v>-24145.178728451647</v>
      </c>
      <c r="AL688" s="18">
        <f t="shared" si="83"/>
        <v>0</v>
      </c>
    </row>
    <row r="689" spans="9:38" x14ac:dyDescent="0.2">
      <c r="I689" s="4">
        <v>682</v>
      </c>
      <c r="K689" s="14">
        <v>5.9591320764559264</v>
      </c>
      <c r="L689" s="10">
        <v>5895.7706034329558</v>
      </c>
      <c r="O689" s="14">
        <v>7.2425529698649651</v>
      </c>
      <c r="P689" s="10">
        <v>9626.282266817625</v>
      </c>
      <c r="R689" s="19">
        <f t="shared" si="78"/>
        <v>1.2834208934090388</v>
      </c>
      <c r="S689" s="23">
        <f t="shared" si="79"/>
        <v>3730.5116633846692</v>
      </c>
      <c r="U689" s="23">
        <f t="shared" si="80"/>
        <v>2906.6938854919504</v>
      </c>
      <c r="AA689" s="18">
        <f t="shared" si="81"/>
        <v>1</v>
      </c>
      <c r="AF689" s="23">
        <f t="shared" si="82"/>
        <v>60440.533007067264</v>
      </c>
      <c r="AL689" s="18">
        <f t="shared" si="83"/>
        <v>1</v>
      </c>
    </row>
    <row r="690" spans="9:38" x14ac:dyDescent="0.2">
      <c r="I690" s="4">
        <v>683</v>
      </c>
      <c r="K690" s="14">
        <v>6.2138809836850264</v>
      </c>
      <c r="L690" s="10">
        <v>7238.8451386953611</v>
      </c>
      <c r="O690" s="14">
        <v>6.8128802796725036</v>
      </c>
      <c r="P690" s="10">
        <v>9729.9363290830152</v>
      </c>
      <c r="R690" s="19">
        <f t="shared" si="78"/>
        <v>0.59899929598747725</v>
      </c>
      <c r="S690" s="23">
        <f t="shared" si="79"/>
        <v>2491.091190387654</v>
      </c>
      <c r="U690" s="23">
        <f t="shared" si="80"/>
        <v>4158.7547883190382</v>
      </c>
      <c r="AA690" s="18">
        <f t="shared" si="81"/>
        <v>1</v>
      </c>
      <c r="AF690" s="23">
        <f t="shared" si="82"/>
        <v>27458.873608986207</v>
      </c>
      <c r="AL690" s="18">
        <f t="shared" si="83"/>
        <v>1</v>
      </c>
    </row>
    <row r="691" spans="9:38" x14ac:dyDescent="0.2">
      <c r="I691" s="4">
        <v>684</v>
      </c>
      <c r="K691" s="14">
        <v>6.2744360027752011</v>
      </c>
      <c r="L691" s="10">
        <v>7370.9142502094446</v>
      </c>
      <c r="O691" s="14">
        <v>7.2408675829203908</v>
      </c>
      <c r="P691" s="10">
        <v>10099.398159027451</v>
      </c>
      <c r="R691" s="19">
        <f t="shared" si="78"/>
        <v>0.96643158014518971</v>
      </c>
      <c r="S691" s="23">
        <f t="shared" si="79"/>
        <v>2728.4839088180061</v>
      </c>
      <c r="U691" s="23">
        <f t="shared" si="80"/>
        <v>2823.256156848784</v>
      </c>
      <c r="AA691" s="18">
        <f t="shared" si="81"/>
        <v>1</v>
      </c>
      <c r="AF691" s="23">
        <f t="shared" si="82"/>
        <v>45593.095098441474</v>
      </c>
      <c r="AL691" s="18">
        <f t="shared" si="83"/>
        <v>1</v>
      </c>
    </row>
    <row r="692" spans="9:38" x14ac:dyDescent="0.2">
      <c r="I692" s="4">
        <v>685</v>
      </c>
      <c r="K692" s="14">
        <v>6.0964441962314488</v>
      </c>
      <c r="L692" s="10">
        <v>5995.7215073106599</v>
      </c>
      <c r="O692" s="14">
        <v>7.2603769357676811</v>
      </c>
      <c r="P692" s="10">
        <v>9317.4581902762802</v>
      </c>
      <c r="R692" s="19">
        <f t="shared" si="78"/>
        <v>1.1639327395362322</v>
      </c>
      <c r="S692" s="23">
        <f t="shared" si="79"/>
        <v>3321.7366829656203</v>
      </c>
      <c r="U692" s="23">
        <f t="shared" si="80"/>
        <v>2853.8905815890726</v>
      </c>
      <c r="AA692" s="18">
        <f t="shared" si="81"/>
        <v>1</v>
      </c>
      <c r="AF692" s="23">
        <f t="shared" si="82"/>
        <v>54874.900293845989</v>
      </c>
      <c r="AL692" s="18">
        <f t="shared" si="83"/>
        <v>1</v>
      </c>
    </row>
    <row r="693" spans="9:38" x14ac:dyDescent="0.2">
      <c r="I693" s="4">
        <v>686</v>
      </c>
      <c r="K693" s="14">
        <v>6.2503384804856275</v>
      </c>
      <c r="L693" s="10">
        <v>6056.056543955875</v>
      </c>
      <c r="O693" s="14">
        <v>7.5192005314682824</v>
      </c>
      <c r="P693" s="10">
        <v>10280.270438756099</v>
      </c>
      <c r="R693" s="19">
        <f t="shared" si="78"/>
        <v>1.2688620509826549</v>
      </c>
      <c r="S693" s="23">
        <f t="shared" si="79"/>
        <v>4224.2138948002239</v>
      </c>
      <c r="U693" s="23">
        <f t="shared" si="80"/>
        <v>3329.1356546827392</v>
      </c>
      <c r="AA693" s="18">
        <f t="shared" si="81"/>
        <v>1</v>
      </c>
      <c r="AF693" s="23">
        <f t="shared" si="82"/>
        <v>59218.888654332521</v>
      </c>
      <c r="AL693" s="18">
        <f t="shared" si="83"/>
        <v>1</v>
      </c>
    </row>
    <row r="694" spans="9:38" x14ac:dyDescent="0.2">
      <c r="I694" s="4">
        <v>687</v>
      </c>
      <c r="K694" s="14">
        <v>6.6596680537374793</v>
      </c>
      <c r="L694" s="10">
        <v>7113.2338772151106</v>
      </c>
      <c r="O694" s="14">
        <v>6.8793813868183156</v>
      </c>
      <c r="P694" s="10">
        <v>9330.5147683347768</v>
      </c>
      <c r="R694" s="19">
        <f t="shared" si="78"/>
        <v>0.21971333308083629</v>
      </c>
      <c r="S694" s="23">
        <f t="shared" si="79"/>
        <v>2217.2808911196662</v>
      </c>
      <c r="U694" s="23">
        <f t="shared" si="80"/>
        <v>10091.699306677445</v>
      </c>
      <c r="AA694" s="18">
        <f t="shared" si="81"/>
        <v>1</v>
      </c>
      <c r="AF694" s="23">
        <f t="shared" si="82"/>
        <v>8768.3857629221493</v>
      </c>
      <c r="AL694" s="18">
        <f t="shared" si="83"/>
        <v>1</v>
      </c>
    </row>
    <row r="695" spans="9:38" x14ac:dyDescent="0.2">
      <c r="I695" s="4">
        <v>688</v>
      </c>
      <c r="K695" s="14">
        <v>6.1958834230447346</v>
      </c>
      <c r="L695" s="10">
        <v>9601.1578059728799</v>
      </c>
      <c r="O695" s="14">
        <v>7.0772853334998045</v>
      </c>
      <c r="P695" s="10">
        <v>10156.626144955928</v>
      </c>
      <c r="R695" s="19">
        <f t="shared" si="78"/>
        <v>0.88140191045506988</v>
      </c>
      <c r="S695" s="23">
        <f t="shared" si="79"/>
        <v>555.46833898304794</v>
      </c>
      <c r="U695" s="23">
        <f t="shared" si="80"/>
        <v>630.21004651131102</v>
      </c>
      <c r="AA695" s="18">
        <f t="shared" si="81"/>
        <v>1</v>
      </c>
      <c r="AF695" s="23">
        <f t="shared" si="82"/>
        <v>43514.627183770448</v>
      </c>
      <c r="AL695" s="18">
        <f t="shared" si="83"/>
        <v>1</v>
      </c>
    </row>
    <row r="696" spans="9:38" x14ac:dyDescent="0.2">
      <c r="I696" s="4">
        <v>689</v>
      </c>
      <c r="K696" s="14">
        <v>6.3132801215154064</v>
      </c>
      <c r="L696" s="10">
        <v>7930.6666806283265</v>
      </c>
      <c r="O696" s="14">
        <v>7.7297959055824936</v>
      </c>
      <c r="P696" s="10">
        <v>10031.376427939316</v>
      </c>
      <c r="R696" s="19">
        <f t="shared" si="78"/>
        <v>1.4165157840670872</v>
      </c>
      <c r="S696" s="23">
        <f t="shared" si="79"/>
        <v>2100.7097473109898</v>
      </c>
      <c r="U696" s="23">
        <f t="shared" si="80"/>
        <v>1483.0118879999</v>
      </c>
      <c r="AA696" s="18">
        <f t="shared" si="81"/>
        <v>1</v>
      </c>
      <c r="AF696" s="23">
        <f t="shared" si="82"/>
        <v>68725.079456043371</v>
      </c>
      <c r="AL696" s="18">
        <f t="shared" si="83"/>
        <v>1</v>
      </c>
    </row>
    <row r="697" spans="9:38" x14ac:dyDescent="0.2">
      <c r="I697" s="4">
        <v>690</v>
      </c>
      <c r="K697" s="14">
        <v>6.1420977383615272</v>
      </c>
      <c r="L697" s="10">
        <v>6103.4723606236512</v>
      </c>
      <c r="O697" s="14">
        <v>7.8039231964931401</v>
      </c>
      <c r="P697" s="10">
        <v>11516.403730530748</v>
      </c>
      <c r="R697" s="19">
        <f t="shared" si="78"/>
        <v>1.661825458131613</v>
      </c>
      <c r="S697" s="23">
        <f t="shared" si="79"/>
        <v>5412.9313699070972</v>
      </c>
      <c r="U697" s="23">
        <f t="shared" si="80"/>
        <v>3257.220151142013</v>
      </c>
      <c r="AA697" s="18">
        <f t="shared" si="81"/>
        <v>1</v>
      </c>
      <c r="AF697" s="23">
        <f t="shared" si="82"/>
        <v>77678.341536673557</v>
      </c>
      <c r="AL697" s="18">
        <f t="shared" si="83"/>
        <v>1</v>
      </c>
    </row>
    <row r="698" spans="9:38" x14ac:dyDescent="0.2">
      <c r="I698" s="4">
        <v>691</v>
      </c>
      <c r="K698" s="14">
        <v>5.8582377010295703</v>
      </c>
      <c r="L698" s="10">
        <v>8215.1360826682758</v>
      </c>
      <c r="O698" s="14">
        <v>7.2524279616698575</v>
      </c>
      <c r="P698" s="10">
        <v>9944.82502189353</v>
      </c>
      <c r="R698" s="19">
        <f t="shared" si="78"/>
        <v>1.3941902606402872</v>
      </c>
      <c r="S698" s="23">
        <f t="shared" si="79"/>
        <v>1729.6889392252542</v>
      </c>
      <c r="U698" s="23">
        <f t="shared" si="80"/>
        <v>1240.6405266601762</v>
      </c>
      <c r="AA698" s="18">
        <f t="shared" si="81"/>
        <v>1</v>
      </c>
      <c r="AF698" s="23">
        <f t="shared" si="82"/>
        <v>67979.824092789117</v>
      </c>
      <c r="AL698" s="18">
        <f t="shared" si="83"/>
        <v>1</v>
      </c>
    </row>
    <row r="699" spans="9:38" x14ac:dyDescent="0.2">
      <c r="I699" s="4">
        <v>692</v>
      </c>
      <c r="K699" s="14">
        <v>6.4874289659863189</v>
      </c>
      <c r="L699" s="10">
        <v>5838.7437570273287</v>
      </c>
      <c r="O699" s="14">
        <v>7.0425878011413552</v>
      </c>
      <c r="P699" s="10">
        <v>9392.5248755323555</v>
      </c>
      <c r="R699" s="19">
        <f t="shared" si="78"/>
        <v>0.55515883515503628</v>
      </c>
      <c r="S699" s="23">
        <f t="shared" si="79"/>
        <v>3553.7811185050268</v>
      </c>
      <c r="U699" s="23">
        <f t="shared" si="80"/>
        <v>6401.3772157883086</v>
      </c>
      <c r="AA699" s="18">
        <f t="shared" si="81"/>
        <v>1</v>
      </c>
      <c r="AF699" s="23">
        <f t="shared" si="82"/>
        <v>24204.160639246787</v>
      </c>
      <c r="AL699" s="18">
        <f t="shared" si="83"/>
        <v>1</v>
      </c>
    </row>
    <row r="700" spans="9:38" x14ac:dyDescent="0.2">
      <c r="I700" s="4">
        <v>693</v>
      </c>
      <c r="K700" s="14">
        <v>6.5049887080508517</v>
      </c>
      <c r="L700" s="10">
        <v>6855.2855676725912</v>
      </c>
      <c r="O700" s="14">
        <v>7.0155990883779573</v>
      </c>
      <c r="P700" s="10">
        <v>9470.9788216245197</v>
      </c>
      <c r="R700" s="19">
        <f t="shared" si="78"/>
        <v>0.5106103803271056</v>
      </c>
      <c r="S700" s="23">
        <f t="shared" si="79"/>
        <v>2615.6932539519285</v>
      </c>
      <c r="U700" s="23">
        <f t="shared" si="80"/>
        <v>5122.6793553947555</v>
      </c>
      <c r="AA700" s="18">
        <f t="shared" si="81"/>
        <v>1</v>
      </c>
      <c r="AF700" s="23">
        <f t="shared" si="82"/>
        <v>22914.82576240335</v>
      </c>
      <c r="AL700" s="18">
        <f t="shared" si="83"/>
        <v>1</v>
      </c>
    </row>
    <row r="701" spans="9:38" x14ac:dyDescent="0.2">
      <c r="I701" s="4">
        <v>694</v>
      </c>
      <c r="K701" s="14">
        <v>6.9295829910906965</v>
      </c>
      <c r="L701" s="10">
        <v>6168.0651794823616</v>
      </c>
      <c r="O701" s="14">
        <v>7.4411345557475874</v>
      </c>
      <c r="P701" s="10">
        <v>10470.943071560925</v>
      </c>
      <c r="R701" s="19">
        <f t="shared" si="78"/>
        <v>0.51155156465689089</v>
      </c>
      <c r="S701" s="23">
        <f t="shared" si="79"/>
        <v>4302.8778920785635</v>
      </c>
      <c r="U701" s="23">
        <f t="shared" si="80"/>
        <v>8411.425532369547</v>
      </c>
      <c r="AA701" s="18">
        <f t="shared" si="81"/>
        <v>1</v>
      </c>
      <c r="AF701" s="23">
        <f t="shared" si="82"/>
        <v>21274.700340765983</v>
      </c>
      <c r="AL701" s="18">
        <f t="shared" si="83"/>
        <v>1</v>
      </c>
    </row>
    <row r="702" spans="9:38" x14ac:dyDescent="0.2">
      <c r="I702" s="4">
        <v>695</v>
      </c>
      <c r="K702" s="14">
        <v>6.6016782615889236</v>
      </c>
      <c r="L702" s="10">
        <v>9405.8491650181859</v>
      </c>
      <c r="O702" s="14">
        <v>7.3134147527819335</v>
      </c>
      <c r="P702" s="10">
        <v>10334.627505888737</v>
      </c>
      <c r="R702" s="19">
        <f t="shared" si="78"/>
        <v>0.71173649119300997</v>
      </c>
      <c r="S702" s="23">
        <f t="shared" si="79"/>
        <v>928.77834087055089</v>
      </c>
      <c r="U702" s="23">
        <f t="shared" si="80"/>
        <v>1304.9469183654419</v>
      </c>
      <c r="AA702" s="18">
        <f t="shared" si="81"/>
        <v>1</v>
      </c>
      <c r="AF702" s="23">
        <f t="shared" si="82"/>
        <v>34658.046218779949</v>
      </c>
      <c r="AL702" s="18">
        <f t="shared" si="83"/>
        <v>1</v>
      </c>
    </row>
    <row r="703" spans="9:38" x14ac:dyDescent="0.2">
      <c r="I703" s="4">
        <v>696</v>
      </c>
      <c r="K703" s="14">
        <v>5.7014859989966737</v>
      </c>
      <c r="L703" s="10">
        <v>7995.9410375552088</v>
      </c>
      <c r="O703" s="14">
        <v>7.7330533040877034</v>
      </c>
      <c r="P703" s="10">
        <v>10055.186626255034</v>
      </c>
      <c r="R703" s="19">
        <f t="shared" si="78"/>
        <v>2.0315673050910297</v>
      </c>
      <c r="S703" s="23">
        <f t="shared" si="79"/>
        <v>2059.245588699825</v>
      </c>
      <c r="U703" s="23">
        <f t="shared" si="80"/>
        <v>1013.6241036855804</v>
      </c>
      <c r="AA703" s="18">
        <f t="shared" si="81"/>
        <v>1</v>
      </c>
      <c r="AF703" s="23">
        <f t="shared" si="82"/>
        <v>99519.119665851656</v>
      </c>
      <c r="AL703" s="18">
        <f t="shared" si="83"/>
        <v>1</v>
      </c>
    </row>
    <row r="704" spans="9:38" x14ac:dyDescent="0.2">
      <c r="I704" s="4">
        <v>697</v>
      </c>
      <c r="K704" s="14">
        <v>6.2862454601423847</v>
      </c>
      <c r="L704" s="10">
        <v>6363.6817661395444</v>
      </c>
      <c r="O704" s="14">
        <v>6.7884191840138666</v>
      </c>
      <c r="P704" s="10">
        <v>9663.0812012115675</v>
      </c>
      <c r="R704" s="19">
        <f t="shared" si="78"/>
        <v>0.50217372387148185</v>
      </c>
      <c r="S704" s="23">
        <f t="shared" si="79"/>
        <v>3299.3994350720232</v>
      </c>
      <c r="U704" s="23">
        <f t="shared" si="80"/>
        <v>6570.2351163168742</v>
      </c>
      <c r="AA704" s="18">
        <f t="shared" si="81"/>
        <v>1</v>
      </c>
      <c r="AF704" s="23">
        <f t="shared" si="82"/>
        <v>21809.286758502069</v>
      </c>
      <c r="AL704" s="18">
        <f t="shared" si="83"/>
        <v>1</v>
      </c>
    </row>
    <row r="705" spans="9:38" x14ac:dyDescent="0.2">
      <c r="I705" s="4">
        <v>698</v>
      </c>
      <c r="K705" s="14">
        <v>6.4438911165282446</v>
      </c>
      <c r="L705" s="10">
        <v>8586.8828242733671</v>
      </c>
      <c r="O705" s="14">
        <v>6.9580036973888344</v>
      </c>
      <c r="P705" s="10">
        <v>9906.1929732858353</v>
      </c>
      <c r="R705" s="19">
        <f t="shared" si="78"/>
        <v>0.51411258086058975</v>
      </c>
      <c r="S705" s="23">
        <f t="shared" si="79"/>
        <v>1319.3101490124682</v>
      </c>
      <c r="U705" s="23">
        <f t="shared" si="80"/>
        <v>2566.1891930441229</v>
      </c>
      <c r="AA705" s="18">
        <f t="shared" si="81"/>
        <v>1</v>
      </c>
      <c r="AF705" s="23">
        <f t="shared" si="82"/>
        <v>24386.318894017018</v>
      </c>
      <c r="AL705" s="18">
        <f t="shared" si="83"/>
        <v>1</v>
      </c>
    </row>
    <row r="706" spans="9:38" x14ac:dyDescent="0.2">
      <c r="I706" s="4">
        <v>699</v>
      </c>
      <c r="K706" s="14">
        <v>6.3511242252544786</v>
      </c>
      <c r="L706" s="10">
        <v>7542.2622311074201</v>
      </c>
      <c r="O706" s="14">
        <v>7.403547457435308</v>
      </c>
      <c r="P706" s="10">
        <v>10068.685504436737</v>
      </c>
      <c r="R706" s="19">
        <f t="shared" si="78"/>
        <v>1.0524232321808293</v>
      </c>
      <c r="S706" s="23">
        <f t="shared" si="79"/>
        <v>2526.4232733293165</v>
      </c>
      <c r="U706" s="23">
        <f t="shared" si="80"/>
        <v>2400.5772545462219</v>
      </c>
      <c r="AA706" s="18">
        <f t="shared" si="81"/>
        <v>1</v>
      </c>
      <c r="AF706" s="23">
        <f t="shared" si="82"/>
        <v>50094.738335712151</v>
      </c>
      <c r="AL706" s="18">
        <f t="shared" si="83"/>
        <v>1</v>
      </c>
    </row>
    <row r="707" spans="9:38" x14ac:dyDescent="0.2">
      <c r="I707" s="4">
        <v>700</v>
      </c>
      <c r="K707" s="14">
        <v>6.3191625892989336</v>
      </c>
      <c r="L707" s="10">
        <v>9169.004603581745</v>
      </c>
      <c r="O707" s="14">
        <v>7.5806436201496572</v>
      </c>
      <c r="P707" s="10">
        <v>10100.459514015414</v>
      </c>
      <c r="R707" s="19">
        <f t="shared" si="78"/>
        <v>1.2614810308507236</v>
      </c>
      <c r="S707" s="23">
        <f t="shared" si="79"/>
        <v>931.45491043366928</v>
      </c>
      <c r="U707" s="23">
        <f t="shared" si="80"/>
        <v>738.38201895553698</v>
      </c>
      <c r="AA707" s="18">
        <f t="shared" si="81"/>
        <v>1</v>
      </c>
      <c r="AF707" s="23">
        <f t="shared" si="82"/>
        <v>62142.596632102512</v>
      </c>
      <c r="AL707" s="18">
        <f t="shared" si="83"/>
        <v>1</v>
      </c>
    </row>
    <row r="708" spans="9:38" x14ac:dyDescent="0.2">
      <c r="I708" s="4">
        <v>701</v>
      </c>
      <c r="K708" s="14">
        <v>6.1764060816335054</v>
      </c>
      <c r="L708" s="10">
        <v>6532.5342222433937</v>
      </c>
      <c r="O708" s="14">
        <v>6.8273874173328979</v>
      </c>
      <c r="P708" s="10">
        <v>9785.0228062741717</v>
      </c>
      <c r="R708" s="19">
        <f t="shared" si="78"/>
        <v>0.65098133569939254</v>
      </c>
      <c r="S708" s="23">
        <f t="shared" si="79"/>
        <v>3252.4885840307779</v>
      </c>
      <c r="U708" s="23">
        <f t="shared" si="80"/>
        <v>4996.2854626798371</v>
      </c>
      <c r="AA708" s="18">
        <f t="shared" si="81"/>
        <v>1</v>
      </c>
      <c r="AF708" s="23">
        <f t="shared" si="82"/>
        <v>29296.578200938849</v>
      </c>
      <c r="AL708" s="18">
        <f t="shared" si="83"/>
        <v>1</v>
      </c>
    </row>
    <row r="709" spans="9:38" x14ac:dyDescent="0.2">
      <c r="I709" s="4">
        <v>702</v>
      </c>
      <c r="K709" s="14">
        <v>6.2774889040375346</v>
      </c>
      <c r="L709" s="10">
        <v>5253.8479563225919</v>
      </c>
      <c r="O709" s="14">
        <v>6.9824587825951268</v>
      </c>
      <c r="P709" s="10">
        <v>9020.772541924016</v>
      </c>
      <c r="R709" s="19">
        <f t="shared" si="78"/>
        <v>0.70496987855759219</v>
      </c>
      <c r="S709" s="23">
        <f t="shared" si="79"/>
        <v>3766.924585601424</v>
      </c>
      <c r="U709" s="23">
        <f t="shared" si="80"/>
        <v>5343.3837390453655</v>
      </c>
      <c r="AA709" s="18">
        <f t="shared" si="81"/>
        <v>1</v>
      </c>
      <c r="AF709" s="23">
        <f t="shared" si="82"/>
        <v>31481.569342278184</v>
      </c>
      <c r="AL709" s="18">
        <f t="shared" si="83"/>
        <v>1</v>
      </c>
    </row>
    <row r="710" spans="9:38" x14ac:dyDescent="0.2">
      <c r="I710" s="4">
        <v>703</v>
      </c>
      <c r="K710" s="14">
        <v>6.3407194673772596</v>
      </c>
      <c r="L710" s="10">
        <v>6113.1707426467337</v>
      </c>
      <c r="O710" s="14">
        <v>7.4656272455485091</v>
      </c>
      <c r="P710" s="10">
        <v>9300.0748008894298</v>
      </c>
      <c r="R710" s="19">
        <f t="shared" si="78"/>
        <v>1.1249077781712495</v>
      </c>
      <c r="S710" s="23">
        <f t="shared" si="79"/>
        <v>3186.904058242696</v>
      </c>
      <c r="U710" s="23">
        <f t="shared" si="80"/>
        <v>2833.0358453237932</v>
      </c>
      <c r="AA710" s="18">
        <f t="shared" si="81"/>
        <v>1</v>
      </c>
      <c r="AF710" s="23">
        <f t="shared" si="82"/>
        <v>53058.484850319779</v>
      </c>
      <c r="AL710" s="18">
        <f t="shared" si="83"/>
        <v>1</v>
      </c>
    </row>
    <row r="711" spans="9:38" x14ac:dyDescent="0.2">
      <c r="I711" s="4">
        <v>704</v>
      </c>
      <c r="K711" s="14">
        <v>6.8111627601154305</v>
      </c>
      <c r="L711" s="10">
        <v>5778.3318866869158</v>
      </c>
      <c r="O711" s="14">
        <v>7.0695679273982943</v>
      </c>
      <c r="P711" s="10">
        <v>9293.5866321765516</v>
      </c>
      <c r="R711" s="19">
        <f t="shared" si="78"/>
        <v>0.25840516728286378</v>
      </c>
      <c r="S711" s="23">
        <f t="shared" si="79"/>
        <v>3515.2547454896358</v>
      </c>
      <c r="U711" s="23">
        <f t="shared" si="80"/>
        <v>13603.654998282811</v>
      </c>
      <c r="AA711" s="18">
        <f t="shared" si="81"/>
        <v>1</v>
      </c>
      <c r="AF711" s="23">
        <f t="shared" si="82"/>
        <v>9405.0036186535526</v>
      </c>
      <c r="AL711" s="18">
        <f t="shared" si="83"/>
        <v>1</v>
      </c>
    </row>
    <row r="712" spans="9:38" x14ac:dyDescent="0.2">
      <c r="I712" s="4">
        <v>705</v>
      </c>
      <c r="K712" s="14">
        <v>6.4852798696610465</v>
      </c>
      <c r="L712" s="10">
        <v>7245.2515842684752</v>
      </c>
      <c r="O712" s="14">
        <v>6.9468428784495169</v>
      </c>
      <c r="P712" s="10">
        <v>9464.5829569457746</v>
      </c>
      <c r="R712" s="19">
        <f t="shared" ref="R712:R775" si="84">O712-K712</f>
        <v>0.46156300878847034</v>
      </c>
      <c r="S712" s="23">
        <f t="shared" ref="S712:S775" si="85">P712-L712</f>
        <v>2219.3313726772994</v>
      </c>
      <c r="U712" s="23">
        <f t="shared" ref="U712:U775" si="86">S712/R712</f>
        <v>4808.2955748613658</v>
      </c>
      <c r="AA712" s="18">
        <f t="shared" ref="AA712:AA775" si="87">IF(R712&lt;0,IF(U712&lt;Rc_,0,1),IF(U712&lt;Rc_,1,0))</f>
        <v>1</v>
      </c>
      <c r="AF712" s="23">
        <f t="shared" ref="AF712:AF775" si="88">R712*Rc_-S712</f>
        <v>20858.819066746219</v>
      </c>
      <c r="AL712" s="18">
        <f t="shared" ref="AL712:AL775" si="89">IF(AF712&gt;0,1,0)</f>
        <v>1</v>
      </c>
    </row>
    <row r="713" spans="9:38" x14ac:dyDescent="0.2">
      <c r="I713" s="4">
        <v>706</v>
      </c>
      <c r="K713" s="14">
        <v>6.4982935691258232</v>
      </c>
      <c r="L713" s="10">
        <v>9431.2083210043729</v>
      </c>
      <c r="O713" s="14">
        <v>7.8706116616153556</v>
      </c>
      <c r="P713" s="10">
        <v>10495.631631862319</v>
      </c>
      <c r="R713" s="19">
        <f t="shared" si="84"/>
        <v>1.3723180924895324</v>
      </c>
      <c r="S713" s="23">
        <f t="shared" si="85"/>
        <v>1064.4233108579465</v>
      </c>
      <c r="U713" s="23">
        <f t="shared" si="86"/>
        <v>775.63891103918058</v>
      </c>
      <c r="AA713" s="18">
        <f t="shared" si="87"/>
        <v>1</v>
      </c>
      <c r="AF713" s="23">
        <f t="shared" si="88"/>
        <v>67551.481313618671</v>
      </c>
      <c r="AL713" s="18">
        <f t="shared" si="89"/>
        <v>1</v>
      </c>
    </row>
    <row r="714" spans="9:38" x14ac:dyDescent="0.2">
      <c r="I714" s="4">
        <v>707</v>
      </c>
      <c r="K714" s="14">
        <v>6.4412943900349511</v>
      </c>
      <c r="L714" s="10">
        <v>7059.4077417414346</v>
      </c>
      <c r="O714" s="14">
        <v>6.6384225671688704</v>
      </c>
      <c r="P714" s="10">
        <v>9110.3422501809891</v>
      </c>
      <c r="R714" s="19">
        <f t="shared" si="84"/>
        <v>0.19712817713391928</v>
      </c>
      <c r="S714" s="23">
        <f t="shared" si="85"/>
        <v>2050.9345084395545</v>
      </c>
      <c r="U714" s="23">
        <f t="shared" si="86"/>
        <v>10404.065711246594</v>
      </c>
      <c r="AA714" s="18">
        <f t="shared" si="87"/>
        <v>1</v>
      </c>
      <c r="AF714" s="23">
        <f t="shared" si="88"/>
        <v>7805.474348256409</v>
      </c>
      <c r="AL714" s="18">
        <f t="shared" si="89"/>
        <v>1</v>
      </c>
    </row>
    <row r="715" spans="9:38" x14ac:dyDescent="0.2">
      <c r="I715" s="4">
        <v>708</v>
      </c>
      <c r="K715" s="14">
        <v>6.1500062316370512</v>
      </c>
      <c r="L715" s="10">
        <v>6805.0128281115158</v>
      </c>
      <c r="O715" s="14">
        <v>7.1997653802113692</v>
      </c>
      <c r="P715" s="10">
        <v>9436.5511775322957</v>
      </c>
      <c r="R715" s="19">
        <f t="shared" si="84"/>
        <v>1.0497591485743181</v>
      </c>
      <c r="S715" s="23">
        <f t="shared" si="85"/>
        <v>2631.5383494207799</v>
      </c>
      <c r="U715" s="23">
        <f t="shared" si="86"/>
        <v>2506.8020154858209</v>
      </c>
      <c r="AA715" s="18">
        <f t="shared" si="87"/>
        <v>1</v>
      </c>
      <c r="AF715" s="23">
        <f t="shared" si="88"/>
        <v>49856.419079295127</v>
      </c>
      <c r="AL715" s="18">
        <f t="shared" si="89"/>
        <v>1</v>
      </c>
    </row>
    <row r="716" spans="9:38" x14ac:dyDescent="0.2">
      <c r="I716" s="4">
        <v>709</v>
      </c>
      <c r="K716" s="14">
        <v>5.7422834498886282</v>
      </c>
      <c r="L716" s="10">
        <v>6574.4691815809147</v>
      </c>
      <c r="O716" s="14">
        <v>7.1543630258189079</v>
      </c>
      <c r="P716" s="10">
        <v>9091.9957270834184</v>
      </c>
      <c r="R716" s="19">
        <f t="shared" si="84"/>
        <v>1.4120795759302798</v>
      </c>
      <c r="S716" s="23">
        <f t="shared" si="85"/>
        <v>2517.5265455025037</v>
      </c>
      <c r="U716" s="23">
        <f t="shared" si="86"/>
        <v>1782.8503353601402</v>
      </c>
      <c r="AA716" s="18">
        <f t="shared" si="87"/>
        <v>1</v>
      </c>
      <c r="AF716" s="23">
        <f t="shared" si="88"/>
        <v>68086.452251011477</v>
      </c>
      <c r="AL716" s="18">
        <f t="shared" si="89"/>
        <v>1</v>
      </c>
    </row>
    <row r="717" spans="9:38" x14ac:dyDescent="0.2">
      <c r="I717" s="4">
        <v>710</v>
      </c>
      <c r="K717" s="14">
        <v>6.4688001590416846</v>
      </c>
      <c r="L717" s="10">
        <v>6594.1948126634607</v>
      </c>
      <c r="O717" s="14">
        <v>7.1026570452300692</v>
      </c>
      <c r="P717" s="10">
        <v>9683.296295962602</v>
      </c>
      <c r="R717" s="19">
        <f t="shared" si="84"/>
        <v>0.63385688618838465</v>
      </c>
      <c r="S717" s="23">
        <f t="shared" si="85"/>
        <v>3089.1014832991414</v>
      </c>
      <c r="U717" s="23">
        <f t="shared" si="86"/>
        <v>4873.499918688347</v>
      </c>
      <c r="AA717" s="18">
        <f t="shared" si="87"/>
        <v>1</v>
      </c>
      <c r="AF717" s="23">
        <f t="shared" si="88"/>
        <v>28603.742826120091</v>
      </c>
      <c r="AL717" s="18">
        <f t="shared" si="89"/>
        <v>1</v>
      </c>
    </row>
    <row r="718" spans="9:38" x14ac:dyDescent="0.2">
      <c r="I718" s="4">
        <v>711</v>
      </c>
      <c r="K718" s="14">
        <v>6.3206866529074555</v>
      </c>
      <c r="L718" s="10">
        <v>6831.5351642362839</v>
      </c>
      <c r="O718" s="14">
        <v>6.6894156867195331</v>
      </c>
      <c r="P718" s="10">
        <v>9557.2412335106656</v>
      </c>
      <c r="R718" s="19">
        <f t="shared" si="84"/>
        <v>0.36872903381207767</v>
      </c>
      <c r="S718" s="23">
        <f t="shared" si="85"/>
        <v>2725.7060692743817</v>
      </c>
      <c r="U718" s="23">
        <f t="shared" si="86"/>
        <v>7392.1655723577624</v>
      </c>
      <c r="AA718" s="18">
        <f t="shared" si="87"/>
        <v>1</v>
      </c>
      <c r="AF718" s="23">
        <f t="shared" si="88"/>
        <v>15710.745621329503</v>
      </c>
      <c r="AL718" s="18">
        <f t="shared" si="89"/>
        <v>1</v>
      </c>
    </row>
    <row r="719" spans="9:38" x14ac:dyDescent="0.2">
      <c r="I719" s="4">
        <v>712</v>
      </c>
      <c r="K719" s="14">
        <v>6.1432035985094853</v>
      </c>
      <c r="L719" s="10">
        <v>5899.9257677969999</v>
      </c>
      <c r="O719" s="14">
        <v>7.2422244751588361</v>
      </c>
      <c r="P719" s="10">
        <v>9348.5590621696429</v>
      </c>
      <c r="R719" s="19">
        <f t="shared" si="84"/>
        <v>1.0990208766493508</v>
      </c>
      <c r="S719" s="23">
        <f t="shared" si="85"/>
        <v>3448.6332943726429</v>
      </c>
      <c r="U719" s="23">
        <f t="shared" si="86"/>
        <v>3137.9142722808806</v>
      </c>
      <c r="AA719" s="18">
        <f t="shared" si="87"/>
        <v>1</v>
      </c>
      <c r="AF719" s="23">
        <f t="shared" si="88"/>
        <v>51502.410538094897</v>
      </c>
      <c r="AL719" s="18">
        <f t="shared" si="89"/>
        <v>1</v>
      </c>
    </row>
    <row r="720" spans="9:38" x14ac:dyDescent="0.2">
      <c r="I720" s="4">
        <v>713</v>
      </c>
      <c r="K720" s="14">
        <v>6.5773965188287518</v>
      </c>
      <c r="L720" s="10">
        <v>6132.1097007431681</v>
      </c>
      <c r="O720" s="14">
        <v>7.3260466339489154</v>
      </c>
      <c r="P720" s="10">
        <v>9687.3797551096923</v>
      </c>
      <c r="R720" s="19">
        <f t="shared" si="84"/>
        <v>0.74865011512016366</v>
      </c>
      <c r="S720" s="23">
        <f t="shared" si="85"/>
        <v>3555.2700543665242</v>
      </c>
      <c r="U720" s="23">
        <f t="shared" si="86"/>
        <v>4748.9073768403523</v>
      </c>
      <c r="AA720" s="18">
        <f t="shared" si="87"/>
        <v>1</v>
      </c>
      <c r="AF720" s="23">
        <f t="shared" si="88"/>
        <v>33877.235701641657</v>
      </c>
      <c r="AL720" s="18">
        <f t="shared" si="89"/>
        <v>1</v>
      </c>
    </row>
    <row r="721" spans="9:38" x14ac:dyDescent="0.2">
      <c r="I721" s="4">
        <v>714</v>
      </c>
      <c r="K721" s="14">
        <v>6.7691571803616819</v>
      </c>
      <c r="L721" s="10">
        <v>6012.4898389756363</v>
      </c>
      <c r="O721" s="14">
        <v>7.3817990785177594</v>
      </c>
      <c r="P721" s="10">
        <v>10072.349097753307</v>
      </c>
      <c r="R721" s="19">
        <f t="shared" si="84"/>
        <v>0.6126418981560775</v>
      </c>
      <c r="S721" s="23">
        <f t="shared" si="85"/>
        <v>4059.8592587776711</v>
      </c>
      <c r="U721" s="23">
        <f t="shared" si="86"/>
        <v>6626.8064117014992</v>
      </c>
      <c r="AA721" s="18">
        <f t="shared" si="87"/>
        <v>1</v>
      </c>
      <c r="AF721" s="23">
        <f t="shared" si="88"/>
        <v>26572.235649026203</v>
      </c>
      <c r="AL721" s="18">
        <f t="shared" si="89"/>
        <v>1</v>
      </c>
    </row>
    <row r="722" spans="9:38" x14ac:dyDescent="0.2">
      <c r="I722" s="4">
        <v>715</v>
      </c>
      <c r="K722" s="14">
        <v>6.505446221481801</v>
      </c>
      <c r="L722" s="10">
        <v>7746.6545144413631</v>
      </c>
      <c r="O722" s="14">
        <v>6.9854743977161373</v>
      </c>
      <c r="P722" s="10">
        <v>9278.5768226019118</v>
      </c>
      <c r="R722" s="19">
        <f t="shared" si="84"/>
        <v>0.48002817623433636</v>
      </c>
      <c r="S722" s="23">
        <f t="shared" si="85"/>
        <v>1531.9223081605487</v>
      </c>
      <c r="U722" s="23">
        <f t="shared" si="86"/>
        <v>3191.3174767739197</v>
      </c>
      <c r="AA722" s="18">
        <f t="shared" si="87"/>
        <v>1</v>
      </c>
      <c r="AF722" s="23">
        <f t="shared" si="88"/>
        <v>22469.486503556269</v>
      </c>
      <c r="AL722" s="18">
        <f t="shared" si="89"/>
        <v>1</v>
      </c>
    </row>
    <row r="723" spans="9:38" x14ac:dyDescent="0.2">
      <c r="I723" s="4">
        <v>716</v>
      </c>
      <c r="K723" s="14">
        <v>6.4512528468355184</v>
      </c>
      <c r="L723" s="10">
        <v>6971.6015915769749</v>
      </c>
      <c r="O723" s="14">
        <v>7.0379299766572743</v>
      </c>
      <c r="P723" s="10">
        <v>8779.7764180418108</v>
      </c>
      <c r="R723" s="19">
        <f t="shared" si="84"/>
        <v>0.5866771298217559</v>
      </c>
      <c r="S723" s="23">
        <f t="shared" si="85"/>
        <v>1808.1748264648359</v>
      </c>
      <c r="U723" s="23">
        <f t="shared" si="86"/>
        <v>3082.0612131483549</v>
      </c>
      <c r="AA723" s="18">
        <f t="shared" si="87"/>
        <v>1</v>
      </c>
      <c r="AF723" s="23">
        <f t="shared" si="88"/>
        <v>27525.681664622956</v>
      </c>
      <c r="AL723" s="18">
        <f t="shared" si="89"/>
        <v>1</v>
      </c>
    </row>
    <row r="724" spans="9:38" x14ac:dyDescent="0.2">
      <c r="I724" s="4">
        <v>717</v>
      </c>
      <c r="K724" s="14">
        <v>6.5036796941903701</v>
      </c>
      <c r="L724" s="10">
        <v>5837.432999592731</v>
      </c>
      <c r="O724" s="14">
        <v>8.0612716363115489</v>
      </c>
      <c r="P724" s="10">
        <v>10952.276581771728</v>
      </c>
      <c r="R724" s="19">
        <f t="shared" si="84"/>
        <v>1.5575919421211788</v>
      </c>
      <c r="S724" s="23">
        <f t="shared" si="85"/>
        <v>5114.8435821789972</v>
      </c>
      <c r="U724" s="23">
        <f t="shared" si="86"/>
        <v>3283.8148708020658</v>
      </c>
      <c r="AA724" s="18">
        <f t="shared" si="87"/>
        <v>1</v>
      </c>
      <c r="AF724" s="23">
        <f t="shared" si="88"/>
        <v>72764.753523879946</v>
      </c>
      <c r="AL724" s="18">
        <f t="shared" si="89"/>
        <v>1</v>
      </c>
    </row>
    <row r="725" spans="9:38" x14ac:dyDescent="0.2">
      <c r="I725" s="4">
        <v>718</v>
      </c>
      <c r="K725" s="14">
        <v>6.3249463351407238</v>
      </c>
      <c r="L725" s="10">
        <v>6298.0156167269461</v>
      </c>
      <c r="O725" s="14">
        <v>6.9785031211974209</v>
      </c>
      <c r="P725" s="10">
        <v>9087.2155904446936</v>
      </c>
      <c r="R725" s="19">
        <f t="shared" si="84"/>
        <v>0.65355678605669709</v>
      </c>
      <c r="S725" s="23">
        <f t="shared" si="85"/>
        <v>2789.1999737177475</v>
      </c>
      <c r="U725" s="23">
        <f t="shared" si="86"/>
        <v>4267.7239885254285</v>
      </c>
      <c r="AA725" s="18">
        <f t="shared" si="87"/>
        <v>1</v>
      </c>
      <c r="AF725" s="23">
        <f t="shared" si="88"/>
        <v>29888.639329117108</v>
      </c>
      <c r="AL725" s="18">
        <f t="shared" si="89"/>
        <v>1</v>
      </c>
    </row>
    <row r="726" spans="9:38" x14ac:dyDescent="0.2">
      <c r="I726" s="4">
        <v>719</v>
      </c>
      <c r="K726" s="14">
        <v>6.7132289045899691</v>
      </c>
      <c r="L726" s="10">
        <v>7216.6250518585393</v>
      </c>
      <c r="O726" s="14">
        <v>7.1357551608512502</v>
      </c>
      <c r="P726" s="10">
        <v>9414.3953078178274</v>
      </c>
      <c r="R726" s="19">
        <f t="shared" si="84"/>
        <v>0.42252625626128104</v>
      </c>
      <c r="S726" s="23">
        <f t="shared" si="85"/>
        <v>2197.7702559592881</v>
      </c>
      <c r="U726" s="23">
        <f t="shared" si="86"/>
        <v>5201.4998438351122</v>
      </c>
      <c r="AA726" s="18">
        <f t="shared" si="87"/>
        <v>1</v>
      </c>
      <c r="AF726" s="23">
        <f t="shared" si="88"/>
        <v>18928.542557104764</v>
      </c>
      <c r="AL726" s="18">
        <f t="shared" si="89"/>
        <v>1</v>
      </c>
    </row>
    <row r="727" spans="9:38" x14ac:dyDescent="0.2">
      <c r="I727" s="4">
        <v>720</v>
      </c>
      <c r="K727" s="14">
        <v>6.5954912820434846</v>
      </c>
      <c r="L727" s="10">
        <v>5841.2529366213794</v>
      </c>
      <c r="O727" s="14">
        <v>7.7504290578632897</v>
      </c>
      <c r="P727" s="10">
        <v>10544.935905343023</v>
      </c>
      <c r="R727" s="19">
        <f t="shared" si="84"/>
        <v>1.1549377758198052</v>
      </c>
      <c r="S727" s="23">
        <f t="shared" si="85"/>
        <v>4703.6829687216441</v>
      </c>
      <c r="U727" s="23">
        <f t="shared" si="86"/>
        <v>4072.6721968920328</v>
      </c>
      <c r="AA727" s="18">
        <f t="shared" si="87"/>
        <v>1</v>
      </c>
      <c r="AF727" s="23">
        <f t="shared" si="88"/>
        <v>53043.20582226861</v>
      </c>
      <c r="AL727" s="18">
        <f t="shared" si="89"/>
        <v>1</v>
      </c>
    </row>
    <row r="728" spans="9:38" x14ac:dyDescent="0.2">
      <c r="I728" s="4">
        <v>721</v>
      </c>
      <c r="K728" s="14">
        <v>6.5431689496126921</v>
      </c>
      <c r="L728" s="10">
        <v>7254.7776966730216</v>
      </c>
      <c r="O728" s="14">
        <v>7.6813284666729009</v>
      </c>
      <c r="P728" s="10">
        <v>10135.322582669871</v>
      </c>
      <c r="R728" s="19">
        <f t="shared" si="84"/>
        <v>1.1381595170602088</v>
      </c>
      <c r="S728" s="23">
        <f t="shared" si="85"/>
        <v>2880.5448859968492</v>
      </c>
      <c r="U728" s="23">
        <f t="shared" si="86"/>
        <v>2530.879760542799</v>
      </c>
      <c r="AA728" s="18">
        <f t="shared" si="87"/>
        <v>1</v>
      </c>
      <c r="AF728" s="23">
        <f t="shared" si="88"/>
        <v>54027.430967013584</v>
      </c>
      <c r="AL728" s="18">
        <f t="shared" si="89"/>
        <v>1</v>
      </c>
    </row>
    <row r="729" spans="9:38" x14ac:dyDescent="0.2">
      <c r="I729" s="4">
        <v>722</v>
      </c>
      <c r="K729" s="14">
        <v>6.199878182699881</v>
      </c>
      <c r="L729" s="10">
        <v>8236.1150629354343</v>
      </c>
      <c r="O729" s="14">
        <v>7.3470533836023604</v>
      </c>
      <c r="P729" s="10">
        <v>9286.5555807954333</v>
      </c>
      <c r="R729" s="19">
        <f t="shared" si="84"/>
        <v>1.1471752009024794</v>
      </c>
      <c r="S729" s="23">
        <f t="shared" si="85"/>
        <v>1050.4405178599991</v>
      </c>
      <c r="U729" s="23">
        <f t="shared" si="86"/>
        <v>915.67575470043334</v>
      </c>
      <c r="AA729" s="18">
        <f t="shared" si="87"/>
        <v>1</v>
      </c>
      <c r="AF729" s="23">
        <f t="shared" si="88"/>
        <v>56308.319527263971</v>
      </c>
      <c r="AL729" s="18">
        <f t="shared" si="89"/>
        <v>1</v>
      </c>
    </row>
    <row r="730" spans="9:38" x14ac:dyDescent="0.2">
      <c r="I730" s="4">
        <v>723</v>
      </c>
      <c r="K730" s="14">
        <v>6.7998166209314004</v>
      </c>
      <c r="L730" s="10">
        <v>9521.6578490205429</v>
      </c>
      <c r="O730" s="14">
        <v>6.3600594228659695</v>
      </c>
      <c r="P730" s="10">
        <v>8476.9947007054943</v>
      </c>
      <c r="R730" s="19">
        <f t="shared" si="84"/>
        <v>-0.4397571980654309</v>
      </c>
      <c r="S730" s="23">
        <f t="shared" si="85"/>
        <v>-1044.6631483150486</v>
      </c>
      <c r="U730" s="23">
        <f t="shared" si="86"/>
        <v>2375.5453075258465</v>
      </c>
      <c r="AA730" s="18">
        <f t="shared" si="87"/>
        <v>0</v>
      </c>
      <c r="AF730" s="23">
        <f t="shared" si="88"/>
        <v>-20943.196754956498</v>
      </c>
      <c r="AL730" s="18">
        <f t="shared" si="89"/>
        <v>0</v>
      </c>
    </row>
    <row r="731" spans="9:38" x14ac:dyDescent="0.2">
      <c r="I731" s="4">
        <v>724</v>
      </c>
      <c r="K731" s="14">
        <v>6.2964459603788114</v>
      </c>
      <c r="L731" s="10">
        <v>7233.2563375145146</v>
      </c>
      <c r="O731" s="14">
        <v>7.1589488086412407</v>
      </c>
      <c r="P731" s="10">
        <v>9803.0527193916423</v>
      </c>
      <c r="R731" s="19">
        <f t="shared" si="84"/>
        <v>0.86250284826242929</v>
      </c>
      <c r="S731" s="23">
        <f t="shared" si="85"/>
        <v>2569.7963818771277</v>
      </c>
      <c r="U731" s="23">
        <f t="shared" si="86"/>
        <v>2979.4642267607087</v>
      </c>
      <c r="AA731" s="18">
        <f t="shared" si="87"/>
        <v>1</v>
      </c>
      <c r="AF731" s="23">
        <f t="shared" si="88"/>
        <v>40555.346031244335</v>
      </c>
      <c r="AL731" s="18">
        <f t="shared" si="89"/>
        <v>1</v>
      </c>
    </row>
    <row r="732" spans="9:38" x14ac:dyDescent="0.2">
      <c r="I732" s="4">
        <v>725</v>
      </c>
      <c r="K732" s="14">
        <v>5.7551877024466602</v>
      </c>
      <c r="L732" s="10">
        <v>5654.3771800255254</v>
      </c>
      <c r="O732" s="14">
        <v>7.3895917242995779</v>
      </c>
      <c r="P732" s="10">
        <v>9615.0904821642835</v>
      </c>
      <c r="R732" s="19">
        <f t="shared" si="84"/>
        <v>1.6344040218529177</v>
      </c>
      <c r="S732" s="23">
        <f t="shared" si="85"/>
        <v>3960.7133021387581</v>
      </c>
      <c r="U732" s="23">
        <f t="shared" si="86"/>
        <v>2423.3379563325552</v>
      </c>
      <c r="AA732" s="18">
        <f t="shared" si="87"/>
        <v>1</v>
      </c>
      <c r="AF732" s="23">
        <f t="shared" si="88"/>
        <v>77759.487790507133</v>
      </c>
      <c r="AL732" s="18">
        <f t="shared" si="89"/>
        <v>1</v>
      </c>
    </row>
    <row r="733" spans="9:38" x14ac:dyDescent="0.2">
      <c r="I733" s="4">
        <v>726</v>
      </c>
      <c r="K733" s="14">
        <v>6.5012224198576121</v>
      </c>
      <c r="L733" s="10">
        <v>7299.7335746845174</v>
      </c>
      <c r="O733" s="14">
        <v>7.090241641148685</v>
      </c>
      <c r="P733" s="10">
        <v>9878.8605501445272</v>
      </c>
      <c r="R733" s="19">
        <f t="shared" si="84"/>
        <v>0.58901922129107298</v>
      </c>
      <c r="S733" s="23">
        <f t="shared" si="85"/>
        <v>2579.1269754600098</v>
      </c>
      <c r="U733" s="23">
        <f t="shared" si="86"/>
        <v>4378.680495021561</v>
      </c>
      <c r="AA733" s="18">
        <f t="shared" si="87"/>
        <v>1</v>
      </c>
      <c r="AF733" s="23">
        <f t="shared" si="88"/>
        <v>26871.834089093638</v>
      </c>
      <c r="AL733" s="18">
        <f t="shared" si="89"/>
        <v>1</v>
      </c>
    </row>
    <row r="734" spans="9:38" x14ac:dyDescent="0.2">
      <c r="I734" s="4">
        <v>727</v>
      </c>
      <c r="K734" s="14">
        <v>6.7195676015112209</v>
      </c>
      <c r="L734" s="10">
        <v>7387.1691272835096</v>
      </c>
      <c r="O734" s="14">
        <v>7.2545695594112551</v>
      </c>
      <c r="P734" s="10">
        <v>10139.828984296821</v>
      </c>
      <c r="R734" s="19">
        <f t="shared" si="84"/>
        <v>0.53500195790003424</v>
      </c>
      <c r="S734" s="23">
        <f t="shared" si="85"/>
        <v>2752.659857013311</v>
      </c>
      <c r="U734" s="23">
        <f t="shared" si="86"/>
        <v>5145.1397819513195</v>
      </c>
      <c r="AA734" s="18">
        <f t="shared" si="87"/>
        <v>1</v>
      </c>
      <c r="AF734" s="23">
        <f t="shared" si="88"/>
        <v>23997.438037988402</v>
      </c>
      <c r="AL734" s="18">
        <f t="shared" si="89"/>
        <v>1</v>
      </c>
    </row>
    <row r="735" spans="9:38" x14ac:dyDescent="0.2">
      <c r="I735" s="4">
        <v>728</v>
      </c>
      <c r="K735" s="14">
        <v>6.7423026272593924</v>
      </c>
      <c r="L735" s="10">
        <v>7255.658509964157</v>
      </c>
      <c r="O735" s="14">
        <v>7.6425286529204159</v>
      </c>
      <c r="P735" s="10">
        <v>10345.541100513579</v>
      </c>
      <c r="R735" s="19">
        <f t="shared" si="84"/>
        <v>0.9002260256610235</v>
      </c>
      <c r="S735" s="23">
        <f t="shared" si="85"/>
        <v>3089.8825905494223</v>
      </c>
      <c r="U735" s="23">
        <f t="shared" si="86"/>
        <v>3432.3408815920029</v>
      </c>
      <c r="AA735" s="18">
        <f t="shared" si="87"/>
        <v>1</v>
      </c>
      <c r="AF735" s="23">
        <f t="shared" si="88"/>
        <v>41921.418692501749</v>
      </c>
      <c r="AL735" s="18">
        <f t="shared" si="89"/>
        <v>1</v>
      </c>
    </row>
    <row r="736" spans="9:38" x14ac:dyDescent="0.2">
      <c r="I736" s="4">
        <v>729</v>
      </c>
      <c r="K736" s="14">
        <v>6.1609215895079581</v>
      </c>
      <c r="L736" s="10">
        <v>6022.2090222563102</v>
      </c>
      <c r="O736" s="14">
        <v>7.3818814763563116</v>
      </c>
      <c r="P736" s="10">
        <v>9764.7098661999771</v>
      </c>
      <c r="R736" s="19">
        <f t="shared" si="84"/>
        <v>1.2209598868483535</v>
      </c>
      <c r="S736" s="23">
        <f t="shared" si="85"/>
        <v>3742.500843943667</v>
      </c>
      <c r="U736" s="23">
        <f t="shared" si="86"/>
        <v>3065.2119568023904</v>
      </c>
      <c r="AA736" s="18">
        <f t="shared" si="87"/>
        <v>1</v>
      </c>
      <c r="AF736" s="23">
        <f t="shared" si="88"/>
        <v>57305.49349847401</v>
      </c>
      <c r="AL736" s="18">
        <f t="shared" si="89"/>
        <v>1</v>
      </c>
    </row>
    <row r="737" spans="9:38" x14ac:dyDescent="0.2">
      <c r="I737" s="4">
        <v>730</v>
      </c>
      <c r="K737" s="14">
        <v>6.3564778409462814</v>
      </c>
      <c r="L737" s="10">
        <v>6133.3080672980459</v>
      </c>
      <c r="O737" s="14">
        <v>6.8496166219664598</v>
      </c>
      <c r="P737" s="10">
        <v>9295.3476436689925</v>
      </c>
      <c r="R737" s="19">
        <f t="shared" si="84"/>
        <v>0.49313878102017839</v>
      </c>
      <c r="S737" s="23">
        <f t="shared" si="85"/>
        <v>3162.0395763709466</v>
      </c>
      <c r="U737" s="23">
        <f t="shared" si="86"/>
        <v>6412.0683630467938</v>
      </c>
      <c r="AA737" s="18">
        <f t="shared" si="87"/>
        <v>1</v>
      </c>
      <c r="AF737" s="23">
        <f t="shared" si="88"/>
        <v>21494.899474637972</v>
      </c>
      <c r="AL737" s="18">
        <f t="shared" si="89"/>
        <v>1</v>
      </c>
    </row>
    <row r="738" spans="9:38" x14ac:dyDescent="0.2">
      <c r="I738" s="4">
        <v>731</v>
      </c>
      <c r="K738" s="14">
        <v>6.7169852294071948</v>
      </c>
      <c r="L738" s="10">
        <v>6437.8175223206399</v>
      </c>
      <c r="O738" s="14">
        <v>6.6310409496713225</v>
      </c>
      <c r="P738" s="10">
        <v>9021.3993650956218</v>
      </c>
      <c r="R738" s="19">
        <f t="shared" si="84"/>
        <v>-8.5944279735872264E-2</v>
      </c>
      <c r="S738" s="23">
        <f t="shared" si="85"/>
        <v>2583.5818427749819</v>
      </c>
      <c r="U738" s="23">
        <f t="shared" si="86"/>
        <v>-30061.126240338031</v>
      </c>
      <c r="AA738" s="18">
        <f t="shared" si="87"/>
        <v>0</v>
      </c>
      <c r="AF738" s="23">
        <f t="shared" si="88"/>
        <v>-6880.7958295685949</v>
      </c>
      <c r="AL738" s="18">
        <f t="shared" si="89"/>
        <v>0</v>
      </c>
    </row>
    <row r="739" spans="9:38" x14ac:dyDescent="0.2">
      <c r="I739" s="4">
        <v>732</v>
      </c>
      <c r="K739" s="14">
        <v>7.0110061091893092</v>
      </c>
      <c r="L739" s="10">
        <v>8424.4985262013961</v>
      </c>
      <c r="O739" s="14">
        <v>7.1230557073704919</v>
      </c>
      <c r="P739" s="10">
        <v>9659.6673660523738</v>
      </c>
      <c r="R739" s="19">
        <f t="shared" si="84"/>
        <v>0.11204959818118265</v>
      </c>
      <c r="S739" s="23">
        <f t="shared" si="85"/>
        <v>1235.1688398509777</v>
      </c>
      <c r="U739" s="23">
        <f t="shared" si="86"/>
        <v>11023.411595405516</v>
      </c>
      <c r="AA739" s="18">
        <f t="shared" si="87"/>
        <v>1</v>
      </c>
      <c r="AF739" s="23">
        <f t="shared" si="88"/>
        <v>4367.3110692081545</v>
      </c>
      <c r="AL739" s="18">
        <f t="shared" si="89"/>
        <v>1</v>
      </c>
    </row>
    <row r="740" spans="9:38" x14ac:dyDescent="0.2">
      <c r="I740" s="4">
        <v>733</v>
      </c>
      <c r="K740" s="14">
        <v>6.350625487600241</v>
      </c>
      <c r="L740" s="10">
        <v>7980.9600345076142</v>
      </c>
      <c r="O740" s="14">
        <v>7.138576649292526</v>
      </c>
      <c r="P740" s="10">
        <v>10092.836730805251</v>
      </c>
      <c r="R740" s="19">
        <f t="shared" si="84"/>
        <v>0.78795116169228496</v>
      </c>
      <c r="S740" s="23">
        <f t="shared" si="85"/>
        <v>2111.876696297637</v>
      </c>
      <c r="U740" s="23">
        <f t="shared" si="86"/>
        <v>2680.2126819154037</v>
      </c>
      <c r="AA740" s="18">
        <f t="shared" si="87"/>
        <v>1</v>
      </c>
      <c r="AF740" s="23">
        <f t="shared" si="88"/>
        <v>37285.681388316611</v>
      </c>
      <c r="AL740" s="18">
        <f t="shared" si="89"/>
        <v>1</v>
      </c>
    </row>
    <row r="741" spans="9:38" x14ac:dyDescent="0.2">
      <c r="I741" s="4">
        <v>734</v>
      </c>
      <c r="K741" s="14">
        <v>6.8709478866473974</v>
      </c>
      <c r="L741" s="10">
        <v>7662.971793155376</v>
      </c>
      <c r="O741" s="14">
        <v>6.3318579309745155</v>
      </c>
      <c r="P741" s="10">
        <v>9715.7717209656839</v>
      </c>
      <c r="R741" s="19">
        <f t="shared" si="84"/>
        <v>-0.53908995567288187</v>
      </c>
      <c r="S741" s="23">
        <f t="shared" si="85"/>
        <v>2052.799927810308</v>
      </c>
      <c r="U741" s="23">
        <f t="shared" si="86"/>
        <v>-3807.8986748102957</v>
      </c>
      <c r="AA741" s="18">
        <f t="shared" si="87"/>
        <v>0</v>
      </c>
      <c r="AF741" s="23">
        <f t="shared" si="88"/>
        <v>-29007.297711454401</v>
      </c>
      <c r="AL741" s="18">
        <f t="shared" si="89"/>
        <v>0</v>
      </c>
    </row>
    <row r="742" spans="9:38" x14ac:dyDescent="0.2">
      <c r="I742" s="4">
        <v>735</v>
      </c>
      <c r="K742" s="14">
        <v>6.2136984876107375</v>
      </c>
      <c r="L742" s="10">
        <v>5388.3243060328814</v>
      </c>
      <c r="O742" s="14">
        <v>7.3369769296682943</v>
      </c>
      <c r="P742" s="10">
        <v>9622.6962772988609</v>
      </c>
      <c r="R742" s="19">
        <f t="shared" si="84"/>
        <v>1.1232784420575568</v>
      </c>
      <c r="S742" s="23">
        <f t="shared" si="85"/>
        <v>4234.3719712659795</v>
      </c>
      <c r="U742" s="23">
        <f t="shared" si="86"/>
        <v>3769.6548003803055</v>
      </c>
      <c r="AA742" s="18">
        <f t="shared" si="87"/>
        <v>1</v>
      </c>
      <c r="AF742" s="23">
        <f t="shared" si="88"/>
        <v>51929.550131611861</v>
      </c>
      <c r="AL742" s="18">
        <f t="shared" si="89"/>
        <v>1</v>
      </c>
    </row>
    <row r="743" spans="9:38" x14ac:dyDescent="0.2">
      <c r="I743" s="4">
        <v>736</v>
      </c>
      <c r="K743" s="14">
        <v>7.0511714858489283</v>
      </c>
      <c r="L743" s="10">
        <v>8094.2159244412142</v>
      </c>
      <c r="O743" s="14">
        <v>7.6550577768565571</v>
      </c>
      <c r="P743" s="10">
        <v>10208.334815459802</v>
      </c>
      <c r="R743" s="19">
        <f t="shared" si="84"/>
        <v>0.60388629100762881</v>
      </c>
      <c r="S743" s="23">
        <f t="shared" si="85"/>
        <v>2114.1188910185883</v>
      </c>
      <c r="U743" s="23">
        <f t="shared" si="86"/>
        <v>3500.8559102923582</v>
      </c>
      <c r="AA743" s="18">
        <f t="shared" si="87"/>
        <v>1</v>
      </c>
      <c r="AF743" s="23">
        <f t="shared" si="88"/>
        <v>28080.195659362853</v>
      </c>
      <c r="AL743" s="18">
        <f t="shared" si="89"/>
        <v>1</v>
      </c>
    </row>
    <row r="744" spans="9:38" x14ac:dyDescent="0.2">
      <c r="I744" s="4">
        <v>737</v>
      </c>
      <c r="K744" s="14">
        <v>5.8377323990564882</v>
      </c>
      <c r="L744" s="10">
        <v>8537.7303709876742</v>
      </c>
      <c r="O744" s="14">
        <v>7.4656297078257614</v>
      </c>
      <c r="P744" s="10">
        <v>9940.1309620388984</v>
      </c>
      <c r="R744" s="19">
        <f t="shared" si="84"/>
        <v>1.6278973087692732</v>
      </c>
      <c r="S744" s="23">
        <f t="shared" si="85"/>
        <v>1402.4005910512242</v>
      </c>
      <c r="U744" s="23">
        <f t="shared" si="86"/>
        <v>861.47976502981658</v>
      </c>
      <c r="AA744" s="18">
        <f t="shared" si="87"/>
        <v>1</v>
      </c>
      <c r="AF744" s="23">
        <f t="shared" si="88"/>
        <v>79992.464847412441</v>
      </c>
      <c r="AL744" s="18">
        <f t="shared" si="89"/>
        <v>1</v>
      </c>
    </row>
    <row r="745" spans="9:38" x14ac:dyDescent="0.2">
      <c r="I745" s="4">
        <v>738</v>
      </c>
      <c r="K745" s="14">
        <v>6.7090884483041755</v>
      </c>
      <c r="L745" s="10">
        <v>7406.6757105308443</v>
      </c>
      <c r="O745" s="14">
        <v>7.4778939450198409</v>
      </c>
      <c r="P745" s="10">
        <v>10286.914706261838</v>
      </c>
      <c r="R745" s="19">
        <f t="shared" si="84"/>
        <v>0.76880549671566545</v>
      </c>
      <c r="S745" s="23">
        <f t="shared" si="85"/>
        <v>2880.2389957309933</v>
      </c>
      <c r="U745" s="23">
        <f t="shared" si="86"/>
        <v>3746.3818976781058</v>
      </c>
      <c r="AA745" s="18">
        <f t="shared" si="87"/>
        <v>1</v>
      </c>
      <c r="AF745" s="23">
        <f t="shared" si="88"/>
        <v>35560.035840052282</v>
      </c>
      <c r="AL745" s="18">
        <f t="shared" si="89"/>
        <v>1</v>
      </c>
    </row>
    <row r="746" spans="9:38" x14ac:dyDescent="0.2">
      <c r="I746" s="4">
        <v>739</v>
      </c>
      <c r="K746" s="14">
        <v>7.039525400243102</v>
      </c>
      <c r="L746" s="10">
        <v>6080.432837657575</v>
      </c>
      <c r="O746" s="14">
        <v>6.9484201017530065</v>
      </c>
      <c r="P746" s="10">
        <v>9902.8125363928193</v>
      </c>
      <c r="R746" s="19">
        <f t="shared" si="84"/>
        <v>-9.1105298490095521E-2</v>
      </c>
      <c r="S746" s="23">
        <f t="shared" si="85"/>
        <v>3822.3796987352443</v>
      </c>
      <c r="U746" s="23">
        <f t="shared" si="86"/>
        <v>-41955.624558442039</v>
      </c>
      <c r="AA746" s="18">
        <f t="shared" si="87"/>
        <v>0</v>
      </c>
      <c r="AF746" s="23">
        <f t="shared" si="88"/>
        <v>-8377.6446232400194</v>
      </c>
      <c r="AL746" s="18">
        <f t="shared" si="89"/>
        <v>0</v>
      </c>
    </row>
    <row r="747" spans="9:38" x14ac:dyDescent="0.2">
      <c r="I747" s="4">
        <v>740</v>
      </c>
      <c r="K747" s="14">
        <v>6.0439707539016547</v>
      </c>
      <c r="L747" s="10">
        <v>7173.6795786256762</v>
      </c>
      <c r="O747" s="14">
        <v>7.6096589039475138</v>
      </c>
      <c r="P747" s="10">
        <v>9536.1703479007228</v>
      </c>
      <c r="R747" s="19">
        <f t="shared" si="84"/>
        <v>1.565688150045859</v>
      </c>
      <c r="S747" s="23">
        <f t="shared" si="85"/>
        <v>2362.4907692750467</v>
      </c>
      <c r="U747" s="23">
        <f t="shared" si="86"/>
        <v>1508.9152774170573</v>
      </c>
      <c r="AA747" s="18">
        <f t="shared" si="87"/>
        <v>1</v>
      </c>
      <c r="AF747" s="23">
        <f t="shared" si="88"/>
        <v>75921.916733017904</v>
      </c>
      <c r="AL747" s="18">
        <f t="shared" si="89"/>
        <v>1</v>
      </c>
    </row>
    <row r="748" spans="9:38" x14ac:dyDescent="0.2">
      <c r="I748" s="4">
        <v>741</v>
      </c>
      <c r="K748" s="14">
        <v>6.6976892341286032</v>
      </c>
      <c r="L748" s="10">
        <v>6192.3895943285888</v>
      </c>
      <c r="O748" s="14">
        <v>7.2567676140592594</v>
      </c>
      <c r="P748" s="10">
        <v>9804.8474007489513</v>
      </c>
      <c r="R748" s="19">
        <f t="shared" si="84"/>
        <v>0.55907837993065623</v>
      </c>
      <c r="S748" s="23">
        <f t="shared" si="85"/>
        <v>3612.4578064203624</v>
      </c>
      <c r="U748" s="23">
        <f t="shared" si="86"/>
        <v>6461.4514459822676</v>
      </c>
      <c r="AA748" s="18">
        <f t="shared" si="87"/>
        <v>1</v>
      </c>
      <c r="AF748" s="23">
        <f t="shared" si="88"/>
        <v>24341.461190112448</v>
      </c>
      <c r="AL748" s="18">
        <f t="shared" si="89"/>
        <v>1</v>
      </c>
    </row>
    <row r="749" spans="9:38" x14ac:dyDescent="0.2">
      <c r="I749" s="4">
        <v>742</v>
      </c>
      <c r="K749" s="14">
        <v>5.7636491138644876</v>
      </c>
      <c r="L749" s="10">
        <v>9260.5398071799609</v>
      </c>
      <c r="O749" s="14">
        <v>6.6372460152877775</v>
      </c>
      <c r="P749" s="10">
        <v>9093.9339901219573</v>
      </c>
      <c r="R749" s="19">
        <f t="shared" si="84"/>
        <v>0.87359690142328983</v>
      </c>
      <c r="S749" s="23">
        <f t="shared" si="85"/>
        <v>-166.60581705800359</v>
      </c>
      <c r="U749" s="23">
        <f t="shared" si="86"/>
        <v>-190.71246336446993</v>
      </c>
      <c r="AA749" s="18">
        <f t="shared" si="87"/>
        <v>1</v>
      </c>
      <c r="AF749" s="23">
        <f t="shared" si="88"/>
        <v>43846.450888222491</v>
      </c>
      <c r="AL749" s="18">
        <f t="shared" si="89"/>
        <v>1</v>
      </c>
    </row>
    <row r="750" spans="9:38" x14ac:dyDescent="0.2">
      <c r="I750" s="4">
        <v>743</v>
      </c>
      <c r="K750" s="14">
        <v>6.6990284513789176</v>
      </c>
      <c r="L750" s="10">
        <v>6058.4103724221213</v>
      </c>
      <c r="O750" s="14">
        <v>6.695562601136265</v>
      </c>
      <c r="P750" s="10">
        <v>9781.171115586114</v>
      </c>
      <c r="R750" s="19">
        <f t="shared" si="84"/>
        <v>-3.4658502426525573E-3</v>
      </c>
      <c r="S750" s="23">
        <f t="shared" si="85"/>
        <v>3722.7607431639926</v>
      </c>
      <c r="U750" s="23">
        <f t="shared" si="86"/>
        <v>-1074126.2554710994</v>
      </c>
      <c r="AA750" s="18">
        <f t="shared" si="87"/>
        <v>0</v>
      </c>
      <c r="AF750" s="23">
        <f t="shared" si="88"/>
        <v>-3896.0532552966206</v>
      </c>
      <c r="AL750" s="18">
        <f t="shared" si="89"/>
        <v>0</v>
      </c>
    </row>
    <row r="751" spans="9:38" x14ac:dyDescent="0.2">
      <c r="I751" s="4">
        <v>744</v>
      </c>
      <c r="K751" s="14">
        <v>6.5298041729118017</v>
      </c>
      <c r="L751" s="10">
        <v>7437.3342261016169</v>
      </c>
      <c r="O751" s="14">
        <v>7.5930830297804217</v>
      </c>
      <c r="P751" s="10">
        <v>9873.2935913359852</v>
      </c>
      <c r="R751" s="19">
        <f t="shared" si="84"/>
        <v>1.06327885686862</v>
      </c>
      <c r="S751" s="23">
        <f t="shared" si="85"/>
        <v>2435.9593652343683</v>
      </c>
      <c r="U751" s="23">
        <f t="shared" si="86"/>
        <v>2290.9882478132999</v>
      </c>
      <c r="AA751" s="18">
        <f t="shared" si="87"/>
        <v>1</v>
      </c>
      <c r="AF751" s="23">
        <f t="shared" si="88"/>
        <v>50727.983478196635</v>
      </c>
      <c r="AL751" s="18">
        <f t="shared" si="89"/>
        <v>1</v>
      </c>
    </row>
    <row r="752" spans="9:38" x14ac:dyDescent="0.2">
      <c r="I752" s="4">
        <v>745</v>
      </c>
      <c r="K752" s="14">
        <v>6.8048340800600871</v>
      </c>
      <c r="L752" s="10">
        <v>6935.8281688460338</v>
      </c>
      <c r="O752" s="14">
        <v>7.1497458218159613</v>
      </c>
      <c r="P752" s="10">
        <v>9522.5104514955365</v>
      </c>
      <c r="R752" s="19">
        <f t="shared" si="84"/>
        <v>0.34491174175587425</v>
      </c>
      <c r="S752" s="23">
        <f t="shared" si="85"/>
        <v>2586.6822826495027</v>
      </c>
      <c r="U752" s="23">
        <f t="shared" si="86"/>
        <v>7499.5483467197691</v>
      </c>
      <c r="AA752" s="18">
        <f t="shared" si="87"/>
        <v>1</v>
      </c>
      <c r="AF752" s="23">
        <f t="shared" si="88"/>
        <v>14658.90480514421</v>
      </c>
      <c r="AL752" s="18">
        <f t="shared" si="89"/>
        <v>1</v>
      </c>
    </row>
    <row r="753" spans="9:38" x14ac:dyDescent="0.2">
      <c r="I753" s="4">
        <v>746</v>
      </c>
      <c r="K753" s="14">
        <v>6.9890120116513774</v>
      </c>
      <c r="L753" s="10">
        <v>9401.3150776220082</v>
      </c>
      <c r="O753" s="14">
        <v>7.3599265487799421</v>
      </c>
      <c r="P753" s="10">
        <v>10233.326169851009</v>
      </c>
      <c r="R753" s="19">
        <f t="shared" si="84"/>
        <v>0.3709145371285647</v>
      </c>
      <c r="S753" s="23">
        <f t="shared" si="85"/>
        <v>832.0110922290005</v>
      </c>
      <c r="U753" s="23">
        <f t="shared" si="86"/>
        <v>2243.1342235060811</v>
      </c>
      <c r="AA753" s="18">
        <f t="shared" si="87"/>
        <v>1</v>
      </c>
      <c r="AF753" s="23">
        <f t="shared" si="88"/>
        <v>17713.715764199234</v>
      </c>
      <c r="AL753" s="18">
        <f t="shared" si="89"/>
        <v>1</v>
      </c>
    </row>
    <row r="754" spans="9:38" x14ac:dyDescent="0.2">
      <c r="I754" s="4">
        <v>747</v>
      </c>
      <c r="K754" s="14">
        <v>5.8922867641480385</v>
      </c>
      <c r="L754" s="10">
        <v>6863.5763259280011</v>
      </c>
      <c r="O754" s="14">
        <v>7.8140387399996323</v>
      </c>
      <c r="P754" s="10">
        <v>10559.924105101625</v>
      </c>
      <c r="R754" s="19">
        <f t="shared" si="84"/>
        <v>1.9217519758515937</v>
      </c>
      <c r="S754" s="23">
        <f t="shared" si="85"/>
        <v>3696.3477791736241</v>
      </c>
      <c r="U754" s="23">
        <f t="shared" si="86"/>
        <v>1923.426032922717</v>
      </c>
      <c r="AA754" s="18">
        <f t="shared" si="87"/>
        <v>1</v>
      </c>
      <c r="AF754" s="23">
        <f t="shared" si="88"/>
        <v>92391.251013406058</v>
      </c>
      <c r="AL754" s="18">
        <f t="shared" si="89"/>
        <v>1</v>
      </c>
    </row>
    <row r="755" spans="9:38" x14ac:dyDescent="0.2">
      <c r="I755" s="4">
        <v>748</v>
      </c>
      <c r="K755" s="14">
        <v>6.1143246890969536</v>
      </c>
      <c r="L755" s="10">
        <v>8822.4742580267502</v>
      </c>
      <c r="O755" s="14">
        <v>7.3035162836061147</v>
      </c>
      <c r="P755" s="10">
        <v>9743.7416759987118</v>
      </c>
      <c r="R755" s="19">
        <f t="shared" si="84"/>
        <v>1.1891915945091611</v>
      </c>
      <c r="S755" s="23">
        <f t="shared" si="85"/>
        <v>921.26741797196155</v>
      </c>
      <c r="U755" s="23">
        <f t="shared" si="86"/>
        <v>774.70057997863216</v>
      </c>
      <c r="AA755" s="18">
        <f t="shared" si="87"/>
        <v>1</v>
      </c>
      <c r="AF755" s="23">
        <f t="shared" si="88"/>
        <v>58538.312307486092</v>
      </c>
      <c r="AL755" s="18">
        <f t="shared" si="89"/>
        <v>1</v>
      </c>
    </row>
    <row r="756" spans="9:38" x14ac:dyDescent="0.2">
      <c r="I756" s="4">
        <v>749</v>
      </c>
      <c r="K756" s="14">
        <v>6.5784719529285391</v>
      </c>
      <c r="L756" s="10">
        <v>6123.6105605680705</v>
      </c>
      <c r="O756" s="14">
        <v>7.7719157042257994</v>
      </c>
      <c r="P756" s="10">
        <v>10791.320423977011</v>
      </c>
      <c r="R756" s="19">
        <f t="shared" si="84"/>
        <v>1.1934437512972602</v>
      </c>
      <c r="S756" s="23">
        <f t="shared" si="85"/>
        <v>4667.7098634089407</v>
      </c>
      <c r="U756" s="23">
        <f t="shared" si="86"/>
        <v>3911.126819621948</v>
      </c>
      <c r="AA756" s="18">
        <f t="shared" si="87"/>
        <v>1</v>
      </c>
      <c r="AF756" s="23">
        <f t="shared" si="88"/>
        <v>55004.477701454067</v>
      </c>
      <c r="AL756" s="18">
        <f t="shared" si="89"/>
        <v>1</v>
      </c>
    </row>
    <row r="757" spans="9:38" x14ac:dyDescent="0.2">
      <c r="I757" s="4">
        <v>750</v>
      </c>
      <c r="K757" s="14">
        <v>6.9371060631201882</v>
      </c>
      <c r="L757" s="10">
        <v>7166.096504318175</v>
      </c>
      <c r="O757" s="14">
        <v>7.4841191854128155</v>
      </c>
      <c r="P757" s="10">
        <v>9535.8645313012894</v>
      </c>
      <c r="R757" s="19">
        <f t="shared" si="84"/>
        <v>0.54701312229262733</v>
      </c>
      <c r="S757" s="23">
        <f t="shared" si="85"/>
        <v>2369.7680269831144</v>
      </c>
      <c r="U757" s="23">
        <f t="shared" si="86"/>
        <v>4332.1959390133161</v>
      </c>
      <c r="AA757" s="18">
        <f t="shared" si="87"/>
        <v>1</v>
      </c>
      <c r="AF757" s="23">
        <f t="shared" si="88"/>
        <v>24980.888087648251</v>
      </c>
      <c r="AL757" s="18">
        <f t="shared" si="89"/>
        <v>1</v>
      </c>
    </row>
    <row r="758" spans="9:38" x14ac:dyDescent="0.2">
      <c r="I758" s="4">
        <v>751</v>
      </c>
      <c r="K758" s="14">
        <v>7.1989646261651874</v>
      </c>
      <c r="L758" s="10">
        <v>7904.6207503667429</v>
      </c>
      <c r="O758" s="14">
        <v>6.9032928930319484</v>
      </c>
      <c r="P758" s="10">
        <v>9774.9371592628268</v>
      </c>
      <c r="R758" s="19">
        <f t="shared" si="84"/>
        <v>-0.29567173313323902</v>
      </c>
      <c r="S758" s="23">
        <f t="shared" si="85"/>
        <v>1870.3164088960839</v>
      </c>
      <c r="U758" s="23">
        <f t="shared" si="86"/>
        <v>-6325.6517255684375</v>
      </c>
      <c r="AA758" s="18">
        <f t="shared" si="87"/>
        <v>0</v>
      </c>
      <c r="AF758" s="23">
        <f t="shared" si="88"/>
        <v>-16653.903065558035</v>
      </c>
      <c r="AL758" s="18">
        <f t="shared" si="89"/>
        <v>0</v>
      </c>
    </row>
    <row r="759" spans="9:38" x14ac:dyDescent="0.2">
      <c r="I759" s="4">
        <v>752</v>
      </c>
      <c r="K759" s="14">
        <v>6.7398313536567001</v>
      </c>
      <c r="L759" s="10">
        <v>6065.6964204130772</v>
      </c>
      <c r="O759" s="14">
        <v>6.7807777296235008</v>
      </c>
      <c r="P759" s="10">
        <v>9224.624999565729</v>
      </c>
      <c r="R759" s="19">
        <f t="shared" si="84"/>
        <v>4.094637596680073E-2</v>
      </c>
      <c r="S759" s="23">
        <f t="shared" si="85"/>
        <v>3158.9285791526518</v>
      </c>
      <c r="U759" s="23">
        <f t="shared" si="86"/>
        <v>77147.940558009504</v>
      </c>
      <c r="AA759" s="18">
        <f t="shared" si="87"/>
        <v>0</v>
      </c>
      <c r="AF759" s="23">
        <f t="shared" si="88"/>
        <v>-1111.6097808126153</v>
      </c>
      <c r="AL759" s="18">
        <f t="shared" si="89"/>
        <v>0</v>
      </c>
    </row>
    <row r="760" spans="9:38" x14ac:dyDescent="0.2">
      <c r="I760" s="4">
        <v>753</v>
      </c>
      <c r="K760" s="14">
        <v>6.1352277142048353</v>
      </c>
      <c r="L760" s="10">
        <v>6897.4847799862328</v>
      </c>
      <c r="O760" s="14">
        <v>7.5086607829014076</v>
      </c>
      <c r="P760" s="10">
        <v>10592.296776730427</v>
      </c>
      <c r="R760" s="19">
        <f t="shared" si="84"/>
        <v>1.3734330686965723</v>
      </c>
      <c r="S760" s="23">
        <f t="shared" si="85"/>
        <v>3694.8119967441944</v>
      </c>
      <c r="U760" s="23">
        <f t="shared" si="86"/>
        <v>2690.2017149264343</v>
      </c>
      <c r="AA760" s="18">
        <f t="shared" si="87"/>
        <v>1</v>
      </c>
      <c r="AF760" s="23">
        <f t="shared" si="88"/>
        <v>64976.841438084426</v>
      </c>
      <c r="AL760" s="18">
        <f t="shared" si="89"/>
        <v>1</v>
      </c>
    </row>
    <row r="761" spans="9:38" x14ac:dyDescent="0.2">
      <c r="I761" s="4">
        <v>754</v>
      </c>
      <c r="K761" s="14">
        <v>5.9111473483516077</v>
      </c>
      <c r="L761" s="10">
        <v>7028.2463807345021</v>
      </c>
      <c r="O761" s="14">
        <v>6.8960295694481291</v>
      </c>
      <c r="P761" s="10">
        <v>10406.97327991571</v>
      </c>
      <c r="R761" s="19">
        <f t="shared" si="84"/>
        <v>0.98488222109652135</v>
      </c>
      <c r="S761" s="23">
        <f t="shared" si="85"/>
        <v>3378.726899181208</v>
      </c>
      <c r="U761" s="23">
        <f t="shared" si="86"/>
        <v>3430.5897972444795</v>
      </c>
      <c r="AA761" s="18">
        <f t="shared" si="87"/>
        <v>1</v>
      </c>
      <c r="AF761" s="23">
        <f t="shared" si="88"/>
        <v>45865.384155644861</v>
      </c>
      <c r="AL761" s="18">
        <f t="shared" si="89"/>
        <v>1</v>
      </c>
    </row>
    <row r="762" spans="9:38" x14ac:dyDescent="0.2">
      <c r="I762" s="4">
        <v>755</v>
      </c>
      <c r="K762" s="14">
        <v>6.0527389483425615</v>
      </c>
      <c r="L762" s="10">
        <v>7484.6201548567715</v>
      </c>
      <c r="O762" s="14">
        <v>7.3753268083625736</v>
      </c>
      <c r="P762" s="10">
        <v>10110.531988390549</v>
      </c>
      <c r="R762" s="19">
        <f t="shared" si="84"/>
        <v>1.3225878600200121</v>
      </c>
      <c r="S762" s="23">
        <f t="shared" si="85"/>
        <v>2625.9118335337771</v>
      </c>
      <c r="U762" s="23">
        <f t="shared" si="86"/>
        <v>1985.4347018534138</v>
      </c>
      <c r="AA762" s="18">
        <f t="shared" si="87"/>
        <v>1</v>
      </c>
      <c r="AF762" s="23">
        <f t="shared" si="88"/>
        <v>63503.481167466824</v>
      </c>
      <c r="AL762" s="18">
        <f t="shared" si="89"/>
        <v>1</v>
      </c>
    </row>
    <row r="763" spans="9:38" x14ac:dyDescent="0.2">
      <c r="I763" s="4">
        <v>756</v>
      </c>
      <c r="K763" s="14">
        <v>6.5849105381876294</v>
      </c>
      <c r="L763" s="10">
        <v>6461.6008298428314</v>
      </c>
      <c r="O763" s="14">
        <v>7.200288767965267</v>
      </c>
      <c r="P763" s="10">
        <v>9870.025502251754</v>
      </c>
      <c r="R763" s="19">
        <f t="shared" si="84"/>
        <v>0.61537822977763756</v>
      </c>
      <c r="S763" s="23">
        <f t="shared" si="85"/>
        <v>3408.4246724089226</v>
      </c>
      <c r="U763" s="23">
        <f t="shared" si="86"/>
        <v>5538.7475660952969</v>
      </c>
      <c r="AA763" s="18">
        <f t="shared" si="87"/>
        <v>1</v>
      </c>
      <c r="AF763" s="23">
        <f t="shared" si="88"/>
        <v>27360.486816472956</v>
      </c>
      <c r="AL763" s="18">
        <f t="shared" si="89"/>
        <v>1</v>
      </c>
    </row>
    <row r="764" spans="9:38" x14ac:dyDescent="0.2">
      <c r="I764" s="4">
        <v>757</v>
      </c>
      <c r="K764" s="14">
        <v>6.1877996068789187</v>
      </c>
      <c r="L764" s="10">
        <v>7757.845635434317</v>
      </c>
      <c r="O764" s="14">
        <v>6.6023976269677682</v>
      </c>
      <c r="P764" s="10">
        <v>9138.3147686956945</v>
      </c>
      <c r="R764" s="19">
        <f t="shared" si="84"/>
        <v>0.41459802008884949</v>
      </c>
      <c r="S764" s="23">
        <f t="shared" si="85"/>
        <v>1380.4691332613775</v>
      </c>
      <c r="U764" s="23">
        <f t="shared" si="86"/>
        <v>3329.6568395708669</v>
      </c>
      <c r="AA764" s="18">
        <f t="shared" si="87"/>
        <v>1</v>
      </c>
      <c r="AF764" s="23">
        <f t="shared" si="88"/>
        <v>19349.431871181099</v>
      </c>
      <c r="AL764" s="18">
        <f t="shared" si="89"/>
        <v>1</v>
      </c>
    </row>
    <row r="765" spans="9:38" x14ac:dyDescent="0.2">
      <c r="I765" s="4">
        <v>758</v>
      </c>
      <c r="K765" s="14">
        <v>6.6320683662996647</v>
      </c>
      <c r="L765" s="10">
        <v>8040.3347725598642</v>
      </c>
      <c r="O765" s="14">
        <v>7.2941451411854947</v>
      </c>
      <c r="P765" s="10">
        <v>10252.202965599616</v>
      </c>
      <c r="R765" s="19">
        <f t="shared" si="84"/>
        <v>0.66207677488583005</v>
      </c>
      <c r="S765" s="23">
        <f t="shared" si="85"/>
        <v>2211.8681930397515</v>
      </c>
      <c r="U765" s="23">
        <f t="shared" si="86"/>
        <v>3340.8031771257506</v>
      </c>
      <c r="AA765" s="18">
        <f t="shared" si="87"/>
        <v>1</v>
      </c>
      <c r="AF765" s="23">
        <f t="shared" si="88"/>
        <v>30891.970551251754</v>
      </c>
      <c r="AL765" s="18">
        <f t="shared" si="89"/>
        <v>1</v>
      </c>
    </row>
    <row r="766" spans="9:38" x14ac:dyDescent="0.2">
      <c r="I766" s="4">
        <v>759</v>
      </c>
      <c r="K766" s="14">
        <v>6.7240774195719109</v>
      </c>
      <c r="L766" s="10">
        <v>8987.8042538133177</v>
      </c>
      <c r="O766" s="14">
        <v>7.486313049964048</v>
      </c>
      <c r="P766" s="10">
        <v>9832.3222170668323</v>
      </c>
      <c r="R766" s="19">
        <f t="shared" si="84"/>
        <v>0.76223563039213715</v>
      </c>
      <c r="S766" s="23">
        <f t="shared" si="85"/>
        <v>844.51796325351461</v>
      </c>
      <c r="U766" s="23">
        <f t="shared" si="86"/>
        <v>1107.9486835574019</v>
      </c>
      <c r="AA766" s="18">
        <f t="shared" si="87"/>
        <v>1</v>
      </c>
      <c r="AF766" s="23">
        <f t="shared" si="88"/>
        <v>37267.26355635334</v>
      </c>
      <c r="AL766" s="18">
        <f t="shared" si="89"/>
        <v>1</v>
      </c>
    </row>
    <row r="767" spans="9:38" x14ac:dyDescent="0.2">
      <c r="I767" s="4">
        <v>760</v>
      </c>
      <c r="K767" s="14">
        <v>6.4879956101046483</v>
      </c>
      <c r="L767" s="10">
        <v>6792.6144184261702</v>
      </c>
      <c r="O767" s="14">
        <v>7.0272091183139027</v>
      </c>
      <c r="P767" s="10">
        <v>9277.5304726488612</v>
      </c>
      <c r="R767" s="19">
        <f t="shared" si="84"/>
        <v>0.5392135082092544</v>
      </c>
      <c r="S767" s="23">
        <f t="shared" si="85"/>
        <v>2484.9160542226909</v>
      </c>
      <c r="U767" s="23">
        <f t="shared" si="86"/>
        <v>4608.4083881265842</v>
      </c>
      <c r="AA767" s="18">
        <f t="shared" si="87"/>
        <v>1</v>
      </c>
      <c r="AF767" s="23">
        <f t="shared" si="88"/>
        <v>24475.759356240029</v>
      </c>
      <c r="AL767" s="18">
        <f t="shared" si="89"/>
        <v>1</v>
      </c>
    </row>
    <row r="768" spans="9:38" x14ac:dyDescent="0.2">
      <c r="I768" s="4">
        <v>761</v>
      </c>
      <c r="K768" s="14">
        <v>6.7013580474345291</v>
      </c>
      <c r="L768" s="10">
        <v>7235.6341383007912</v>
      </c>
      <c r="O768" s="14">
        <v>6.8435343046855994</v>
      </c>
      <c r="P768" s="10">
        <v>9218.0224925019465</v>
      </c>
      <c r="R768" s="19">
        <f t="shared" si="84"/>
        <v>0.1421762572510703</v>
      </c>
      <c r="S768" s="23">
        <f t="shared" si="85"/>
        <v>1982.3883542011554</v>
      </c>
      <c r="U768" s="23">
        <f t="shared" si="86"/>
        <v>13943.174426799253</v>
      </c>
      <c r="AA768" s="18">
        <f t="shared" si="87"/>
        <v>1</v>
      </c>
      <c r="AF768" s="23">
        <f t="shared" si="88"/>
        <v>5126.4245083523601</v>
      </c>
      <c r="AL768" s="18">
        <f t="shared" si="89"/>
        <v>1</v>
      </c>
    </row>
    <row r="769" spans="9:38" x14ac:dyDescent="0.2">
      <c r="I769" s="4">
        <v>762</v>
      </c>
      <c r="K769" s="14">
        <v>5.9771918084706819</v>
      </c>
      <c r="L769" s="10">
        <v>6672.276843963321</v>
      </c>
      <c r="O769" s="14">
        <v>6.9354435784829072</v>
      </c>
      <c r="P769" s="10">
        <v>9686.9912622068332</v>
      </c>
      <c r="R769" s="19">
        <f t="shared" si="84"/>
        <v>0.95825177001222528</v>
      </c>
      <c r="S769" s="23">
        <f t="shared" si="85"/>
        <v>3014.7144182435122</v>
      </c>
      <c r="U769" s="23">
        <f t="shared" si="86"/>
        <v>3146.0567176463978</v>
      </c>
      <c r="AA769" s="18">
        <f t="shared" si="87"/>
        <v>1</v>
      </c>
      <c r="AF769" s="23">
        <f t="shared" si="88"/>
        <v>44897.874082367751</v>
      </c>
      <c r="AL769" s="18">
        <f t="shared" si="89"/>
        <v>1</v>
      </c>
    </row>
    <row r="770" spans="9:38" x14ac:dyDescent="0.2">
      <c r="I770" s="4">
        <v>763</v>
      </c>
      <c r="K770" s="14">
        <v>6.7652065052854349</v>
      </c>
      <c r="L770" s="10">
        <v>8097.236836648256</v>
      </c>
      <c r="O770" s="14">
        <v>7.5734269693963503</v>
      </c>
      <c r="P770" s="10">
        <v>9877.0978172212745</v>
      </c>
      <c r="R770" s="19">
        <f t="shared" si="84"/>
        <v>0.80822046411091542</v>
      </c>
      <c r="S770" s="23">
        <f t="shared" si="85"/>
        <v>1779.8609805730184</v>
      </c>
      <c r="U770" s="23">
        <f t="shared" si="86"/>
        <v>2202.1973701581019</v>
      </c>
      <c r="AA770" s="18">
        <f t="shared" si="87"/>
        <v>1</v>
      </c>
      <c r="AF770" s="23">
        <f t="shared" si="88"/>
        <v>38631.162224972752</v>
      </c>
      <c r="AL770" s="18">
        <f t="shared" si="89"/>
        <v>1</v>
      </c>
    </row>
    <row r="771" spans="9:38" x14ac:dyDescent="0.2">
      <c r="I771" s="4">
        <v>764</v>
      </c>
      <c r="K771" s="14">
        <v>5.984364836066046</v>
      </c>
      <c r="L771" s="10">
        <v>6444.2836179880824</v>
      </c>
      <c r="O771" s="14">
        <v>7.0305525943309712</v>
      </c>
      <c r="P771" s="10">
        <v>10422.526862900004</v>
      </c>
      <c r="R771" s="19">
        <f t="shared" si="84"/>
        <v>1.0461877582649253</v>
      </c>
      <c r="S771" s="23">
        <f t="shared" si="85"/>
        <v>3978.2432449119215</v>
      </c>
      <c r="U771" s="23">
        <f t="shared" si="86"/>
        <v>3802.6092481809696</v>
      </c>
      <c r="AA771" s="18">
        <f t="shared" si="87"/>
        <v>1</v>
      </c>
      <c r="AF771" s="23">
        <f t="shared" si="88"/>
        <v>48331.144668334338</v>
      </c>
      <c r="AL771" s="18">
        <f t="shared" si="89"/>
        <v>1</v>
      </c>
    </row>
    <row r="772" spans="9:38" x14ac:dyDescent="0.2">
      <c r="I772" s="4">
        <v>765</v>
      </c>
      <c r="K772" s="14">
        <v>6.6071059303383572</v>
      </c>
      <c r="L772" s="10">
        <v>6883.7508271464976</v>
      </c>
      <c r="O772" s="14">
        <v>7.5235118507370293</v>
      </c>
      <c r="P772" s="10">
        <v>9838.5452934917485</v>
      </c>
      <c r="R772" s="19">
        <f t="shared" si="84"/>
        <v>0.91640592039867208</v>
      </c>
      <c r="S772" s="23">
        <f t="shared" si="85"/>
        <v>2954.7944663452508</v>
      </c>
      <c r="U772" s="23">
        <f t="shared" si="86"/>
        <v>3224.3293071042149</v>
      </c>
      <c r="AA772" s="18">
        <f t="shared" si="87"/>
        <v>1</v>
      </c>
      <c r="AF772" s="23">
        <f t="shared" si="88"/>
        <v>42865.50155358835</v>
      </c>
      <c r="AL772" s="18">
        <f t="shared" si="89"/>
        <v>1</v>
      </c>
    </row>
    <row r="773" spans="9:38" x14ac:dyDescent="0.2">
      <c r="I773" s="4">
        <v>766</v>
      </c>
      <c r="K773" s="14">
        <v>6.4944268777308887</v>
      </c>
      <c r="L773" s="10">
        <v>6202.9955232907787</v>
      </c>
      <c r="O773" s="14">
        <v>7.7774091255889672</v>
      </c>
      <c r="P773" s="10">
        <v>10153.761589456921</v>
      </c>
      <c r="R773" s="19">
        <f t="shared" si="84"/>
        <v>1.2829822478580786</v>
      </c>
      <c r="S773" s="23">
        <f t="shared" si="85"/>
        <v>3950.7660661661421</v>
      </c>
      <c r="U773" s="23">
        <f t="shared" si="86"/>
        <v>3079.3614430456014</v>
      </c>
      <c r="AA773" s="18">
        <f t="shared" si="87"/>
        <v>1</v>
      </c>
      <c r="AF773" s="23">
        <f t="shared" si="88"/>
        <v>60198.346326737788</v>
      </c>
      <c r="AL773" s="18">
        <f t="shared" si="89"/>
        <v>1</v>
      </c>
    </row>
    <row r="774" spans="9:38" x14ac:dyDescent="0.2">
      <c r="I774" s="4">
        <v>767</v>
      </c>
      <c r="K774" s="14">
        <v>6.460346544367618</v>
      </c>
      <c r="L774" s="10">
        <v>7187.6745216935706</v>
      </c>
      <c r="O774" s="14">
        <v>7.4163433206606468</v>
      </c>
      <c r="P774" s="10">
        <v>9359.7503937384572</v>
      </c>
      <c r="R774" s="19">
        <f t="shared" si="84"/>
        <v>0.95599677629302882</v>
      </c>
      <c r="S774" s="23">
        <f t="shared" si="85"/>
        <v>2172.0758720448866</v>
      </c>
      <c r="U774" s="23">
        <f t="shared" si="86"/>
        <v>2272.0535528031</v>
      </c>
      <c r="AA774" s="18">
        <f t="shared" si="87"/>
        <v>1</v>
      </c>
      <c r="AF774" s="23">
        <f t="shared" si="88"/>
        <v>45627.762942606554</v>
      </c>
      <c r="AL774" s="18">
        <f t="shared" si="89"/>
        <v>1</v>
      </c>
    </row>
    <row r="775" spans="9:38" x14ac:dyDescent="0.2">
      <c r="I775" s="4">
        <v>768</v>
      </c>
      <c r="K775" s="14">
        <v>6.4422154929170263</v>
      </c>
      <c r="L775" s="10">
        <v>7197.6979320381997</v>
      </c>
      <c r="O775" s="14">
        <v>7.7935168222859446</v>
      </c>
      <c r="P775" s="10">
        <v>10254.443648516002</v>
      </c>
      <c r="R775" s="19">
        <f t="shared" si="84"/>
        <v>1.3513013293689182</v>
      </c>
      <c r="S775" s="23">
        <f t="shared" si="85"/>
        <v>3056.7457164778025</v>
      </c>
      <c r="U775" s="23">
        <f t="shared" si="86"/>
        <v>2262.0755637866182</v>
      </c>
      <c r="AA775" s="18">
        <f t="shared" si="87"/>
        <v>1</v>
      </c>
      <c r="AF775" s="23">
        <f t="shared" si="88"/>
        <v>64508.320751968102</v>
      </c>
      <c r="AL775" s="18">
        <f t="shared" si="89"/>
        <v>1</v>
      </c>
    </row>
    <row r="776" spans="9:38" x14ac:dyDescent="0.2">
      <c r="I776" s="4">
        <v>769</v>
      </c>
      <c r="K776" s="14">
        <v>6.635671955200567</v>
      </c>
      <c r="L776" s="10">
        <v>8274.2799093947324</v>
      </c>
      <c r="O776" s="14">
        <v>6.9277723421158131</v>
      </c>
      <c r="P776" s="10">
        <v>9802.5637154114866</v>
      </c>
      <c r="R776" s="19">
        <f t="shared" ref="R776:R839" si="90">O776-K776</f>
        <v>0.29210038691524609</v>
      </c>
      <c r="S776" s="23">
        <f t="shared" ref="S776:S839" si="91">P776-L776</f>
        <v>1528.2838060167542</v>
      </c>
      <c r="U776" s="23">
        <f t="shared" ref="U776:U839" si="92">S776/R776</f>
        <v>5232.0499200851482</v>
      </c>
      <c r="AA776" s="18">
        <f t="shared" ref="AA776:AA839" si="93">IF(R776&lt;0,IF(U776&lt;Rc_,0,1),IF(U776&lt;Rc_,1,0))</f>
        <v>1</v>
      </c>
      <c r="AF776" s="23">
        <f t="shared" ref="AF776:AF839" si="94">R776*Rc_-S776</f>
        <v>13076.73553974555</v>
      </c>
      <c r="AL776" s="18">
        <f t="shared" ref="AL776:AL839" si="95">IF(AF776&gt;0,1,0)</f>
        <v>1</v>
      </c>
    </row>
    <row r="777" spans="9:38" x14ac:dyDescent="0.2">
      <c r="I777" s="4">
        <v>770</v>
      </c>
      <c r="K777" s="14">
        <v>6.6407823628588245</v>
      </c>
      <c r="L777" s="10">
        <v>6522.7938692747275</v>
      </c>
      <c r="O777" s="14">
        <v>7.1739664372533367</v>
      </c>
      <c r="P777" s="10">
        <v>9945.6943504472456</v>
      </c>
      <c r="R777" s="19">
        <f t="shared" si="90"/>
        <v>0.53318407439451221</v>
      </c>
      <c r="S777" s="23">
        <f t="shared" si="91"/>
        <v>3422.9004811725181</v>
      </c>
      <c r="U777" s="23">
        <f t="shared" si="92"/>
        <v>6419.7350325205971</v>
      </c>
      <c r="AA777" s="18">
        <f t="shared" si="93"/>
        <v>1</v>
      </c>
      <c r="AF777" s="23">
        <f t="shared" si="94"/>
        <v>23236.303238553093</v>
      </c>
      <c r="AL777" s="18">
        <f t="shared" si="95"/>
        <v>1</v>
      </c>
    </row>
    <row r="778" spans="9:38" x14ac:dyDescent="0.2">
      <c r="I778" s="4">
        <v>771</v>
      </c>
      <c r="K778" s="14">
        <v>6.4099203899970973</v>
      </c>
      <c r="L778" s="10">
        <v>6402.3993688400578</v>
      </c>
      <c r="O778" s="14">
        <v>6.9275857895963551</v>
      </c>
      <c r="P778" s="10">
        <v>9248.2719571517555</v>
      </c>
      <c r="R778" s="19">
        <f t="shared" si="90"/>
        <v>0.51766539959925773</v>
      </c>
      <c r="S778" s="23">
        <f t="shared" si="91"/>
        <v>2845.8725883116977</v>
      </c>
      <c r="U778" s="23">
        <f t="shared" si="92"/>
        <v>5497.5136265911988</v>
      </c>
      <c r="AA778" s="18">
        <f t="shared" si="93"/>
        <v>1</v>
      </c>
      <c r="AF778" s="23">
        <f t="shared" si="94"/>
        <v>23037.39739165119</v>
      </c>
      <c r="AL778" s="18">
        <f t="shared" si="95"/>
        <v>1</v>
      </c>
    </row>
    <row r="779" spans="9:38" x14ac:dyDescent="0.2">
      <c r="I779" s="4">
        <v>772</v>
      </c>
      <c r="K779" s="14">
        <v>6.4394028600565925</v>
      </c>
      <c r="L779" s="10">
        <v>6026.3583981408001</v>
      </c>
      <c r="O779" s="14">
        <v>6.8841946519667818</v>
      </c>
      <c r="P779" s="10">
        <v>9663.5236624949175</v>
      </c>
      <c r="R779" s="19">
        <f t="shared" si="90"/>
        <v>0.44479179191018936</v>
      </c>
      <c r="S779" s="23">
        <f t="shared" si="91"/>
        <v>3637.1652643541174</v>
      </c>
      <c r="U779" s="23">
        <f t="shared" si="92"/>
        <v>8177.2310786897788</v>
      </c>
      <c r="AA779" s="18">
        <f t="shared" si="93"/>
        <v>1</v>
      </c>
      <c r="AF779" s="23">
        <f t="shared" si="94"/>
        <v>18602.424331155351</v>
      </c>
      <c r="AL779" s="18">
        <f t="shared" si="95"/>
        <v>1</v>
      </c>
    </row>
    <row r="780" spans="9:38" x14ac:dyDescent="0.2">
      <c r="I780" s="4">
        <v>773</v>
      </c>
      <c r="K780" s="14">
        <v>6.0737019720305909</v>
      </c>
      <c r="L780" s="10">
        <v>7509.5054336231351</v>
      </c>
      <c r="O780" s="14">
        <v>7.6044753387768198</v>
      </c>
      <c r="P780" s="10">
        <v>9664.4398525863635</v>
      </c>
      <c r="R780" s="19">
        <f t="shared" si="90"/>
        <v>1.5307733667462289</v>
      </c>
      <c r="S780" s="23">
        <f t="shared" si="91"/>
        <v>2154.9344189632284</v>
      </c>
      <c r="U780" s="23">
        <f t="shared" si="92"/>
        <v>1407.742299269094</v>
      </c>
      <c r="AA780" s="18">
        <f t="shared" si="93"/>
        <v>1</v>
      </c>
      <c r="AF780" s="23">
        <f t="shared" si="94"/>
        <v>74383.733918348225</v>
      </c>
      <c r="AL780" s="18">
        <f t="shared" si="95"/>
        <v>1</v>
      </c>
    </row>
    <row r="781" spans="9:38" x14ac:dyDescent="0.2">
      <c r="I781" s="4">
        <v>774</v>
      </c>
      <c r="K781" s="14">
        <v>6.3663165114023297</v>
      </c>
      <c r="L781" s="10">
        <v>9608.8233920790153</v>
      </c>
      <c r="O781" s="14">
        <v>7.1536680108056911</v>
      </c>
      <c r="P781" s="10">
        <v>9852.4884248900325</v>
      </c>
      <c r="R781" s="19">
        <f t="shared" si="90"/>
        <v>0.78735149940336147</v>
      </c>
      <c r="S781" s="23">
        <f t="shared" si="91"/>
        <v>243.66503281101723</v>
      </c>
      <c r="U781" s="23">
        <f t="shared" si="92"/>
        <v>309.4742729208765</v>
      </c>
      <c r="AA781" s="18">
        <f t="shared" si="93"/>
        <v>1</v>
      </c>
      <c r="AF781" s="23">
        <f t="shared" si="94"/>
        <v>39123.909937357057</v>
      </c>
      <c r="AL781" s="18">
        <f t="shared" si="95"/>
        <v>1</v>
      </c>
    </row>
    <row r="782" spans="9:38" x14ac:dyDescent="0.2">
      <c r="I782" s="4">
        <v>775</v>
      </c>
      <c r="K782" s="14">
        <v>5.7166458786795298</v>
      </c>
      <c r="L782" s="10">
        <v>5531.1361302221694</v>
      </c>
      <c r="O782" s="14">
        <v>7.8237445323933148</v>
      </c>
      <c r="P782" s="10">
        <v>10333.135261058245</v>
      </c>
      <c r="R782" s="19">
        <f t="shared" si="90"/>
        <v>2.107098653713785</v>
      </c>
      <c r="S782" s="23">
        <f t="shared" si="91"/>
        <v>4801.9991308360759</v>
      </c>
      <c r="U782" s="23">
        <f t="shared" si="92"/>
        <v>2278.9626495999601</v>
      </c>
      <c r="AA782" s="18">
        <f t="shared" si="93"/>
        <v>1</v>
      </c>
      <c r="AF782" s="23">
        <f t="shared" si="94"/>
        <v>100552.93355485317</v>
      </c>
      <c r="AL782" s="18">
        <f t="shared" si="95"/>
        <v>1</v>
      </c>
    </row>
    <row r="783" spans="9:38" x14ac:dyDescent="0.2">
      <c r="I783" s="4">
        <v>776</v>
      </c>
      <c r="K783" s="14">
        <v>6.7380194105921563</v>
      </c>
      <c r="L783" s="10">
        <v>6249.7998316594239</v>
      </c>
      <c r="O783" s="14">
        <v>7.1936683628087188</v>
      </c>
      <c r="P783" s="10">
        <v>9149.8865136994918</v>
      </c>
      <c r="R783" s="19">
        <f t="shared" si="90"/>
        <v>0.45564895221656254</v>
      </c>
      <c r="S783" s="23">
        <f t="shared" si="91"/>
        <v>2900.0866820400679</v>
      </c>
      <c r="U783" s="23">
        <f t="shared" si="92"/>
        <v>6364.7390560918129</v>
      </c>
      <c r="AA783" s="18">
        <f t="shared" si="93"/>
        <v>1</v>
      </c>
      <c r="AF783" s="23">
        <f t="shared" si="94"/>
        <v>19882.360928788061</v>
      </c>
      <c r="AL783" s="18">
        <f t="shared" si="95"/>
        <v>1</v>
      </c>
    </row>
    <row r="784" spans="9:38" x14ac:dyDescent="0.2">
      <c r="I784" s="4">
        <v>777</v>
      </c>
      <c r="K784" s="14">
        <v>5.5554060108190413</v>
      </c>
      <c r="L784" s="10">
        <v>10301.716420990682</v>
      </c>
      <c r="O784" s="14">
        <v>6.9461643881483361</v>
      </c>
      <c r="P784" s="10">
        <v>9960.1931127994485</v>
      </c>
      <c r="R784" s="19">
        <f t="shared" si="90"/>
        <v>1.3907583773292949</v>
      </c>
      <c r="S784" s="23">
        <f t="shared" si="91"/>
        <v>-341.52330819123381</v>
      </c>
      <c r="U784" s="23">
        <f t="shared" si="92"/>
        <v>-245.56624195718945</v>
      </c>
      <c r="AA784" s="18">
        <f t="shared" si="93"/>
        <v>1</v>
      </c>
      <c r="AF784" s="23">
        <f t="shared" si="94"/>
        <v>69879.442174655967</v>
      </c>
      <c r="AL784" s="18">
        <f t="shared" si="95"/>
        <v>1</v>
      </c>
    </row>
    <row r="785" spans="9:38" x14ac:dyDescent="0.2">
      <c r="I785" s="4">
        <v>778</v>
      </c>
      <c r="K785" s="14">
        <v>6.7569379389031337</v>
      </c>
      <c r="L785" s="10">
        <v>6467.3636170514974</v>
      </c>
      <c r="O785" s="14">
        <v>6.6894684327477592</v>
      </c>
      <c r="P785" s="10">
        <v>9182.9560649736213</v>
      </c>
      <c r="R785" s="19">
        <f t="shared" si="90"/>
        <v>-6.7469506155374503E-2</v>
      </c>
      <c r="S785" s="23">
        <f t="shared" si="91"/>
        <v>2715.5924479221239</v>
      </c>
      <c r="U785" s="23">
        <f t="shared" si="92"/>
        <v>-40249.182225647644</v>
      </c>
      <c r="AA785" s="18">
        <f t="shared" si="93"/>
        <v>0</v>
      </c>
      <c r="AF785" s="23">
        <f t="shared" si="94"/>
        <v>-6089.0677556908486</v>
      </c>
      <c r="AL785" s="18">
        <f t="shared" si="95"/>
        <v>0</v>
      </c>
    </row>
    <row r="786" spans="9:38" x14ac:dyDescent="0.2">
      <c r="I786" s="4">
        <v>779</v>
      </c>
      <c r="K786" s="14">
        <v>6.443054765649066</v>
      </c>
      <c r="L786" s="10">
        <v>6881.8487743273217</v>
      </c>
      <c r="O786" s="14">
        <v>6.7601623346601807</v>
      </c>
      <c r="P786" s="10">
        <v>9728.7020823795101</v>
      </c>
      <c r="R786" s="19">
        <f t="shared" si="90"/>
        <v>0.3171075690111147</v>
      </c>
      <c r="S786" s="23">
        <f t="shared" si="91"/>
        <v>2846.8533080521884</v>
      </c>
      <c r="U786" s="23">
        <f t="shared" si="92"/>
        <v>8977.5634083095811</v>
      </c>
      <c r="AA786" s="18">
        <f t="shared" si="93"/>
        <v>1</v>
      </c>
      <c r="AF786" s="23">
        <f t="shared" si="94"/>
        <v>13008.525142503546</v>
      </c>
      <c r="AL786" s="18">
        <f t="shared" si="95"/>
        <v>1</v>
      </c>
    </row>
    <row r="787" spans="9:38" x14ac:dyDescent="0.2">
      <c r="I787" s="4">
        <v>780</v>
      </c>
      <c r="K787" s="14">
        <v>6.5801155407607084</v>
      </c>
      <c r="L787" s="10">
        <v>8061.3773688929978</v>
      </c>
      <c r="O787" s="14">
        <v>7.9681287617387087</v>
      </c>
      <c r="P787" s="10">
        <v>10474.124401370365</v>
      </c>
      <c r="R787" s="19">
        <f t="shared" si="90"/>
        <v>1.3880132209780003</v>
      </c>
      <c r="S787" s="23">
        <f t="shared" si="91"/>
        <v>2412.7470324773676</v>
      </c>
      <c r="U787" s="23">
        <f t="shared" si="92"/>
        <v>1738.273811813792</v>
      </c>
      <c r="AA787" s="18">
        <f t="shared" si="93"/>
        <v>1</v>
      </c>
      <c r="AF787" s="23">
        <f t="shared" si="94"/>
        <v>66987.914016422641</v>
      </c>
      <c r="AL787" s="18">
        <f t="shared" si="95"/>
        <v>1</v>
      </c>
    </row>
    <row r="788" spans="9:38" x14ac:dyDescent="0.2">
      <c r="I788" s="4">
        <v>781</v>
      </c>
      <c r="K788" s="14">
        <v>6.7822077793514328</v>
      </c>
      <c r="L788" s="10">
        <v>7609.0273452758638</v>
      </c>
      <c r="O788" s="14">
        <v>6.5686704287313376</v>
      </c>
      <c r="P788" s="10">
        <v>9059.8950606526287</v>
      </c>
      <c r="R788" s="19">
        <f t="shared" si="90"/>
        <v>-0.21353735062009527</v>
      </c>
      <c r="S788" s="23">
        <f t="shared" si="91"/>
        <v>1450.8677153767649</v>
      </c>
      <c r="U788" s="23">
        <f t="shared" si="92"/>
        <v>-6794.4446775403076</v>
      </c>
      <c r="AA788" s="18">
        <f t="shared" si="93"/>
        <v>0</v>
      </c>
      <c r="AF788" s="23">
        <f t="shared" si="94"/>
        <v>-12127.73524638153</v>
      </c>
      <c r="AL788" s="18">
        <f t="shared" si="95"/>
        <v>0</v>
      </c>
    </row>
    <row r="789" spans="9:38" x14ac:dyDescent="0.2">
      <c r="I789" s="4">
        <v>782</v>
      </c>
      <c r="K789" s="14">
        <v>6.5531952854296494</v>
      </c>
      <c r="L789" s="10">
        <v>6356.9836198936282</v>
      </c>
      <c r="O789" s="14">
        <v>7.4544690552603718</v>
      </c>
      <c r="P789" s="10">
        <v>10164.056517447903</v>
      </c>
      <c r="R789" s="19">
        <f t="shared" si="90"/>
        <v>0.90127376983072249</v>
      </c>
      <c r="S789" s="23">
        <f t="shared" si="91"/>
        <v>3807.0728975542752</v>
      </c>
      <c r="U789" s="23">
        <f t="shared" si="92"/>
        <v>4224.1026256309679</v>
      </c>
      <c r="AA789" s="18">
        <f t="shared" si="93"/>
        <v>1</v>
      </c>
      <c r="AF789" s="23">
        <f t="shared" si="94"/>
        <v>41256.615593981849</v>
      </c>
      <c r="AL789" s="18">
        <f t="shared" si="95"/>
        <v>1</v>
      </c>
    </row>
    <row r="790" spans="9:38" x14ac:dyDescent="0.2">
      <c r="I790" s="4">
        <v>783</v>
      </c>
      <c r="K790" s="14">
        <v>6.7193580852533694</v>
      </c>
      <c r="L790" s="10">
        <v>5513.1238240004468</v>
      </c>
      <c r="O790" s="14">
        <v>7.0184484866413559</v>
      </c>
      <c r="P790" s="10">
        <v>9802.6819312897478</v>
      </c>
      <c r="R790" s="19">
        <f t="shared" si="90"/>
        <v>0.29909040138798648</v>
      </c>
      <c r="S790" s="23">
        <f t="shared" si="91"/>
        <v>4289.558107289301</v>
      </c>
      <c r="U790" s="23">
        <f t="shared" si="92"/>
        <v>14342.011938139045</v>
      </c>
      <c r="AA790" s="18">
        <f t="shared" si="93"/>
        <v>1</v>
      </c>
      <c r="AF790" s="23">
        <f t="shared" si="94"/>
        <v>10664.961962110025</v>
      </c>
      <c r="AL790" s="18">
        <f t="shared" si="95"/>
        <v>1</v>
      </c>
    </row>
    <row r="791" spans="9:38" x14ac:dyDescent="0.2">
      <c r="I791" s="4">
        <v>784</v>
      </c>
      <c r="K791" s="14">
        <v>6.3709694155009569</v>
      </c>
      <c r="L791" s="10">
        <v>8379.163637343594</v>
      </c>
      <c r="O791" s="14">
        <v>6.8730163494115706</v>
      </c>
      <c r="P791" s="10">
        <v>9629.4534874951423</v>
      </c>
      <c r="R791" s="19">
        <f t="shared" si="90"/>
        <v>0.50204693391061372</v>
      </c>
      <c r="S791" s="23">
        <f t="shared" si="91"/>
        <v>1250.2898501515483</v>
      </c>
      <c r="U791" s="23">
        <f t="shared" si="92"/>
        <v>2490.3843957627964</v>
      </c>
      <c r="AA791" s="18">
        <f t="shared" si="93"/>
        <v>1</v>
      </c>
      <c r="AF791" s="23">
        <f t="shared" si="94"/>
        <v>23852.056845379138</v>
      </c>
      <c r="AL791" s="18">
        <f t="shared" si="95"/>
        <v>1</v>
      </c>
    </row>
    <row r="792" spans="9:38" x14ac:dyDescent="0.2">
      <c r="I792" s="4">
        <v>785</v>
      </c>
      <c r="K792" s="14">
        <v>6.2144363610904261</v>
      </c>
      <c r="L792" s="10">
        <v>8145.8260022973172</v>
      </c>
      <c r="O792" s="14">
        <v>6.8697992217427633</v>
      </c>
      <c r="P792" s="10">
        <v>9337.3208840267616</v>
      </c>
      <c r="R792" s="19">
        <f t="shared" si="90"/>
        <v>0.65536286065233718</v>
      </c>
      <c r="S792" s="23">
        <f t="shared" si="91"/>
        <v>1191.4948817294444</v>
      </c>
      <c r="U792" s="23">
        <f t="shared" si="92"/>
        <v>1818.0689710482684</v>
      </c>
      <c r="AA792" s="18">
        <f t="shared" si="93"/>
        <v>1</v>
      </c>
      <c r="AF792" s="23">
        <f t="shared" si="94"/>
        <v>31576.648150887413</v>
      </c>
      <c r="AL792" s="18">
        <f t="shared" si="95"/>
        <v>1</v>
      </c>
    </row>
    <row r="793" spans="9:38" x14ac:dyDescent="0.2">
      <c r="I793" s="4">
        <v>786</v>
      </c>
      <c r="K793" s="14">
        <v>6.64361727520917</v>
      </c>
      <c r="L793" s="10">
        <v>6340.017256381072</v>
      </c>
      <c r="O793" s="14">
        <v>7.0169489194082253</v>
      </c>
      <c r="P793" s="10">
        <v>9731.8088265126007</v>
      </c>
      <c r="R793" s="19">
        <f t="shared" si="90"/>
        <v>0.37333164419905529</v>
      </c>
      <c r="S793" s="23">
        <f t="shared" si="91"/>
        <v>3391.7915701315287</v>
      </c>
      <c r="U793" s="23">
        <f t="shared" si="92"/>
        <v>9085.1970970965212</v>
      </c>
      <c r="AA793" s="18">
        <f t="shared" si="93"/>
        <v>1</v>
      </c>
      <c r="AF793" s="23">
        <f t="shared" si="94"/>
        <v>15274.790639821236</v>
      </c>
      <c r="AL793" s="18">
        <f t="shared" si="95"/>
        <v>1</v>
      </c>
    </row>
    <row r="794" spans="9:38" x14ac:dyDescent="0.2">
      <c r="I794" s="4">
        <v>787</v>
      </c>
      <c r="K794" s="14">
        <v>6.6224854311663623</v>
      </c>
      <c r="L794" s="10">
        <v>7536.0788719499706</v>
      </c>
      <c r="O794" s="14">
        <v>7.1510561378280704</v>
      </c>
      <c r="P794" s="10">
        <v>9585.4947072467494</v>
      </c>
      <c r="R794" s="19">
        <f t="shared" si="90"/>
        <v>0.52857070666170802</v>
      </c>
      <c r="S794" s="23">
        <f t="shared" si="91"/>
        <v>2049.4158352967788</v>
      </c>
      <c r="U794" s="23">
        <f t="shared" si="92"/>
        <v>3877.2784974034344</v>
      </c>
      <c r="AA794" s="18">
        <f t="shared" si="93"/>
        <v>1</v>
      </c>
      <c r="AF794" s="23">
        <f t="shared" si="94"/>
        <v>24379.119497788623</v>
      </c>
      <c r="AL794" s="18">
        <f t="shared" si="95"/>
        <v>1</v>
      </c>
    </row>
    <row r="795" spans="9:38" x14ac:dyDescent="0.2">
      <c r="I795" s="4">
        <v>788</v>
      </c>
      <c r="K795" s="14">
        <v>5.9963154121634465</v>
      </c>
      <c r="L795" s="10">
        <v>7043.7152921698744</v>
      </c>
      <c r="O795" s="14">
        <v>7.3791637406242021</v>
      </c>
      <c r="P795" s="10">
        <v>9243.7295602371632</v>
      </c>
      <c r="R795" s="19">
        <f t="shared" si="90"/>
        <v>1.3828483284607556</v>
      </c>
      <c r="S795" s="23">
        <f t="shared" si="91"/>
        <v>2200.0142680672889</v>
      </c>
      <c r="U795" s="23">
        <f t="shared" si="92"/>
        <v>1590.9295493860259</v>
      </c>
      <c r="AA795" s="18">
        <f t="shared" si="93"/>
        <v>1</v>
      </c>
      <c r="AF795" s="23">
        <f t="shared" si="94"/>
        <v>66942.402154970492</v>
      </c>
      <c r="AL795" s="18">
        <f t="shared" si="95"/>
        <v>1</v>
      </c>
    </row>
    <row r="796" spans="9:38" x14ac:dyDescent="0.2">
      <c r="I796" s="4">
        <v>789</v>
      </c>
      <c r="K796" s="14">
        <v>6.6468060314151467</v>
      </c>
      <c r="L796" s="10">
        <v>7247.8124648867224</v>
      </c>
      <c r="O796" s="14">
        <v>7.6108843058845048</v>
      </c>
      <c r="P796" s="10">
        <v>9727.3751432603058</v>
      </c>
      <c r="R796" s="19">
        <f t="shared" si="90"/>
        <v>0.96407827446935812</v>
      </c>
      <c r="S796" s="23">
        <f t="shared" si="91"/>
        <v>2479.5626783735834</v>
      </c>
      <c r="U796" s="23">
        <f t="shared" si="92"/>
        <v>2571.9516184911113</v>
      </c>
      <c r="AA796" s="18">
        <f t="shared" si="93"/>
        <v>1</v>
      </c>
      <c r="AF796" s="23">
        <f t="shared" si="94"/>
        <v>45724.351045094321</v>
      </c>
      <c r="AL796" s="18">
        <f t="shared" si="95"/>
        <v>1</v>
      </c>
    </row>
    <row r="797" spans="9:38" x14ac:dyDescent="0.2">
      <c r="I797" s="4">
        <v>790</v>
      </c>
      <c r="K797" s="14">
        <v>6.2557729323471385</v>
      </c>
      <c r="L797" s="10">
        <v>5752.2018176227111</v>
      </c>
      <c r="O797" s="14">
        <v>7.0650113192263166</v>
      </c>
      <c r="P797" s="10">
        <v>9643.1713473041855</v>
      </c>
      <c r="R797" s="19">
        <f t="shared" si="90"/>
        <v>0.80923838687917815</v>
      </c>
      <c r="S797" s="23">
        <f t="shared" si="91"/>
        <v>3890.9695296814743</v>
      </c>
      <c r="U797" s="23">
        <f t="shared" si="92"/>
        <v>4808.1870469429532</v>
      </c>
      <c r="AA797" s="18">
        <f t="shared" si="93"/>
        <v>1</v>
      </c>
      <c r="AF797" s="23">
        <f t="shared" si="94"/>
        <v>36570.949814277432</v>
      </c>
      <c r="AL797" s="18">
        <f t="shared" si="95"/>
        <v>1</v>
      </c>
    </row>
    <row r="798" spans="9:38" x14ac:dyDescent="0.2">
      <c r="I798" s="4">
        <v>791</v>
      </c>
      <c r="K798" s="14">
        <v>5.5601807196989412</v>
      </c>
      <c r="L798" s="10">
        <v>5689.0438976399173</v>
      </c>
      <c r="O798" s="14">
        <v>6.6304958096764359</v>
      </c>
      <c r="P798" s="10">
        <v>9830.8375605435358</v>
      </c>
      <c r="R798" s="19">
        <f t="shared" si="90"/>
        <v>1.0703150899774947</v>
      </c>
      <c r="S798" s="23">
        <f t="shared" si="91"/>
        <v>4141.7936629036185</v>
      </c>
      <c r="U798" s="23">
        <f t="shared" si="92"/>
        <v>3869.6956640971093</v>
      </c>
      <c r="AA798" s="18">
        <f t="shared" si="93"/>
        <v>1</v>
      </c>
      <c r="AF798" s="23">
        <f t="shared" si="94"/>
        <v>49373.960835971113</v>
      </c>
      <c r="AL798" s="18">
        <f t="shared" si="95"/>
        <v>1</v>
      </c>
    </row>
    <row r="799" spans="9:38" x14ac:dyDescent="0.2">
      <c r="I799" s="4">
        <v>792</v>
      </c>
      <c r="K799" s="14">
        <v>6.5655769205865102</v>
      </c>
      <c r="L799" s="10">
        <v>7948.3386193295064</v>
      </c>
      <c r="O799" s="14">
        <v>7.6555554054840727</v>
      </c>
      <c r="P799" s="10">
        <v>10418.060937886146</v>
      </c>
      <c r="R799" s="19">
        <f t="shared" si="90"/>
        <v>1.0899784848975624</v>
      </c>
      <c r="S799" s="23">
        <f t="shared" si="91"/>
        <v>2469.7223185566399</v>
      </c>
      <c r="U799" s="23">
        <f t="shared" si="92"/>
        <v>2265.8450169213638</v>
      </c>
      <c r="AA799" s="18">
        <f t="shared" si="93"/>
        <v>1</v>
      </c>
      <c r="AF799" s="23">
        <f t="shared" si="94"/>
        <v>52029.201926321482</v>
      </c>
      <c r="AL799" s="18">
        <f t="shared" si="95"/>
        <v>1</v>
      </c>
    </row>
    <row r="800" spans="9:38" x14ac:dyDescent="0.2">
      <c r="I800" s="4">
        <v>793</v>
      </c>
      <c r="K800" s="14">
        <v>6.7852254286923319</v>
      </c>
      <c r="L800" s="10">
        <v>6953.2147471783765</v>
      </c>
      <c r="O800" s="14">
        <v>7.2301870277749165</v>
      </c>
      <c r="P800" s="10">
        <v>9463.2557998313641</v>
      </c>
      <c r="R800" s="19">
        <f t="shared" si="90"/>
        <v>0.44496159908258459</v>
      </c>
      <c r="S800" s="23">
        <f t="shared" si="91"/>
        <v>2510.0410526529877</v>
      </c>
      <c r="U800" s="23">
        <f t="shared" si="92"/>
        <v>5641.028479374746</v>
      </c>
      <c r="AA800" s="18">
        <f t="shared" si="93"/>
        <v>1</v>
      </c>
      <c r="AF800" s="23">
        <f t="shared" si="94"/>
        <v>19738.03890147624</v>
      </c>
      <c r="AL800" s="18">
        <f t="shared" si="95"/>
        <v>1</v>
      </c>
    </row>
    <row r="801" spans="9:38" x14ac:dyDescent="0.2">
      <c r="I801" s="4">
        <v>794</v>
      </c>
      <c r="K801" s="14">
        <v>6.4426473819360623</v>
      </c>
      <c r="L801" s="10">
        <v>6643.0443108158033</v>
      </c>
      <c r="O801" s="14">
        <v>6.8007192132769765</v>
      </c>
      <c r="P801" s="10">
        <v>9589.5567468402114</v>
      </c>
      <c r="R801" s="19">
        <f t="shared" si="90"/>
        <v>0.35807183134091414</v>
      </c>
      <c r="S801" s="23">
        <f t="shared" si="91"/>
        <v>2946.5124360244081</v>
      </c>
      <c r="U801" s="23">
        <f t="shared" si="92"/>
        <v>8228.8305812558701</v>
      </c>
      <c r="AA801" s="18">
        <f t="shared" si="93"/>
        <v>1</v>
      </c>
      <c r="AF801" s="23">
        <f t="shared" si="94"/>
        <v>14957.079131021299</v>
      </c>
      <c r="AL801" s="18">
        <f t="shared" si="95"/>
        <v>1</v>
      </c>
    </row>
    <row r="802" spans="9:38" x14ac:dyDescent="0.2">
      <c r="I802" s="4">
        <v>795</v>
      </c>
      <c r="K802" s="14">
        <v>6.5648658244375726</v>
      </c>
      <c r="L802" s="10">
        <v>7789.4718592225026</v>
      </c>
      <c r="O802" s="14">
        <v>7.2942043199236259</v>
      </c>
      <c r="P802" s="10">
        <v>9850.1837777229266</v>
      </c>
      <c r="R802" s="19">
        <f t="shared" si="90"/>
        <v>0.72933849548605334</v>
      </c>
      <c r="S802" s="23">
        <f t="shared" si="91"/>
        <v>2060.711918500424</v>
      </c>
      <c r="U802" s="23">
        <f t="shared" si="92"/>
        <v>2825.4533817347774</v>
      </c>
      <c r="AA802" s="18">
        <f t="shared" si="93"/>
        <v>1</v>
      </c>
      <c r="AF802" s="23">
        <f t="shared" si="94"/>
        <v>34406.212855802238</v>
      </c>
      <c r="AL802" s="18">
        <f t="shared" si="95"/>
        <v>1</v>
      </c>
    </row>
    <row r="803" spans="9:38" x14ac:dyDescent="0.2">
      <c r="I803" s="4">
        <v>796</v>
      </c>
      <c r="K803" s="14">
        <v>7.0080560985619584</v>
      </c>
      <c r="L803" s="10">
        <v>5855.2443716379848</v>
      </c>
      <c r="O803" s="14">
        <v>7.866348452421505</v>
      </c>
      <c r="P803" s="10">
        <v>10162.237024144322</v>
      </c>
      <c r="R803" s="19">
        <f t="shared" si="90"/>
        <v>0.85829235385954661</v>
      </c>
      <c r="S803" s="23">
        <f t="shared" si="91"/>
        <v>4306.9926525063374</v>
      </c>
      <c r="U803" s="23">
        <f t="shared" si="92"/>
        <v>5018.095096779979</v>
      </c>
      <c r="AA803" s="18">
        <f t="shared" si="93"/>
        <v>1</v>
      </c>
      <c r="AF803" s="23">
        <f t="shared" si="94"/>
        <v>38607.625040470994</v>
      </c>
      <c r="AL803" s="18">
        <f t="shared" si="95"/>
        <v>1</v>
      </c>
    </row>
    <row r="804" spans="9:38" x14ac:dyDescent="0.2">
      <c r="I804" s="4">
        <v>797</v>
      </c>
      <c r="K804" s="14">
        <v>6.389350248660902</v>
      </c>
      <c r="L804" s="10">
        <v>5908.3009748543218</v>
      </c>
      <c r="O804" s="14">
        <v>7.0227608680890308</v>
      </c>
      <c r="P804" s="10">
        <v>9265.7584430956613</v>
      </c>
      <c r="R804" s="19">
        <f t="shared" si="90"/>
        <v>0.63341061942812882</v>
      </c>
      <c r="S804" s="23">
        <f t="shared" si="91"/>
        <v>3357.4574682413395</v>
      </c>
      <c r="U804" s="23">
        <f t="shared" si="92"/>
        <v>5300.6017980446886</v>
      </c>
      <c r="AA804" s="18">
        <f t="shared" si="93"/>
        <v>1</v>
      </c>
      <c r="AF804" s="23">
        <f t="shared" si="94"/>
        <v>28313.073503165102</v>
      </c>
      <c r="AL804" s="18">
        <f t="shared" si="95"/>
        <v>1</v>
      </c>
    </row>
    <row r="805" spans="9:38" x14ac:dyDescent="0.2">
      <c r="I805" s="4">
        <v>798</v>
      </c>
      <c r="K805" s="14">
        <v>6.0519983913284738</v>
      </c>
      <c r="L805" s="10">
        <v>8182.3343616156526</v>
      </c>
      <c r="O805" s="14">
        <v>7.1023930311041195</v>
      </c>
      <c r="P805" s="10">
        <v>9067.0994418664286</v>
      </c>
      <c r="R805" s="19">
        <f t="shared" si="90"/>
        <v>1.0503946397756456</v>
      </c>
      <c r="S805" s="23">
        <f t="shared" si="91"/>
        <v>884.76508025077601</v>
      </c>
      <c r="U805" s="23">
        <f t="shared" si="92"/>
        <v>842.31682716864725</v>
      </c>
      <c r="AA805" s="18">
        <f t="shared" si="93"/>
        <v>1</v>
      </c>
      <c r="AF805" s="23">
        <f t="shared" si="94"/>
        <v>51634.966908531504</v>
      </c>
      <c r="AL805" s="18">
        <f t="shared" si="95"/>
        <v>1</v>
      </c>
    </row>
    <row r="806" spans="9:38" x14ac:dyDescent="0.2">
      <c r="I806" s="4">
        <v>799</v>
      </c>
      <c r="K806" s="14">
        <v>6.8178558362182775</v>
      </c>
      <c r="L806" s="10">
        <v>8711.6397102437822</v>
      </c>
      <c r="O806" s="14">
        <v>7.1516002451208189</v>
      </c>
      <c r="P806" s="10">
        <v>10389.61754291696</v>
      </c>
      <c r="R806" s="19">
        <f t="shared" si="90"/>
        <v>0.33374440890254142</v>
      </c>
      <c r="S806" s="23">
        <f t="shared" si="91"/>
        <v>1677.9778326731775</v>
      </c>
      <c r="U806" s="23">
        <f t="shared" si="92"/>
        <v>5027.7331632038613</v>
      </c>
      <c r="AA806" s="18">
        <f t="shared" si="93"/>
        <v>1</v>
      </c>
      <c r="AF806" s="23">
        <f t="shared" si="94"/>
        <v>15009.242612453892</v>
      </c>
      <c r="AL806" s="18">
        <f t="shared" si="95"/>
        <v>1</v>
      </c>
    </row>
    <row r="807" spans="9:38" x14ac:dyDescent="0.2">
      <c r="I807" s="4">
        <v>800</v>
      </c>
      <c r="K807" s="14">
        <v>6.500003182558328</v>
      </c>
      <c r="L807" s="10">
        <v>6240.1081712735559</v>
      </c>
      <c r="O807" s="14">
        <v>6.8727842948573814</v>
      </c>
      <c r="P807" s="10">
        <v>10070.251683935556</v>
      </c>
      <c r="R807" s="19">
        <f t="shared" si="90"/>
        <v>0.37278111229905342</v>
      </c>
      <c r="S807" s="23">
        <f t="shared" si="91"/>
        <v>3830.1435126619999</v>
      </c>
      <c r="U807" s="23">
        <f t="shared" si="92"/>
        <v>10274.510661337832</v>
      </c>
      <c r="AA807" s="18">
        <f t="shared" si="93"/>
        <v>1</v>
      </c>
      <c r="AF807" s="23">
        <f t="shared" si="94"/>
        <v>14808.912102290671</v>
      </c>
      <c r="AL807" s="18">
        <f t="shared" si="95"/>
        <v>1</v>
      </c>
    </row>
    <row r="808" spans="9:38" x14ac:dyDescent="0.2">
      <c r="I808" s="4">
        <v>801</v>
      </c>
      <c r="K808" s="14">
        <v>6.6336269322397836</v>
      </c>
      <c r="L808" s="10">
        <v>6375.7384266852468</v>
      </c>
      <c r="O808" s="14">
        <v>7.0718692788741908</v>
      </c>
      <c r="P808" s="10">
        <v>9353.9320504616826</v>
      </c>
      <c r="R808" s="19">
        <f t="shared" si="90"/>
        <v>0.4382423466344072</v>
      </c>
      <c r="S808" s="23">
        <f t="shared" si="91"/>
        <v>2978.1936237764357</v>
      </c>
      <c r="U808" s="23">
        <f t="shared" si="92"/>
        <v>6795.7687034313913</v>
      </c>
      <c r="AA808" s="18">
        <f t="shared" si="93"/>
        <v>1</v>
      </c>
      <c r="AF808" s="23">
        <f t="shared" si="94"/>
        <v>18933.923707943926</v>
      </c>
      <c r="AL808" s="18">
        <f t="shared" si="95"/>
        <v>1</v>
      </c>
    </row>
    <row r="809" spans="9:38" x14ac:dyDescent="0.2">
      <c r="I809" s="4">
        <v>802</v>
      </c>
      <c r="K809" s="14">
        <v>5.8459899813647063</v>
      </c>
      <c r="L809" s="10">
        <v>6587.3909054408987</v>
      </c>
      <c r="O809" s="14">
        <v>7.2585770736437789</v>
      </c>
      <c r="P809" s="10">
        <v>10105.953745229501</v>
      </c>
      <c r="R809" s="19">
        <f t="shared" si="90"/>
        <v>1.4125870922790726</v>
      </c>
      <c r="S809" s="23">
        <f t="shared" si="91"/>
        <v>3518.5628397886021</v>
      </c>
      <c r="U809" s="23">
        <f t="shared" si="92"/>
        <v>2490.8643573344148</v>
      </c>
      <c r="AA809" s="18">
        <f t="shared" si="93"/>
        <v>1</v>
      </c>
      <c r="AF809" s="23">
        <f t="shared" si="94"/>
        <v>67110.791774165031</v>
      </c>
      <c r="AL809" s="18">
        <f t="shared" si="95"/>
        <v>1</v>
      </c>
    </row>
    <row r="810" spans="9:38" x14ac:dyDescent="0.2">
      <c r="I810" s="4">
        <v>803</v>
      </c>
      <c r="K810" s="14">
        <v>6.1162486824495383</v>
      </c>
      <c r="L810" s="10">
        <v>7093.4409947155918</v>
      </c>
      <c r="O810" s="14">
        <v>7.0997385489564593</v>
      </c>
      <c r="P810" s="10">
        <v>9526.4879549882389</v>
      </c>
      <c r="R810" s="19">
        <f t="shared" si="90"/>
        <v>0.98348986650692094</v>
      </c>
      <c r="S810" s="23">
        <f t="shared" si="91"/>
        <v>2433.0469602726471</v>
      </c>
      <c r="U810" s="23">
        <f t="shared" si="92"/>
        <v>2473.8912348066633</v>
      </c>
      <c r="AA810" s="18">
        <f t="shared" si="93"/>
        <v>1</v>
      </c>
      <c r="AF810" s="23">
        <f t="shared" si="94"/>
        <v>46741.446365073403</v>
      </c>
      <c r="AL810" s="18">
        <f t="shared" si="95"/>
        <v>1</v>
      </c>
    </row>
    <row r="811" spans="9:38" x14ac:dyDescent="0.2">
      <c r="I811" s="4">
        <v>804</v>
      </c>
      <c r="K811" s="14">
        <v>6.4095036942163892</v>
      </c>
      <c r="L811" s="10">
        <v>8016.3329813277105</v>
      </c>
      <c r="O811" s="14">
        <v>7.3067267381086127</v>
      </c>
      <c r="P811" s="10">
        <v>10095.674367168907</v>
      </c>
      <c r="R811" s="19">
        <f t="shared" si="90"/>
        <v>0.89722304389222352</v>
      </c>
      <c r="S811" s="23">
        <f t="shared" si="91"/>
        <v>2079.3413858411968</v>
      </c>
      <c r="U811" s="23">
        <f t="shared" si="92"/>
        <v>2317.5300723673477</v>
      </c>
      <c r="AA811" s="18">
        <f t="shared" si="93"/>
        <v>1</v>
      </c>
      <c r="AF811" s="23">
        <f t="shared" si="94"/>
        <v>42781.81080876998</v>
      </c>
      <c r="AL811" s="18">
        <f t="shared" si="95"/>
        <v>1</v>
      </c>
    </row>
    <row r="812" spans="9:38" x14ac:dyDescent="0.2">
      <c r="I812" s="4">
        <v>805</v>
      </c>
      <c r="K812" s="14">
        <v>6.4378537009282413</v>
      </c>
      <c r="L812" s="10">
        <v>9239.8296616612297</v>
      </c>
      <c r="O812" s="14">
        <v>7.1710628457834336</v>
      </c>
      <c r="P812" s="10">
        <v>10420.445556053317</v>
      </c>
      <c r="R812" s="19">
        <f t="shared" si="90"/>
        <v>0.73320914485519229</v>
      </c>
      <c r="S812" s="23">
        <f t="shared" si="91"/>
        <v>1180.6158943920873</v>
      </c>
      <c r="U812" s="23">
        <f t="shared" si="92"/>
        <v>1610.2034496927301</v>
      </c>
      <c r="AA812" s="18">
        <f t="shared" si="93"/>
        <v>1</v>
      </c>
      <c r="AF812" s="23">
        <f t="shared" si="94"/>
        <v>35479.841348367525</v>
      </c>
      <c r="AL812" s="18">
        <f t="shared" si="95"/>
        <v>1</v>
      </c>
    </row>
    <row r="813" spans="9:38" x14ac:dyDescent="0.2">
      <c r="I813" s="4">
        <v>806</v>
      </c>
      <c r="K813" s="14">
        <v>6.3519062109324382</v>
      </c>
      <c r="L813" s="10">
        <v>7281.3969468101222</v>
      </c>
      <c r="O813" s="14">
        <v>7.1532493965574675</v>
      </c>
      <c r="P813" s="10">
        <v>10102.079744639501</v>
      </c>
      <c r="R813" s="19">
        <f t="shared" si="90"/>
        <v>0.80134318562502926</v>
      </c>
      <c r="S813" s="23">
        <f t="shared" si="91"/>
        <v>2820.6827978293786</v>
      </c>
      <c r="U813" s="23">
        <f t="shared" si="92"/>
        <v>3519.9435752726977</v>
      </c>
      <c r="AA813" s="18">
        <f t="shared" si="93"/>
        <v>1</v>
      </c>
      <c r="AF813" s="23">
        <f t="shared" si="94"/>
        <v>37246.476483422084</v>
      </c>
      <c r="AL813" s="18">
        <f t="shared" si="95"/>
        <v>1</v>
      </c>
    </row>
    <row r="814" spans="9:38" x14ac:dyDescent="0.2">
      <c r="I814" s="4">
        <v>807</v>
      </c>
      <c r="K814" s="14">
        <v>5.9868820782135357</v>
      </c>
      <c r="L814" s="10">
        <v>7580.9449789276232</v>
      </c>
      <c r="O814" s="14">
        <v>6.5190617877198314</v>
      </c>
      <c r="P814" s="10">
        <v>8913.3115005750933</v>
      </c>
      <c r="R814" s="19">
        <f t="shared" si="90"/>
        <v>0.53217970950629567</v>
      </c>
      <c r="S814" s="23">
        <f t="shared" si="91"/>
        <v>1332.3665216474701</v>
      </c>
      <c r="U814" s="23">
        <f t="shared" si="92"/>
        <v>2503.6026324331483</v>
      </c>
      <c r="AA814" s="18">
        <f t="shared" si="93"/>
        <v>1</v>
      </c>
      <c r="AF814" s="23">
        <f t="shared" si="94"/>
        <v>25276.618953667316</v>
      </c>
      <c r="AL814" s="18">
        <f t="shared" si="95"/>
        <v>1</v>
      </c>
    </row>
    <row r="815" spans="9:38" x14ac:dyDescent="0.2">
      <c r="I815" s="4">
        <v>808</v>
      </c>
      <c r="K815" s="14">
        <v>6.5992601028086835</v>
      </c>
      <c r="L815" s="10">
        <v>7983.6858814291081</v>
      </c>
      <c r="O815" s="14">
        <v>6.852187469556803</v>
      </c>
      <c r="P815" s="10">
        <v>9233.6467925104607</v>
      </c>
      <c r="R815" s="19">
        <f t="shared" si="90"/>
        <v>0.25292736674811955</v>
      </c>
      <c r="S815" s="23">
        <f t="shared" si="91"/>
        <v>1249.9609110813526</v>
      </c>
      <c r="U815" s="23">
        <f t="shared" si="92"/>
        <v>4941.9757424910831</v>
      </c>
      <c r="AA815" s="18">
        <f t="shared" si="93"/>
        <v>1</v>
      </c>
      <c r="AF815" s="23">
        <f t="shared" si="94"/>
        <v>11396.407426324626</v>
      </c>
      <c r="AL815" s="18">
        <f t="shared" si="95"/>
        <v>1</v>
      </c>
    </row>
    <row r="816" spans="9:38" x14ac:dyDescent="0.2">
      <c r="I816" s="4">
        <v>809</v>
      </c>
      <c r="K816" s="14">
        <v>6.7507301686983201</v>
      </c>
      <c r="L816" s="10">
        <v>5909.2033226478579</v>
      </c>
      <c r="O816" s="14">
        <v>6.9093720949761348</v>
      </c>
      <c r="P816" s="10">
        <v>10105.676923666095</v>
      </c>
      <c r="R816" s="19">
        <f t="shared" si="90"/>
        <v>0.1586419262778147</v>
      </c>
      <c r="S816" s="23">
        <f t="shared" si="91"/>
        <v>4196.4736010182369</v>
      </c>
      <c r="U816" s="23">
        <f t="shared" si="92"/>
        <v>26452.487683926294</v>
      </c>
      <c r="AA816" s="18">
        <f t="shared" si="93"/>
        <v>1</v>
      </c>
      <c r="AF816" s="23">
        <f t="shared" si="94"/>
        <v>3735.6227128724986</v>
      </c>
      <c r="AL816" s="18">
        <f t="shared" si="95"/>
        <v>1</v>
      </c>
    </row>
    <row r="817" spans="9:38" x14ac:dyDescent="0.2">
      <c r="I817" s="4">
        <v>810</v>
      </c>
      <c r="K817" s="14">
        <v>6.0367641053146404</v>
      </c>
      <c r="L817" s="10">
        <v>5807.30721843845</v>
      </c>
      <c r="O817" s="14">
        <v>7.2715721956036194</v>
      </c>
      <c r="P817" s="10">
        <v>10020.446746487456</v>
      </c>
      <c r="R817" s="19">
        <f t="shared" si="90"/>
        <v>1.2348080902889791</v>
      </c>
      <c r="S817" s="23">
        <f t="shared" si="91"/>
        <v>4213.139528049006</v>
      </c>
      <c r="U817" s="23">
        <f t="shared" si="92"/>
        <v>3411.9792064716835</v>
      </c>
      <c r="AA817" s="18">
        <f t="shared" si="93"/>
        <v>1</v>
      </c>
      <c r="AF817" s="23">
        <f t="shared" si="94"/>
        <v>57527.264986399954</v>
      </c>
      <c r="AL817" s="18">
        <f t="shared" si="95"/>
        <v>1</v>
      </c>
    </row>
    <row r="818" spans="9:38" x14ac:dyDescent="0.2">
      <c r="I818" s="4">
        <v>811</v>
      </c>
      <c r="K818" s="14">
        <v>6.8603289144184911</v>
      </c>
      <c r="L818" s="10">
        <v>7131.9330540017017</v>
      </c>
      <c r="O818" s="14">
        <v>7.6285816194752814</v>
      </c>
      <c r="P818" s="10">
        <v>9693.7722188189928</v>
      </c>
      <c r="R818" s="19">
        <f t="shared" si="90"/>
        <v>0.76825270505679022</v>
      </c>
      <c r="S818" s="23">
        <f t="shared" si="91"/>
        <v>2561.839164817291</v>
      </c>
      <c r="U818" s="23">
        <f t="shared" si="92"/>
        <v>3334.6308421106264</v>
      </c>
      <c r="AA818" s="18">
        <f t="shared" si="93"/>
        <v>1</v>
      </c>
      <c r="AF818" s="23">
        <f t="shared" si="94"/>
        <v>35850.796088022224</v>
      </c>
      <c r="AL818" s="18">
        <f t="shared" si="95"/>
        <v>1</v>
      </c>
    </row>
    <row r="819" spans="9:38" x14ac:dyDescent="0.2">
      <c r="I819" s="4">
        <v>812</v>
      </c>
      <c r="K819" s="14">
        <v>6.876404549535434</v>
      </c>
      <c r="L819" s="10">
        <v>6247.1807998651821</v>
      </c>
      <c r="O819" s="14">
        <v>7.3517779007660931</v>
      </c>
      <c r="P819" s="10">
        <v>10298.404590276583</v>
      </c>
      <c r="R819" s="19">
        <f t="shared" si="90"/>
        <v>0.47537335123065905</v>
      </c>
      <c r="S819" s="23">
        <f t="shared" si="91"/>
        <v>4051.2237904114008</v>
      </c>
      <c r="U819" s="23">
        <f t="shared" si="92"/>
        <v>8522.1937239929121</v>
      </c>
      <c r="AA819" s="18">
        <f t="shared" si="93"/>
        <v>1</v>
      </c>
      <c r="AF819" s="23">
        <f t="shared" si="94"/>
        <v>19717.443771121551</v>
      </c>
      <c r="AL819" s="18">
        <f t="shared" si="95"/>
        <v>1</v>
      </c>
    </row>
    <row r="820" spans="9:38" x14ac:dyDescent="0.2">
      <c r="I820" s="4">
        <v>813</v>
      </c>
      <c r="K820" s="14">
        <v>6.5000847866983547</v>
      </c>
      <c r="L820" s="10">
        <v>8165.7767419159281</v>
      </c>
      <c r="O820" s="14">
        <v>7.1377163671378705</v>
      </c>
      <c r="P820" s="10">
        <v>9138.1794276189139</v>
      </c>
      <c r="R820" s="19">
        <f t="shared" si="90"/>
        <v>0.63763158043951584</v>
      </c>
      <c r="S820" s="23">
        <f t="shared" si="91"/>
        <v>972.40268570298576</v>
      </c>
      <c r="U820" s="23">
        <f t="shared" si="92"/>
        <v>1525.0227804474712</v>
      </c>
      <c r="AA820" s="18">
        <f t="shared" si="93"/>
        <v>1</v>
      </c>
      <c r="AF820" s="23">
        <f t="shared" si="94"/>
        <v>30909.176336272805</v>
      </c>
      <c r="AL820" s="18">
        <f t="shared" si="95"/>
        <v>1</v>
      </c>
    </row>
    <row r="821" spans="9:38" x14ac:dyDescent="0.2">
      <c r="I821" s="4">
        <v>814</v>
      </c>
      <c r="K821" s="14">
        <v>6.7990418667217867</v>
      </c>
      <c r="L821" s="10">
        <v>7435.6016619125949</v>
      </c>
      <c r="O821" s="14">
        <v>7.8924565111630018</v>
      </c>
      <c r="P821" s="10">
        <v>10662.075375255339</v>
      </c>
      <c r="R821" s="19">
        <f t="shared" si="90"/>
        <v>1.0934146444412152</v>
      </c>
      <c r="S821" s="23">
        <f t="shared" si="91"/>
        <v>3226.4737133427443</v>
      </c>
      <c r="U821" s="23">
        <f t="shared" si="92"/>
        <v>2950.8235779955367</v>
      </c>
      <c r="AA821" s="18">
        <f t="shared" si="93"/>
        <v>1</v>
      </c>
      <c r="AF821" s="23">
        <f t="shared" si="94"/>
        <v>51444.25850871802</v>
      </c>
      <c r="AL821" s="18">
        <f t="shared" si="95"/>
        <v>1</v>
      </c>
    </row>
    <row r="822" spans="9:38" x14ac:dyDescent="0.2">
      <c r="I822" s="4">
        <v>815</v>
      </c>
      <c r="K822" s="14">
        <v>6.6335239010741383</v>
      </c>
      <c r="L822" s="10">
        <v>7558.7303774560905</v>
      </c>
      <c r="O822" s="14">
        <v>7.444357543794216</v>
      </c>
      <c r="P822" s="10">
        <v>9800.0657443296077</v>
      </c>
      <c r="R822" s="19">
        <f t="shared" si="90"/>
        <v>0.81083364272007774</v>
      </c>
      <c r="S822" s="23">
        <f t="shared" si="91"/>
        <v>2241.3353668735172</v>
      </c>
      <c r="U822" s="23">
        <f t="shared" si="92"/>
        <v>2764.2357800480268</v>
      </c>
      <c r="AA822" s="18">
        <f t="shared" si="93"/>
        <v>1</v>
      </c>
      <c r="AF822" s="23">
        <f t="shared" si="94"/>
        <v>38300.346769130374</v>
      </c>
      <c r="AL822" s="18">
        <f t="shared" si="95"/>
        <v>1</v>
      </c>
    </row>
    <row r="823" spans="9:38" x14ac:dyDescent="0.2">
      <c r="I823" s="4">
        <v>816</v>
      </c>
      <c r="K823" s="14">
        <v>6.6109325000786852</v>
      </c>
      <c r="L823" s="10">
        <v>6158.1583296394019</v>
      </c>
      <c r="O823" s="14">
        <v>7.4127288894968935</v>
      </c>
      <c r="P823" s="10">
        <v>9779.9538867006722</v>
      </c>
      <c r="R823" s="19">
        <f t="shared" si="90"/>
        <v>0.8017963894182083</v>
      </c>
      <c r="S823" s="23">
        <f t="shared" si="91"/>
        <v>3621.7955570612703</v>
      </c>
      <c r="U823" s="23">
        <f t="shared" si="92"/>
        <v>4517.1013549827558</v>
      </c>
      <c r="AA823" s="18">
        <f t="shared" si="93"/>
        <v>1</v>
      </c>
      <c r="AF823" s="23">
        <f t="shared" si="94"/>
        <v>36468.023913849145</v>
      </c>
      <c r="AL823" s="18">
        <f t="shared" si="95"/>
        <v>1</v>
      </c>
    </row>
    <row r="824" spans="9:38" x14ac:dyDescent="0.2">
      <c r="I824" s="4">
        <v>817</v>
      </c>
      <c r="K824" s="14">
        <v>6.3575764794831437</v>
      </c>
      <c r="L824" s="10">
        <v>6632.1474226448017</v>
      </c>
      <c r="O824" s="14">
        <v>7.2756849378793023</v>
      </c>
      <c r="P824" s="10">
        <v>9833.028050558285</v>
      </c>
      <c r="R824" s="19">
        <f t="shared" si="90"/>
        <v>0.91810845839615851</v>
      </c>
      <c r="S824" s="23">
        <f t="shared" si="91"/>
        <v>3200.8806279134833</v>
      </c>
      <c r="U824" s="23">
        <f t="shared" si="92"/>
        <v>3486.3861656444101</v>
      </c>
      <c r="AA824" s="18">
        <f t="shared" si="93"/>
        <v>1</v>
      </c>
      <c r="AF824" s="23">
        <f t="shared" si="94"/>
        <v>42704.542291894446</v>
      </c>
      <c r="AL824" s="18">
        <f t="shared" si="95"/>
        <v>1</v>
      </c>
    </row>
    <row r="825" spans="9:38" x14ac:dyDescent="0.2">
      <c r="I825" s="4">
        <v>818</v>
      </c>
      <c r="K825" s="14">
        <v>6.3429864824798026</v>
      </c>
      <c r="L825" s="10">
        <v>6078.5453862985814</v>
      </c>
      <c r="O825" s="14">
        <v>7.8191442055922433</v>
      </c>
      <c r="P825" s="10">
        <v>9918.9936707934467</v>
      </c>
      <c r="R825" s="19">
        <f t="shared" si="90"/>
        <v>1.4761577231124408</v>
      </c>
      <c r="S825" s="23">
        <f t="shared" si="91"/>
        <v>3840.4482844948652</v>
      </c>
      <c r="U825" s="23">
        <f t="shared" si="92"/>
        <v>2601.6517235010488</v>
      </c>
      <c r="AA825" s="18">
        <f t="shared" si="93"/>
        <v>1</v>
      </c>
      <c r="AF825" s="23">
        <f t="shared" si="94"/>
        <v>69967.437871127171</v>
      </c>
      <c r="AL825" s="18">
        <f t="shared" si="95"/>
        <v>1</v>
      </c>
    </row>
    <row r="826" spans="9:38" x14ac:dyDescent="0.2">
      <c r="I826" s="4">
        <v>819</v>
      </c>
      <c r="K826" s="14">
        <v>5.9859382557288381</v>
      </c>
      <c r="L826" s="10">
        <v>6378.6762844683726</v>
      </c>
      <c r="O826" s="14">
        <v>6.796498460993365</v>
      </c>
      <c r="P826" s="10">
        <v>8966.8134620120945</v>
      </c>
      <c r="R826" s="19">
        <f t="shared" si="90"/>
        <v>0.81056020526452688</v>
      </c>
      <c r="S826" s="23">
        <f t="shared" si="91"/>
        <v>2588.1371775437219</v>
      </c>
      <c r="U826" s="23">
        <f t="shared" si="92"/>
        <v>3193.0227523310023</v>
      </c>
      <c r="AA826" s="18">
        <f t="shared" si="93"/>
        <v>1</v>
      </c>
      <c r="AF826" s="23">
        <f t="shared" si="94"/>
        <v>37939.873085682622</v>
      </c>
      <c r="AL826" s="18">
        <f t="shared" si="95"/>
        <v>1</v>
      </c>
    </row>
    <row r="827" spans="9:38" x14ac:dyDescent="0.2">
      <c r="I827" s="4">
        <v>820</v>
      </c>
      <c r="K827" s="14">
        <v>6.1379531614151848</v>
      </c>
      <c r="L827" s="10">
        <v>7287.4810005200652</v>
      </c>
      <c r="O827" s="14">
        <v>7.0936700341204277</v>
      </c>
      <c r="P827" s="10">
        <v>10095.968342965973</v>
      </c>
      <c r="R827" s="19">
        <f t="shared" si="90"/>
        <v>0.95571687270524297</v>
      </c>
      <c r="S827" s="23">
        <f t="shared" si="91"/>
        <v>2808.4873424459074</v>
      </c>
      <c r="U827" s="23">
        <f t="shared" si="92"/>
        <v>2938.6185623114825</v>
      </c>
      <c r="AA827" s="18">
        <f t="shared" si="93"/>
        <v>1</v>
      </c>
      <c r="AF827" s="23">
        <f t="shared" si="94"/>
        <v>44977.356292816243</v>
      </c>
      <c r="AL827" s="18">
        <f t="shared" si="95"/>
        <v>1</v>
      </c>
    </row>
    <row r="828" spans="9:38" x14ac:dyDescent="0.2">
      <c r="I828" s="4">
        <v>821</v>
      </c>
      <c r="K828" s="14">
        <v>6.5330613308495016</v>
      </c>
      <c r="L828" s="10">
        <v>6588.3480211419983</v>
      </c>
      <c r="O828" s="14">
        <v>7.2370518733862568</v>
      </c>
      <c r="P828" s="10">
        <v>10284.625845777349</v>
      </c>
      <c r="R828" s="19">
        <f t="shared" si="90"/>
        <v>0.70399054253675519</v>
      </c>
      <c r="S828" s="23">
        <f t="shared" si="91"/>
        <v>3696.277824635351</v>
      </c>
      <c r="U828" s="23">
        <f t="shared" si="92"/>
        <v>5250.4651714726251</v>
      </c>
      <c r="AA828" s="18">
        <f t="shared" si="93"/>
        <v>1</v>
      </c>
      <c r="AF828" s="23">
        <f t="shared" si="94"/>
        <v>31503.24930220241</v>
      </c>
      <c r="AL828" s="18">
        <f t="shared" si="95"/>
        <v>1</v>
      </c>
    </row>
    <row r="829" spans="9:38" x14ac:dyDescent="0.2">
      <c r="I829" s="4">
        <v>822</v>
      </c>
      <c r="K829" s="14">
        <v>6.3005645031604987</v>
      </c>
      <c r="L829" s="10">
        <v>7035.6348292839402</v>
      </c>
      <c r="O829" s="14">
        <v>7.120410719527599</v>
      </c>
      <c r="P829" s="10">
        <v>9409.1868854490021</v>
      </c>
      <c r="R829" s="19">
        <f t="shared" si="90"/>
        <v>0.81984621636710031</v>
      </c>
      <c r="S829" s="23">
        <f t="shared" si="91"/>
        <v>2373.5520561650619</v>
      </c>
      <c r="U829" s="23">
        <f t="shared" si="92"/>
        <v>2895.1186317389347</v>
      </c>
      <c r="AA829" s="18">
        <f t="shared" si="93"/>
        <v>1</v>
      </c>
      <c r="AF829" s="23">
        <f t="shared" si="94"/>
        <v>38618.758762189951</v>
      </c>
      <c r="AL829" s="18">
        <f t="shared" si="95"/>
        <v>1</v>
      </c>
    </row>
    <row r="830" spans="9:38" x14ac:dyDescent="0.2">
      <c r="I830" s="4">
        <v>823</v>
      </c>
      <c r="K830" s="14">
        <v>6.2576173025105586</v>
      </c>
      <c r="L830" s="10">
        <v>5950.442056323669</v>
      </c>
      <c r="O830" s="14">
        <v>6.6891749297199388</v>
      </c>
      <c r="P830" s="10">
        <v>8827.8972705819706</v>
      </c>
      <c r="R830" s="19">
        <f t="shared" si="90"/>
        <v>0.43155762720938018</v>
      </c>
      <c r="S830" s="23">
        <f t="shared" si="91"/>
        <v>2877.4552142583016</v>
      </c>
      <c r="U830" s="23">
        <f t="shared" si="92"/>
        <v>6667.6036590177964</v>
      </c>
      <c r="AA830" s="18">
        <f t="shared" si="93"/>
        <v>1</v>
      </c>
      <c r="AF830" s="23">
        <f t="shared" si="94"/>
        <v>18700.426146210706</v>
      </c>
      <c r="AL830" s="18">
        <f t="shared" si="95"/>
        <v>1</v>
      </c>
    </row>
    <row r="831" spans="9:38" x14ac:dyDescent="0.2">
      <c r="I831" s="4">
        <v>824</v>
      </c>
      <c r="K831" s="14">
        <v>6.2182494533351393</v>
      </c>
      <c r="L831" s="10">
        <v>6740.2593535750175</v>
      </c>
      <c r="O831" s="14">
        <v>6.4793065467571331</v>
      </c>
      <c r="P831" s="10">
        <v>9135.8838753925265</v>
      </c>
      <c r="R831" s="19">
        <f t="shared" si="90"/>
        <v>0.26105709342199379</v>
      </c>
      <c r="S831" s="23">
        <f t="shared" si="91"/>
        <v>2395.624521817509</v>
      </c>
      <c r="U831" s="23">
        <f t="shared" si="92"/>
        <v>9176.6306382068997</v>
      </c>
      <c r="AA831" s="18">
        <f t="shared" si="93"/>
        <v>1</v>
      </c>
      <c r="AF831" s="23">
        <f t="shared" si="94"/>
        <v>10657.230149282179</v>
      </c>
      <c r="AL831" s="18">
        <f t="shared" si="95"/>
        <v>1</v>
      </c>
    </row>
    <row r="832" spans="9:38" x14ac:dyDescent="0.2">
      <c r="I832" s="4">
        <v>825</v>
      </c>
      <c r="K832" s="14">
        <v>6.213635563401585</v>
      </c>
      <c r="L832" s="10">
        <v>6292.048696474013</v>
      </c>
      <c r="O832" s="14">
        <v>7.3172011197829443</v>
      </c>
      <c r="P832" s="10">
        <v>10385.720797355181</v>
      </c>
      <c r="R832" s="19">
        <f t="shared" si="90"/>
        <v>1.1035655563813593</v>
      </c>
      <c r="S832" s="23">
        <f t="shared" si="91"/>
        <v>4093.6721008811683</v>
      </c>
      <c r="U832" s="23">
        <f t="shared" si="92"/>
        <v>3709.4960758874186</v>
      </c>
      <c r="AA832" s="18">
        <f t="shared" si="93"/>
        <v>1</v>
      </c>
      <c r="AF832" s="23">
        <f t="shared" si="94"/>
        <v>51084.605718186802</v>
      </c>
      <c r="AL832" s="18">
        <f t="shared" si="95"/>
        <v>1</v>
      </c>
    </row>
    <row r="833" spans="9:38" x14ac:dyDescent="0.2">
      <c r="I833" s="4">
        <v>826</v>
      </c>
      <c r="K833" s="14">
        <v>6.6876452150120258</v>
      </c>
      <c r="L833" s="10">
        <v>7502.442481032017</v>
      </c>
      <c r="O833" s="14">
        <v>7.4405478337675595</v>
      </c>
      <c r="P833" s="10">
        <v>9825.7896287416861</v>
      </c>
      <c r="R833" s="19">
        <f t="shared" si="90"/>
        <v>0.75290261875553366</v>
      </c>
      <c r="S833" s="23">
        <f t="shared" si="91"/>
        <v>2323.3471477096691</v>
      </c>
      <c r="U833" s="23">
        <f t="shared" si="92"/>
        <v>3085.8534554573735</v>
      </c>
      <c r="AA833" s="18">
        <f t="shared" si="93"/>
        <v>1</v>
      </c>
      <c r="AF833" s="23">
        <f t="shared" si="94"/>
        <v>35321.783790067013</v>
      </c>
      <c r="AL833" s="18">
        <f t="shared" si="95"/>
        <v>1</v>
      </c>
    </row>
    <row r="834" spans="9:38" x14ac:dyDescent="0.2">
      <c r="I834" s="4">
        <v>827</v>
      </c>
      <c r="K834" s="14">
        <v>6.0851006341106713</v>
      </c>
      <c r="L834" s="10">
        <v>6062.4309730780533</v>
      </c>
      <c r="O834" s="14">
        <v>7.538186126457302</v>
      </c>
      <c r="P834" s="10">
        <v>9424.3680900637537</v>
      </c>
      <c r="R834" s="19">
        <f t="shared" si="90"/>
        <v>1.4530854923466308</v>
      </c>
      <c r="S834" s="23">
        <f t="shared" si="91"/>
        <v>3361.9371169857004</v>
      </c>
      <c r="U834" s="23">
        <f t="shared" si="92"/>
        <v>2313.6540380403967</v>
      </c>
      <c r="AA834" s="18">
        <f t="shared" si="93"/>
        <v>1</v>
      </c>
      <c r="AF834" s="23">
        <f t="shared" si="94"/>
        <v>69292.337500345835</v>
      </c>
      <c r="AL834" s="18">
        <f t="shared" si="95"/>
        <v>1</v>
      </c>
    </row>
    <row r="835" spans="9:38" x14ac:dyDescent="0.2">
      <c r="I835" s="4">
        <v>828</v>
      </c>
      <c r="K835" s="14">
        <v>6.5669772536024666</v>
      </c>
      <c r="L835" s="10">
        <v>8389.7816406220572</v>
      </c>
      <c r="O835" s="14">
        <v>7.5835231412909954</v>
      </c>
      <c r="P835" s="10">
        <v>11361.747261620125</v>
      </c>
      <c r="R835" s="19">
        <f t="shared" si="90"/>
        <v>1.0165458876885287</v>
      </c>
      <c r="S835" s="23">
        <f t="shared" si="91"/>
        <v>2971.9656209980676</v>
      </c>
      <c r="U835" s="23">
        <f t="shared" si="92"/>
        <v>2923.5921929268407</v>
      </c>
      <c r="AA835" s="18">
        <f t="shared" si="93"/>
        <v>1</v>
      </c>
      <c r="AF835" s="23">
        <f t="shared" si="94"/>
        <v>47855.32876342837</v>
      </c>
      <c r="AL835" s="18">
        <f t="shared" si="95"/>
        <v>1</v>
      </c>
    </row>
    <row r="836" spans="9:38" x14ac:dyDescent="0.2">
      <c r="I836" s="4">
        <v>829</v>
      </c>
      <c r="K836" s="14">
        <v>6.0043672519933322</v>
      </c>
      <c r="L836" s="10">
        <v>6128.6338314675668</v>
      </c>
      <c r="O836" s="14">
        <v>6.6856197908289916</v>
      </c>
      <c r="P836" s="10">
        <v>9672.0278683137094</v>
      </c>
      <c r="R836" s="19">
        <f t="shared" si="90"/>
        <v>0.68125253883565939</v>
      </c>
      <c r="S836" s="23">
        <f t="shared" si="91"/>
        <v>3543.3940368461426</v>
      </c>
      <c r="U836" s="23">
        <f t="shared" si="92"/>
        <v>5201.2929638430696</v>
      </c>
      <c r="AA836" s="18">
        <f t="shared" si="93"/>
        <v>1</v>
      </c>
      <c r="AF836" s="23">
        <f t="shared" si="94"/>
        <v>30519.232904936827</v>
      </c>
      <c r="AL836" s="18">
        <f t="shared" si="95"/>
        <v>1</v>
      </c>
    </row>
    <row r="837" spans="9:38" x14ac:dyDescent="0.2">
      <c r="I837" s="4">
        <v>830</v>
      </c>
      <c r="K837" s="14">
        <v>6.5713797783198231</v>
      </c>
      <c r="L837" s="10">
        <v>5753.2394656832739</v>
      </c>
      <c r="O837" s="14">
        <v>6.9633704317694454</v>
      </c>
      <c r="P837" s="10">
        <v>9505.1823214808719</v>
      </c>
      <c r="R837" s="19">
        <f t="shared" si="90"/>
        <v>0.39199065344962225</v>
      </c>
      <c r="S837" s="23">
        <f t="shared" si="91"/>
        <v>3751.942855797598</v>
      </c>
      <c r="U837" s="23">
        <f t="shared" si="92"/>
        <v>9571.5110112435104</v>
      </c>
      <c r="AA837" s="18">
        <f t="shared" si="93"/>
        <v>1</v>
      </c>
      <c r="AF837" s="23">
        <f t="shared" si="94"/>
        <v>15847.589816683514</v>
      </c>
      <c r="AL837" s="18">
        <f t="shared" si="95"/>
        <v>1</v>
      </c>
    </row>
    <row r="838" spans="9:38" x14ac:dyDescent="0.2">
      <c r="I838" s="4">
        <v>831</v>
      </c>
      <c r="K838" s="14">
        <v>6.0330237457230611</v>
      </c>
      <c r="L838" s="10">
        <v>7579.4910200274344</v>
      </c>
      <c r="O838" s="14">
        <v>6.7695602246076332</v>
      </c>
      <c r="P838" s="10">
        <v>9646.2330489198575</v>
      </c>
      <c r="R838" s="19">
        <f t="shared" si="90"/>
        <v>0.73653647888457208</v>
      </c>
      <c r="S838" s="23">
        <f t="shared" si="91"/>
        <v>2066.7420288924231</v>
      </c>
      <c r="U838" s="23">
        <f t="shared" si="92"/>
        <v>2806.02806261863</v>
      </c>
      <c r="AA838" s="18">
        <f t="shared" si="93"/>
        <v>1</v>
      </c>
      <c r="AF838" s="23">
        <f t="shared" si="94"/>
        <v>34760.081915336181</v>
      </c>
      <c r="AL838" s="18">
        <f t="shared" si="95"/>
        <v>1</v>
      </c>
    </row>
    <row r="839" spans="9:38" x14ac:dyDescent="0.2">
      <c r="I839" s="4">
        <v>832</v>
      </c>
      <c r="K839" s="14">
        <v>5.790013091703158</v>
      </c>
      <c r="L839" s="10">
        <v>5944.9730629440619</v>
      </c>
      <c r="O839" s="14">
        <v>7.1546339524383207</v>
      </c>
      <c r="P839" s="10">
        <v>9259.3770809859161</v>
      </c>
      <c r="R839" s="19">
        <f t="shared" si="90"/>
        <v>1.3646208607351626</v>
      </c>
      <c r="S839" s="23">
        <f t="shared" si="91"/>
        <v>3314.4040180418542</v>
      </c>
      <c r="U839" s="23">
        <f t="shared" si="92"/>
        <v>2428.8094322816405</v>
      </c>
      <c r="AA839" s="18">
        <f t="shared" si="93"/>
        <v>1</v>
      </c>
      <c r="AF839" s="23">
        <f t="shared" si="94"/>
        <v>64916.639018716276</v>
      </c>
      <c r="AL839" s="18">
        <f t="shared" si="95"/>
        <v>1</v>
      </c>
    </row>
    <row r="840" spans="9:38" x14ac:dyDescent="0.2">
      <c r="I840" s="4">
        <v>833</v>
      </c>
      <c r="K840" s="14">
        <v>7.0075115301790598</v>
      </c>
      <c r="L840" s="10">
        <v>5896.4645429218626</v>
      </c>
      <c r="O840" s="14">
        <v>6.961762913039057</v>
      </c>
      <c r="P840" s="10">
        <v>9449.7978876077705</v>
      </c>
      <c r="R840" s="19">
        <f t="shared" ref="R840:R903" si="96">O840-K840</f>
        <v>-4.5748617140002779E-2</v>
      </c>
      <c r="S840" s="23">
        <f t="shared" ref="S840:S903" si="97">P840-L840</f>
        <v>3553.3333446859078</v>
      </c>
      <c r="U840" s="23">
        <f t="shared" ref="U840:U903" si="98">S840/R840</f>
        <v>-77670.836121926375</v>
      </c>
      <c r="AA840" s="18">
        <f t="shared" ref="AA840:AA903" si="99">IF(R840&lt;0,IF(U840&lt;Rc_,0,1),IF(U840&lt;Rc_,1,0))</f>
        <v>0</v>
      </c>
      <c r="AF840" s="23">
        <f t="shared" ref="AF840:AF903" si="100">R840*Rc_-S840</f>
        <v>-5840.7642016860464</v>
      </c>
      <c r="AL840" s="18">
        <f t="shared" ref="AL840:AL903" si="101">IF(AF840&gt;0,1,0)</f>
        <v>0</v>
      </c>
    </row>
    <row r="841" spans="9:38" x14ac:dyDescent="0.2">
      <c r="I841" s="4">
        <v>834</v>
      </c>
      <c r="K841" s="14">
        <v>6.1088379192975832</v>
      </c>
      <c r="L841" s="10">
        <v>7151.9930756408767</v>
      </c>
      <c r="O841" s="14">
        <v>6.9081371275911136</v>
      </c>
      <c r="P841" s="10">
        <v>9823.6844069016588</v>
      </c>
      <c r="R841" s="19">
        <f t="shared" si="96"/>
        <v>0.79929920829353041</v>
      </c>
      <c r="S841" s="23">
        <f t="shared" si="97"/>
        <v>2671.6913312607821</v>
      </c>
      <c r="U841" s="23">
        <f t="shared" si="98"/>
        <v>3342.5421963881695</v>
      </c>
      <c r="AA841" s="18">
        <f t="shared" si="99"/>
        <v>1</v>
      </c>
      <c r="AF841" s="23">
        <f t="shared" si="100"/>
        <v>37293.26908341574</v>
      </c>
      <c r="AL841" s="18">
        <f t="shared" si="101"/>
        <v>1</v>
      </c>
    </row>
    <row r="842" spans="9:38" x14ac:dyDescent="0.2">
      <c r="I842" s="4">
        <v>835</v>
      </c>
      <c r="K842" s="14">
        <v>6.4514035443534832</v>
      </c>
      <c r="L842" s="10">
        <v>7074.7472896035433</v>
      </c>
      <c r="O842" s="14">
        <v>6.5884887722539522</v>
      </c>
      <c r="P842" s="10">
        <v>9551.6777947838418</v>
      </c>
      <c r="R842" s="19">
        <f t="shared" si="96"/>
        <v>0.13708522790046906</v>
      </c>
      <c r="S842" s="23">
        <f t="shared" si="97"/>
        <v>2476.9305051802985</v>
      </c>
      <c r="U842" s="23">
        <f t="shared" si="98"/>
        <v>18068.544241533287</v>
      </c>
      <c r="AA842" s="18">
        <f t="shared" si="99"/>
        <v>1</v>
      </c>
      <c r="AF842" s="23">
        <f t="shared" si="100"/>
        <v>4377.3308898431551</v>
      </c>
      <c r="AL842" s="18">
        <f t="shared" si="101"/>
        <v>1</v>
      </c>
    </row>
    <row r="843" spans="9:38" x14ac:dyDescent="0.2">
      <c r="I843" s="4">
        <v>836</v>
      </c>
      <c r="K843" s="14">
        <v>6.0369234327710135</v>
      </c>
      <c r="L843" s="10">
        <v>7289.2440104365978</v>
      </c>
      <c r="O843" s="14">
        <v>7.348197322522843</v>
      </c>
      <c r="P843" s="10">
        <v>9940.1014550907094</v>
      </c>
      <c r="R843" s="19">
        <f t="shared" si="96"/>
        <v>1.3112738897518295</v>
      </c>
      <c r="S843" s="23">
        <f t="shared" si="97"/>
        <v>2650.8574446541115</v>
      </c>
      <c r="U843" s="23">
        <f t="shared" si="98"/>
        <v>2021.5894370899207</v>
      </c>
      <c r="AA843" s="18">
        <f t="shared" si="99"/>
        <v>1</v>
      </c>
      <c r="AF843" s="23">
        <f t="shared" si="100"/>
        <v>62912.837042937368</v>
      </c>
      <c r="AL843" s="18">
        <f t="shared" si="101"/>
        <v>1</v>
      </c>
    </row>
    <row r="844" spans="9:38" x14ac:dyDescent="0.2">
      <c r="I844" s="4">
        <v>837</v>
      </c>
      <c r="K844" s="14">
        <v>6.2550078381716903</v>
      </c>
      <c r="L844" s="10">
        <v>5910.6280126085239</v>
      </c>
      <c r="O844" s="14">
        <v>7.4261353333141935</v>
      </c>
      <c r="P844" s="10">
        <v>10629.806239786833</v>
      </c>
      <c r="R844" s="19">
        <f t="shared" si="96"/>
        <v>1.1711274951425032</v>
      </c>
      <c r="S844" s="23">
        <f t="shared" si="97"/>
        <v>4719.1782271783086</v>
      </c>
      <c r="U844" s="23">
        <f t="shared" si="98"/>
        <v>4029.6024529797905</v>
      </c>
      <c r="AA844" s="18">
        <f t="shared" si="99"/>
        <v>1</v>
      </c>
      <c r="AF844" s="23">
        <f t="shared" si="100"/>
        <v>53837.196529946857</v>
      </c>
      <c r="AL844" s="18">
        <f t="shared" si="101"/>
        <v>1</v>
      </c>
    </row>
    <row r="845" spans="9:38" x14ac:dyDescent="0.2">
      <c r="I845" s="4">
        <v>838</v>
      </c>
      <c r="K845" s="14">
        <v>6.9038065044426435</v>
      </c>
      <c r="L845" s="10">
        <v>8606.4321748634084</v>
      </c>
      <c r="O845" s="14">
        <v>7.0627371027195389</v>
      </c>
      <c r="P845" s="10">
        <v>9399.4037440620996</v>
      </c>
      <c r="R845" s="19">
        <f t="shared" si="96"/>
        <v>0.15893059827689537</v>
      </c>
      <c r="S845" s="23">
        <f t="shared" si="97"/>
        <v>792.97156919869121</v>
      </c>
      <c r="U845" s="23">
        <f t="shared" si="98"/>
        <v>4989.4203998222156</v>
      </c>
      <c r="AA845" s="18">
        <f t="shared" si="99"/>
        <v>1</v>
      </c>
      <c r="AF845" s="23">
        <f t="shared" si="100"/>
        <v>7153.5583446460778</v>
      </c>
      <c r="AL845" s="18">
        <f t="shared" si="101"/>
        <v>1</v>
      </c>
    </row>
    <row r="846" spans="9:38" x14ac:dyDescent="0.2">
      <c r="I846" s="4">
        <v>839</v>
      </c>
      <c r="K846" s="14">
        <v>6.4137905992234119</v>
      </c>
      <c r="L846" s="10">
        <v>8514.8562018195244</v>
      </c>
      <c r="O846" s="14">
        <v>7.2112527354753295</v>
      </c>
      <c r="P846" s="10">
        <v>9125.7481412301331</v>
      </c>
      <c r="R846" s="19">
        <f t="shared" si="96"/>
        <v>0.79746213625191764</v>
      </c>
      <c r="S846" s="23">
        <f t="shared" si="97"/>
        <v>610.89193941060876</v>
      </c>
      <c r="U846" s="23">
        <f t="shared" si="98"/>
        <v>766.04507178461006</v>
      </c>
      <c r="AA846" s="18">
        <f t="shared" si="99"/>
        <v>1</v>
      </c>
      <c r="AF846" s="23">
        <f t="shared" si="100"/>
        <v>39262.214873185279</v>
      </c>
      <c r="AL846" s="18">
        <f t="shared" si="101"/>
        <v>1</v>
      </c>
    </row>
    <row r="847" spans="9:38" x14ac:dyDescent="0.2">
      <c r="I847" s="4">
        <v>840</v>
      </c>
      <c r="K847" s="14">
        <v>6.5494988128290057</v>
      </c>
      <c r="L847" s="10">
        <v>5527.6352526274604</v>
      </c>
      <c r="O847" s="14">
        <v>6.8088262891806277</v>
      </c>
      <c r="P847" s="10">
        <v>9282.4567837799514</v>
      </c>
      <c r="R847" s="19">
        <f t="shared" si="96"/>
        <v>0.25932747635162201</v>
      </c>
      <c r="S847" s="23">
        <f t="shared" si="97"/>
        <v>3754.8215311524909</v>
      </c>
      <c r="U847" s="23">
        <f t="shared" si="98"/>
        <v>14479.073270513496</v>
      </c>
      <c r="AA847" s="18">
        <f t="shared" si="99"/>
        <v>1</v>
      </c>
      <c r="AF847" s="23">
        <f t="shared" si="100"/>
        <v>9211.5522864286104</v>
      </c>
      <c r="AL847" s="18">
        <f t="shared" si="101"/>
        <v>1</v>
      </c>
    </row>
    <row r="848" spans="9:38" x14ac:dyDescent="0.2">
      <c r="I848" s="4">
        <v>841</v>
      </c>
      <c r="K848" s="14">
        <v>6.2877438477495469</v>
      </c>
      <c r="L848" s="10">
        <v>7969.8676572841869</v>
      </c>
      <c r="O848" s="14">
        <v>7.3699678269670379</v>
      </c>
      <c r="P848" s="10">
        <v>10039.246849916341</v>
      </c>
      <c r="R848" s="19">
        <f t="shared" si="96"/>
        <v>1.082223979217491</v>
      </c>
      <c r="S848" s="23">
        <f t="shared" si="97"/>
        <v>2069.3791926321537</v>
      </c>
      <c r="U848" s="23">
        <f t="shared" si="98"/>
        <v>1912.1542604594952</v>
      </c>
      <c r="AA848" s="18">
        <f t="shared" si="99"/>
        <v>1</v>
      </c>
      <c r="AF848" s="23">
        <f t="shared" si="100"/>
        <v>52041.819768242392</v>
      </c>
      <c r="AL848" s="18">
        <f t="shared" si="101"/>
        <v>1</v>
      </c>
    </row>
    <row r="849" spans="9:38" x14ac:dyDescent="0.2">
      <c r="I849" s="4">
        <v>842</v>
      </c>
      <c r="K849" s="14">
        <v>6.1914155807467992</v>
      </c>
      <c r="L849" s="10">
        <v>5898.3651707251565</v>
      </c>
      <c r="O849" s="14">
        <v>7.1077006295670273</v>
      </c>
      <c r="P849" s="10">
        <v>10144.80850772773</v>
      </c>
      <c r="R849" s="19">
        <f t="shared" si="96"/>
        <v>0.9162850488202281</v>
      </c>
      <c r="S849" s="23">
        <f t="shared" si="97"/>
        <v>4246.4433370025736</v>
      </c>
      <c r="U849" s="23">
        <f t="shared" si="98"/>
        <v>4634.4129945917202</v>
      </c>
      <c r="AA849" s="18">
        <f t="shared" si="99"/>
        <v>1</v>
      </c>
      <c r="AF849" s="23">
        <f t="shared" si="100"/>
        <v>41567.809104008833</v>
      </c>
      <c r="AL849" s="18">
        <f t="shared" si="101"/>
        <v>1</v>
      </c>
    </row>
    <row r="850" spans="9:38" x14ac:dyDescent="0.2">
      <c r="I850" s="4">
        <v>843</v>
      </c>
      <c r="K850" s="14">
        <v>5.8911282246422214</v>
      </c>
      <c r="L850" s="10">
        <v>7964.323273787767</v>
      </c>
      <c r="O850" s="14">
        <v>7.2403020255347341</v>
      </c>
      <c r="P850" s="10">
        <v>9667.5027997045763</v>
      </c>
      <c r="R850" s="19">
        <f t="shared" si="96"/>
        <v>1.3491738008925127</v>
      </c>
      <c r="S850" s="23">
        <f t="shared" si="97"/>
        <v>1703.1795259168093</v>
      </c>
      <c r="U850" s="23">
        <f t="shared" si="98"/>
        <v>1262.387043678222</v>
      </c>
      <c r="AA850" s="18">
        <f t="shared" si="99"/>
        <v>1</v>
      </c>
      <c r="AF850" s="23">
        <f t="shared" si="100"/>
        <v>65755.510518708819</v>
      </c>
      <c r="AL850" s="18">
        <f t="shared" si="101"/>
        <v>1</v>
      </c>
    </row>
    <row r="851" spans="9:38" x14ac:dyDescent="0.2">
      <c r="I851" s="4">
        <v>844</v>
      </c>
      <c r="K851" s="14">
        <v>5.7578620963681466</v>
      </c>
      <c r="L851" s="10">
        <v>8141.7218526237148</v>
      </c>
      <c r="O851" s="14">
        <v>7.3342976866240077</v>
      </c>
      <c r="P851" s="10">
        <v>9583.408289424342</v>
      </c>
      <c r="R851" s="19">
        <f t="shared" si="96"/>
        <v>1.5764355902558611</v>
      </c>
      <c r="S851" s="23">
        <f t="shared" si="97"/>
        <v>1441.6864368006272</v>
      </c>
      <c r="U851" s="23">
        <f t="shared" si="98"/>
        <v>914.52289310890046</v>
      </c>
      <c r="AA851" s="18">
        <f t="shared" si="99"/>
        <v>1</v>
      </c>
      <c r="AF851" s="23">
        <f t="shared" si="100"/>
        <v>77380.093075992438</v>
      </c>
      <c r="AL851" s="18">
        <f t="shared" si="101"/>
        <v>1</v>
      </c>
    </row>
    <row r="852" spans="9:38" x14ac:dyDescent="0.2">
      <c r="I852" s="4">
        <v>845</v>
      </c>
      <c r="K852" s="14">
        <v>6.740695948017394</v>
      </c>
      <c r="L852" s="10">
        <v>8268.4454709246857</v>
      </c>
      <c r="O852" s="14">
        <v>7.8309452238799295</v>
      </c>
      <c r="P852" s="10">
        <v>10199.450750864477</v>
      </c>
      <c r="R852" s="19">
        <f t="shared" si="96"/>
        <v>1.0902492758625355</v>
      </c>
      <c r="S852" s="23">
        <f t="shared" si="97"/>
        <v>1931.0052799397909</v>
      </c>
      <c r="U852" s="23">
        <f t="shared" si="98"/>
        <v>1771.1594244463981</v>
      </c>
      <c r="AA852" s="18">
        <f t="shared" si="99"/>
        <v>1</v>
      </c>
      <c r="AF852" s="23">
        <f t="shared" si="100"/>
        <v>52581.458513186983</v>
      </c>
      <c r="AL852" s="18">
        <f t="shared" si="101"/>
        <v>1</v>
      </c>
    </row>
    <row r="853" spans="9:38" x14ac:dyDescent="0.2">
      <c r="I853" s="4">
        <v>846</v>
      </c>
      <c r="K853" s="14">
        <v>5.7529357015183304</v>
      </c>
      <c r="L853" s="10">
        <v>7115.1939623744775</v>
      </c>
      <c r="O853" s="14">
        <v>8.5673602452713542</v>
      </c>
      <c r="P853" s="10">
        <v>11278.678966764908</v>
      </c>
      <c r="R853" s="19">
        <f t="shared" si="96"/>
        <v>2.8144245437530238</v>
      </c>
      <c r="S853" s="23">
        <f t="shared" si="97"/>
        <v>4163.4850043904307</v>
      </c>
      <c r="U853" s="23">
        <f t="shared" si="98"/>
        <v>1479.3379391292688</v>
      </c>
      <c r="AA853" s="18">
        <f t="shared" si="99"/>
        <v>1</v>
      </c>
      <c r="AF853" s="23">
        <f t="shared" si="100"/>
        <v>136557.74218326074</v>
      </c>
      <c r="AL853" s="18">
        <f t="shared" si="101"/>
        <v>1</v>
      </c>
    </row>
    <row r="854" spans="9:38" x14ac:dyDescent="0.2">
      <c r="I854" s="4">
        <v>847</v>
      </c>
      <c r="K854" s="14">
        <v>6.6790395988393207</v>
      </c>
      <c r="L854" s="10">
        <v>7953.8216418816683</v>
      </c>
      <c r="O854" s="14">
        <v>6.2411682107112822</v>
      </c>
      <c r="P854" s="10">
        <v>9405.8310650861986</v>
      </c>
      <c r="R854" s="19">
        <f t="shared" si="96"/>
        <v>-0.4378713881280385</v>
      </c>
      <c r="S854" s="23">
        <f t="shared" si="97"/>
        <v>1452.0094232045303</v>
      </c>
      <c r="U854" s="23">
        <f t="shared" si="98"/>
        <v>-3316.0637177324465</v>
      </c>
      <c r="AA854" s="18">
        <f t="shared" si="99"/>
        <v>0</v>
      </c>
      <c r="AF854" s="23">
        <f t="shared" si="100"/>
        <v>-23345.578829606457</v>
      </c>
      <c r="AL854" s="18">
        <f t="shared" si="101"/>
        <v>0</v>
      </c>
    </row>
    <row r="855" spans="9:38" x14ac:dyDescent="0.2">
      <c r="I855" s="4">
        <v>848</v>
      </c>
      <c r="K855" s="14">
        <v>6.2026313812918703</v>
      </c>
      <c r="L855" s="10">
        <v>5772.8053056841563</v>
      </c>
      <c r="O855" s="14">
        <v>6.4849184564185851</v>
      </c>
      <c r="P855" s="10">
        <v>8758.6814186995398</v>
      </c>
      <c r="R855" s="19">
        <f t="shared" si="96"/>
        <v>0.2822870751267148</v>
      </c>
      <c r="S855" s="23">
        <f t="shared" si="97"/>
        <v>2985.8761130153835</v>
      </c>
      <c r="U855" s="23">
        <f t="shared" si="98"/>
        <v>10577.445360100402</v>
      </c>
      <c r="AA855" s="18">
        <f t="shared" si="99"/>
        <v>1</v>
      </c>
      <c r="AF855" s="23">
        <f t="shared" si="100"/>
        <v>11128.477643320357</v>
      </c>
      <c r="AL855" s="18">
        <f t="shared" si="101"/>
        <v>1</v>
      </c>
    </row>
    <row r="856" spans="9:38" x14ac:dyDescent="0.2">
      <c r="I856" s="4">
        <v>849</v>
      </c>
      <c r="K856" s="14">
        <v>6.3796736990237681</v>
      </c>
      <c r="L856" s="10">
        <v>10411.848181422582</v>
      </c>
      <c r="O856" s="14">
        <v>6.6661086073857101</v>
      </c>
      <c r="P856" s="10">
        <v>9409.7539953228115</v>
      </c>
      <c r="R856" s="19">
        <f t="shared" si="96"/>
        <v>0.28643490836194196</v>
      </c>
      <c r="S856" s="23">
        <f t="shared" si="97"/>
        <v>-1002.09418609977</v>
      </c>
      <c r="U856" s="23">
        <f t="shared" si="98"/>
        <v>-3498.5057925743949</v>
      </c>
      <c r="AA856" s="18">
        <f t="shared" si="99"/>
        <v>1</v>
      </c>
      <c r="AF856" s="23">
        <f t="shared" si="100"/>
        <v>15323.839604196868</v>
      </c>
      <c r="AL856" s="18">
        <f t="shared" si="101"/>
        <v>1</v>
      </c>
    </row>
    <row r="857" spans="9:38" x14ac:dyDescent="0.2">
      <c r="I857" s="4">
        <v>850</v>
      </c>
      <c r="K857" s="14">
        <v>6.1982457495468211</v>
      </c>
      <c r="L857" s="10">
        <v>6676.3984522697192</v>
      </c>
      <c r="O857" s="14">
        <v>7.9679603823179148</v>
      </c>
      <c r="P857" s="10">
        <v>11030.68338087361</v>
      </c>
      <c r="R857" s="19">
        <f t="shared" si="96"/>
        <v>1.7697146327710938</v>
      </c>
      <c r="S857" s="23">
        <f t="shared" si="97"/>
        <v>4354.2849286038909</v>
      </c>
      <c r="U857" s="23">
        <f t="shared" si="98"/>
        <v>2460.4446660339627</v>
      </c>
      <c r="AA857" s="18">
        <f t="shared" si="99"/>
        <v>1</v>
      </c>
      <c r="AF857" s="23">
        <f t="shared" si="100"/>
        <v>84131.446709950804</v>
      </c>
      <c r="AL857" s="18">
        <f t="shared" si="101"/>
        <v>1</v>
      </c>
    </row>
    <row r="858" spans="9:38" x14ac:dyDescent="0.2">
      <c r="I858" s="4">
        <v>851</v>
      </c>
      <c r="K858" s="14">
        <v>6.2290787637541003</v>
      </c>
      <c r="L858" s="10">
        <v>7016.9701585199809</v>
      </c>
      <c r="O858" s="14">
        <v>7.1903903960294135</v>
      </c>
      <c r="P858" s="10">
        <v>9308.6273282784896</v>
      </c>
      <c r="R858" s="19">
        <f t="shared" si="96"/>
        <v>0.96131163227531324</v>
      </c>
      <c r="S858" s="23">
        <f t="shared" si="97"/>
        <v>2291.6571697585086</v>
      </c>
      <c r="U858" s="23">
        <f t="shared" si="98"/>
        <v>2383.8858210156282</v>
      </c>
      <c r="AA858" s="18">
        <f t="shared" si="99"/>
        <v>1</v>
      </c>
      <c r="AF858" s="23">
        <f t="shared" si="100"/>
        <v>45773.924444007156</v>
      </c>
      <c r="AL858" s="18">
        <f t="shared" si="101"/>
        <v>1</v>
      </c>
    </row>
    <row r="859" spans="9:38" x14ac:dyDescent="0.2">
      <c r="I859" s="4">
        <v>852</v>
      </c>
      <c r="K859" s="14">
        <v>6.2191794067508726</v>
      </c>
      <c r="L859" s="10">
        <v>7864.2769814804915</v>
      </c>
      <c r="O859" s="14">
        <v>7.3157530304625515</v>
      </c>
      <c r="P859" s="10">
        <v>10002.611584884495</v>
      </c>
      <c r="R859" s="19">
        <f t="shared" si="96"/>
        <v>1.096573623711679</v>
      </c>
      <c r="S859" s="23">
        <f t="shared" si="97"/>
        <v>2138.3346034040032</v>
      </c>
      <c r="U859" s="23">
        <f t="shared" si="98"/>
        <v>1950.0146247966234</v>
      </c>
      <c r="AA859" s="18">
        <f t="shared" si="99"/>
        <v>1</v>
      </c>
      <c r="AF859" s="23">
        <f t="shared" si="100"/>
        <v>52690.346582179947</v>
      </c>
      <c r="AL859" s="18">
        <f t="shared" si="101"/>
        <v>1</v>
      </c>
    </row>
    <row r="860" spans="9:38" x14ac:dyDescent="0.2">
      <c r="I860" s="4">
        <v>853</v>
      </c>
      <c r="K860" s="14">
        <v>6.2033719144417603</v>
      </c>
      <c r="L860" s="10">
        <v>7899.3083625281242</v>
      </c>
      <c r="O860" s="14">
        <v>7.1515408994496044</v>
      </c>
      <c r="P860" s="10">
        <v>9462.8187144595977</v>
      </c>
      <c r="R860" s="19">
        <f t="shared" si="96"/>
        <v>0.94816898500784408</v>
      </c>
      <c r="S860" s="23">
        <f t="shared" si="97"/>
        <v>1563.5103519314735</v>
      </c>
      <c r="U860" s="23">
        <f t="shared" si="98"/>
        <v>1648.9785857301995</v>
      </c>
      <c r="AA860" s="18">
        <f t="shared" si="99"/>
        <v>1</v>
      </c>
      <c r="AF860" s="23">
        <f t="shared" si="100"/>
        <v>45844.938898460729</v>
      </c>
      <c r="AL860" s="18">
        <f t="shared" si="101"/>
        <v>1</v>
      </c>
    </row>
    <row r="861" spans="9:38" x14ac:dyDescent="0.2">
      <c r="I861" s="4">
        <v>854</v>
      </c>
      <c r="K861" s="14">
        <v>6.4782915799724945</v>
      </c>
      <c r="L861" s="10">
        <v>6723.9345672352965</v>
      </c>
      <c r="O861" s="14">
        <v>7.7037889370283379</v>
      </c>
      <c r="P861" s="10">
        <v>10378.629836844078</v>
      </c>
      <c r="R861" s="19">
        <f t="shared" si="96"/>
        <v>1.2254973570558434</v>
      </c>
      <c r="S861" s="23">
        <f t="shared" si="97"/>
        <v>3654.6952696087819</v>
      </c>
      <c r="U861" s="23">
        <f t="shared" si="98"/>
        <v>2982.2139138585226</v>
      </c>
      <c r="AA861" s="18">
        <f t="shared" si="99"/>
        <v>1</v>
      </c>
      <c r="AF861" s="23">
        <f t="shared" si="100"/>
        <v>57620.17258318339</v>
      </c>
      <c r="AL861" s="18">
        <f t="shared" si="101"/>
        <v>1</v>
      </c>
    </row>
    <row r="862" spans="9:38" x14ac:dyDescent="0.2">
      <c r="I862" s="4">
        <v>855</v>
      </c>
      <c r="K862" s="14">
        <v>6.1323118332296076</v>
      </c>
      <c r="L862" s="10">
        <v>5477.4804829927543</v>
      </c>
      <c r="O862" s="14">
        <v>7.1166547591579139</v>
      </c>
      <c r="P862" s="10">
        <v>10420.793277415392</v>
      </c>
      <c r="R862" s="19">
        <f t="shared" si="96"/>
        <v>0.9843429259283063</v>
      </c>
      <c r="S862" s="23">
        <f t="shared" si="97"/>
        <v>4943.312794422638</v>
      </c>
      <c r="U862" s="23">
        <f t="shared" si="98"/>
        <v>5021.9417077242042</v>
      </c>
      <c r="AA862" s="18">
        <f t="shared" si="99"/>
        <v>1</v>
      </c>
      <c r="AF862" s="23">
        <f t="shared" si="100"/>
        <v>44273.833501992682</v>
      </c>
      <c r="AL862" s="18">
        <f t="shared" si="101"/>
        <v>1</v>
      </c>
    </row>
    <row r="863" spans="9:38" x14ac:dyDescent="0.2">
      <c r="I863" s="4">
        <v>856</v>
      </c>
      <c r="K863" s="14">
        <v>6.1746083833440988</v>
      </c>
      <c r="L863" s="10">
        <v>8483.6173901912007</v>
      </c>
      <c r="O863" s="14">
        <v>7.2884205723569764</v>
      </c>
      <c r="P863" s="10">
        <v>10151.762163686077</v>
      </c>
      <c r="R863" s="19">
        <f t="shared" si="96"/>
        <v>1.1138121890128776</v>
      </c>
      <c r="S863" s="23">
        <f t="shared" si="97"/>
        <v>1668.1447734948761</v>
      </c>
      <c r="U863" s="23">
        <f t="shared" si="98"/>
        <v>1497.6894578369436</v>
      </c>
      <c r="AA863" s="18">
        <f t="shared" si="99"/>
        <v>1</v>
      </c>
      <c r="AF863" s="23">
        <f t="shared" si="100"/>
        <v>54022.464677149008</v>
      </c>
      <c r="AL863" s="18">
        <f t="shared" si="101"/>
        <v>1</v>
      </c>
    </row>
    <row r="864" spans="9:38" x14ac:dyDescent="0.2">
      <c r="I864" s="4">
        <v>857</v>
      </c>
      <c r="K864" s="14">
        <v>6.9348275600849227</v>
      </c>
      <c r="L864" s="10">
        <v>7549.774893310142</v>
      </c>
      <c r="O864" s="14">
        <v>6.8397875982491483</v>
      </c>
      <c r="P864" s="10">
        <v>9224.2558801968225</v>
      </c>
      <c r="R864" s="19">
        <f t="shared" si="96"/>
        <v>-9.5039961835774456E-2</v>
      </c>
      <c r="S864" s="23">
        <f t="shared" si="97"/>
        <v>1674.4809868866805</v>
      </c>
      <c r="U864" s="23">
        <f t="shared" si="98"/>
        <v>-17618.704327555621</v>
      </c>
      <c r="AA864" s="18">
        <f t="shared" si="99"/>
        <v>0</v>
      </c>
      <c r="AF864" s="23">
        <f t="shared" si="100"/>
        <v>-6426.4790786754029</v>
      </c>
      <c r="AL864" s="18">
        <f t="shared" si="101"/>
        <v>0</v>
      </c>
    </row>
    <row r="865" spans="9:38" x14ac:dyDescent="0.2">
      <c r="I865" s="4">
        <v>858</v>
      </c>
      <c r="K865" s="14">
        <v>6.4980575833784489</v>
      </c>
      <c r="L865" s="10">
        <v>6298.4829238790171</v>
      </c>
      <c r="O865" s="14">
        <v>7.168862442419182</v>
      </c>
      <c r="P865" s="10">
        <v>9575.4117420705588</v>
      </c>
      <c r="R865" s="19">
        <f t="shared" si="96"/>
        <v>0.67080485904073317</v>
      </c>
      <c r="S865" s="23">
        <f t="shared" si="97"/>
        <v>3276.9288181915417</v>
      </c>
      <c r="U865" s="23">
        <f t="shared" si="98"/>
        <v>4885.0701869954064</v>
      </c>
      <c r="AA865" s="18">
        <f t="shared" si="99"/>
        <v>1</v>
      </c>
      <c r="AF865" s="23">
        <f t="shared" si="100"/>
        <v>30263.314133845117</v>
      </c>
      <c r="AL865" s="18">
        <f t="shared" si="101"/>
        <v>1</v>
      </c>
    </row>
    <row r="866" spans="9:38" x14ac:dyDescent="0.2">
      <c r="I866" s="4">
        <v>859</v>
      </c>
      <c r="K866" s="14">
        <v>6.173495540683601</v>
      </c>
      <c r="L866" s="10">
        <v>8262.442642101083</v>
      </c>
      <c r="O866" s="14">
        <v>7.163807366718288</v>
      </c>
      <c r="P866" s="10">
        <v>9455.8700443734178</v>
      </c>
      <c r="R866" s="19">
        <f t="shared" si="96"/>
        <v>0.99031182603468704</v>
      </c>
      <c r="S866" s="23">
        <f t="shared" si="97"/>
        <v>1193.4274022723348</v>
      </c>
      <c r="U866" s="23">
        <f t="shared" si="98"/>
        <v>1205.1026463562937</v>
      </c>
      <c r="AA866" s="18">
        <f t="shared" si="99"/>
        <v>1</v>
      </c>
      <c r="AF866" s="23">
        <f t="shared" si="100"/>
        <v>48322.163899462015</v>
      </c>
      <c r="AL866" s="18">
        <f t="shared" si="101"/>
        <v>1</v>
      </c>
    </row>
    <row r="867" spans="9:38" x14ac:dyDescent="0.2">
      <c r="I867" s="4">
        <v>860</v>
      </c>
      <c r="K867" s="14">
        <v>6.5906958340785113</v>
      </c>
      <c r="L867" s="10">
        <v>9745.4182194183413</v>
      </c>
      <c r="O867" s="14">
        <v>7.1259612256927394</v>
      </c>
      <c r="P867" s="10">
        <v>9359.0717175948139</v>
      </c>
      <c r="R867" s="19">
        <f t="shared" si="96"/>
        <v>0.53526539161422804</v>
      </c>
      <c r="S867" s="23">
        <f t="shared" si="97"/>
        <v>-386.34650182352743</v>
      </c>
      <c r="U867" s="23">
        <f t="shared" si="98"/>
        <v>-721.78494607768664</v>
      </c>
      <c r="AA867" s="18">
        <f t="shared" si="99"/>
        <v>1</v>
      </c>
      <c r="AF867" s="23">
        <f t="shared" si="100"/>
        <v>27149.616082534929</v>
      </c>
      <c r="AL867" s="18">
        <f t="shared" si="101"/>
        <v>1</v>
      </c>
    </row>
    <row r="868" spans="9:38" x14ac:dyDescent="0.2">
      <c r="I868" s="4">
        <v>861</v>
      </c>
      <c r="K868" s="14">
        <v>6.4754087092476649</v>
      </c>
      <c r="L868" s="10">
        <v>6943.0035945280197</v>
      </c>
      <c r="O868" s="14">
        <v>7.8483761344294614</v>
      </c>
      <c r="P868" s="10">
        <v>10309.125233387937</v>
      </c>
      <c r="R868" s="19">
        <f t="shared" si="96"/>
        <v>1.3729674251817965</v>
      </c>
      <c r="S868" s="23">
        <f t="shared" si="97"/>
        <v>3366.1216388599169</v>
      </c>
      <c r="U868" s="23">
        <f t="shared" si="98"/>
        <v>2451.712675130806</v>
      </c>
      <c r="AA868" s="18">
        <f t="shared" si="99"/>
        <v>1</v>
      </c>
      <c r="AF868" s="23">
        <f t="shared" si="100"/>
        <v>65282.249620229908</v>
      </c>
      <c r="AL868" s="18">
        <f t="shared" si="101"/>
        <v>1</v>
      </c>
    </row>
    <row r="869" spans="9:38" x14ac:dyDescent="0.2">
      <c r="I869" s="4">
        <v>862</v>
      </c>
      <c r="K869" s="14">
        <v>7.1245104090209646</v>
      </c>
      <c r="L869" s="10">
        <v>6080.1463527212854</v>
      </c>
      <c r="O869" s="14">
        <v>7.4820595554403333</v>
      </c>
      <c r="P869" s="10">
        <v>10341.388535761247</v>
      </c>
      <c r="R869" s="19">
        <f t="shared" si="96"/>
        <v>0.35754914641936875</v>
      </c>
      <c r="S869" s="23">
        <f t="shared" si="97"/>
        <v>4261.2421830399617</v>
      </c>
      <c r="U869" s="23">
        <f t="shared" si="98"/>
        <v>11917.920167657059</v>
      </c>
      <c r="AA869" s="18">
        <f t="shared" si="99"/>
        <v>1</v>
      </c>
      <c r="AF869" s="23">
        <f t="shared" si="100"/>
        <v>13616.215137928477</v>
      </c>
      <c r="AL869" s="18">
        <f t="shared" si="101"/>
        <v>1</v>
      </c>
    </row>
    <row r="870" spans="9:38" x14ac:dyDescent="0.2">
      <c r="I870" s="4">
        <v>863</v>
      </c>
      <c r="K870" s="14">
        <v>6.5345201225336869</v>
      </c>
      <c r="L870" s="10">
        <v>6127.6810425474405</v>
      </c>
      <c r="O870" s="14">
        <v>7.7863969670477253</v>
      </c>
      <c r="P870" s="10">
        <v>10709.666319757282</v>
      </c>
      <c r="R870" s="19">
        <f t="shared" si="96"/>
        <v>1.2518768445140385</v>
      </c>
      <c r="S870" s="23">
        <f t="shared" si="97"/>
        <v>4581.9852772098411</v>
      </c>
      <c r="U870" s="23">
        <f t="shared" si="98"/>
        <v>3660.0926818711991</v>
      </c>
      <c r="AA870" s="18">
        <f t="shared" si="99"/>
        <v>1</v>
      </c>
      <c r="AF870" s="23">
        <f t="shared" si="100"/>
        <v>58011.856948492088</v>
      </c>
      <c r="AL870" s="18">
        <f t="shared" si="101"/>
        <v>1</v>
      </c>
    </row>
    <row r="871" spans="9:38" x14ac:dyDescent="0.2">
      <c r="I871" s="4">
        <v>864</v>
      </c>
      <c r="K871" s="14">
        <v>6.512116697468616</v>
      </c>
      <c r="L871" s="10">
        <v>6188.2213469590224</v>
      </c>
      <c r="O871" s="14">
        <v>7.3039923387225345</v>
      </c>
      <c r="P871" s="10">
        <v>9952.0842580136668</v>
      </c>
      <c r="R871" s="19">
        <f t="shared" si="96"/>
        <v>0.79187564125391852</v>
      </c>
      <c r="S871" s="23">
        <f t="shared" si="97"/>
        <v>3763.8629110546444</v>
      </c>
      <c r="U871" s="23">
        <f t="shared" si="98"/>
        <v>4753.0984853816772</v>
      </c>
      <c r="AA871" s="18">
        <f t="shared" si="99"/>
        <v>1</v>
      </c>
      <c r="AF871" s="23">
        <f t="shared" si="100"/>
        <v>35829.919151641283</v>
      </c>
      <c r="AL871" s="18">
        <f t="shared" si="101"/>
        <v>1</v>
      </c>
    </row>
    <row r="872" spans="9:38" x14ac:dyDescent="0.2">
      <c r="I872" s="4">
        <v>865</v>
      </c>
      <c r="K872" s="14">
        <v>6.9366462493880725</v>
      </c>
      <c r="L872" s="10">
        <v>7460.8099858738533</v>
      </c>
      <c r="O872" s="14">
        <v>7.3121805909611854</v>
      </c>
      <c r="P872" s="10">
        <v>10080.213445420559</v>
      </c>
      <c r="R872" s="19">
        <f t="shared" si="96"/>
        <v>0.37553434157311294</v>
      </c>
      <c r="S872" s="23">
        <f t="shared" si="97"/>
        <v>2619.4034595467056</v>
      </c>
      <c r="U872" s="23">
        <f t="shared" si="98"/>
        <v>6975.1369437320363</v>
      </c>
      <c r="AA872" s="18">
        <f t="shared" si="99"/>
        <v>1</v>
      </c>
      <c r="AF872" s="23">
        <f t="shared" si="100"/>
        <v>16157.31361910894</v>
      </c>
      <c r="AL872" s="18">
        <f t="shared" si="101"/>
        <v>1</v>
      </c>
    </row>
    <row r="873" spans="9:38" x14ac:dyDescent="0.2">
      <c r="I873" s="4">
        <v>866</v>
      </c>
      <c r="K873" s="14">
        <v>6.0039417890462463</v>
      </c>
      <c r="L873" s="10">
        <v>6716.5161201431556</v>
      </c>
      <c r="O873" s="14">
        <v>6.9422763923207249</v>
      </c>
      <c r="P873" s="10">
        <v>9708.5098205981121</v>
      </c>
      <c r="R873" s="19">
        <f t="shared" si="96"/>
        <v>0.9383346032744786</v>
      </c>
      <c r="S873" s="23">
        <f t="shared" si="97"/>
        <v>2991.9937004549565</v>
      </c>
      <c r="U873" s="23">
        <f t="shared" si="98"/>
        <v>3188.6212977906648</v>
      </c>
      <c r="AA873" s="18">
        <f t="shared" si="99"/>
        <v>1</v>
      </c>
      <c r="AF873" s="23">
        <f t="shared" si="100"/>
        <v>43924.736463268971</v>
      </c>
      <c r="AL873" s="18">
        <f t="shared" si="101"/>
        <v>1</v>
      </c>
    </row>
    <row r="874" spans="9:38" x14ac:dyDescent="0.2">
      <c r="I874" s="4">
        <v>867</v>
      </c>
      <c r="K874" s="14">
        <v>5.8250470563045704</v>
      </c>
      <c r="L874" s="10">
        <v>8657.0982500023856</v>
      </c>
      <c r="O874" s="14">
        <v>7.1023592108426445</v>
      </c>
      <c r="P874" s="10">
        <v>9964.7121148036367</v>
      </c>
      <c r="R874" s="19">
        <f t="shared" si="96"/>
        <v>1.2773121545380741</v>
      </c>
      <c r="S874" s="23">
        <f t="shared" si="97"/>
        <v>1307.6138648012511</v>
      </c>
      <c r="U874" s="23">
        <f t="shared" si="98"/>
        <v>1023.7230266348912</v>
      </c>
      <c r="AA874" s="18">
        <f t="shared" si="99"/>
        <v>1</v>
      </c>
      <c r="AF874" s="23">
        <f t="shared" si="100"/>
        <v>62557.993862102456</v>
      </c>
      <c r="AL874" s="18">
        <f t="shared" si="101"/>
        <v>1</v>
      </c>
    </row>
    <row r="875" spans="9:38" x14ac:dyDescent="0.2">
      <c r="I875" s="4">
        <v>868</v>
      </c>
      <c r="K875" s="14">
        <v>6.3565335437076884</v>
      </c>
      <c r="L875" s="10">
        <v>7061.1952392506773</v>
      </c>
      <c r="O875" s="14">
        <v>7.2135377453573541</v>
      </c>
      <c r="P875" s="10">
        <v>9286.4790211778236</v>
      </c>
      <c r="R875" s="19">
        <f t="shared" si="96"/>
        <v>0.85700420164966573</v>
      </c>
      <c r="S875" s="23">
        <f t="shared" si="97"/>
        <v>2225.2837819271463</v>
      </c>
      <c r="U875" s="23">
        <f t="shared" si="98"/>
        <v>2596.5844480618061</v>
      </c>
      <c r="AA875" s="18">
        <f t="shared" si="99"/>
        <v>1</v>
      </c>
      <c r="AF875" s="23">
        <f t="shared" si="100"/>
        <v>40624.926300556144</v>
      </c>
      <c r="AL875" s="18">
        <f t="shared" si="101"/>
        <v>1</v>
      </c>
    </row>
    <row r="876" spans="9:38" x14ac:dyDescent="0.2">
      <c r="I876" s="4">
        <v>869</v>
      </c>
      <c r="K876" s="14">
        <v>6.6028748117865872</v>
      </c>
      <c r="L876" s="10">
        <v>6747.0809354880976</v>
      </c>
      <c r="O876" s="14">
        <v>6.9834905199944091</v>
      </c>
      <c r="P876" s="10">
        <v>9360.3041362565182</v>
      </c>
      <c r="R876" s="19">
        <f t="shared" si="96"/>
        <v>0.38061570820782187</v>
      </c>
      <c r="S876" s="23">
        <f t="shared" si="97"/>
        <v>2613.2232007684206</v>
      </c>
      <c r="U876" s="23">
        <f t="shared" si="98"/>
        <v>6865.778643433081</v>
      </c>
      <c r="AA876" s="18">
        <f t="shared" si="99"/>
        <v>1</v>
      </c>
      <c r="AF876" s="23">
        <f t="shared" si="100"/>
        <v>16417.562209622673</v>
      </c>
      <c r="AL876" s="18">
        <f t="shared" si="101"/>
        <v>1</v>
      </c>
    </row>
    <row r="877" spans="9:38" x14ac:dyDescent="0.2">
      <c r="I877" s="4">
        <v>870</v>
      </c>
      <c r="K877" s="14">
        <v>6.2511257367680582</v>
      </c>
      <c r="L877" s="10">
        <v>5606.8501225639693</v>
      </c>
      <c r="O877" s="14">
        <v>7.0750191629850097</v>
      </c>
      <c r="P877" s="10">
        <v>9733.469308210184</v>
      </c>
      <c r="R877" s="19">
        <f t="shared" si="96"/>
        <v>0.8238934262169515</v>
      </c>
      <c r="S877" s="23">
        <f t="shared" si="97"/>
        <v>4126.6191856462146</v>
      </c>
      <c r="U877" s="23">
        <f t="shared" si="98"/>
        <v>5008.680800615557</v>
      </c>
      <c r="AA877" s="18">
        <f t="shared" si="99"/>
        <v>1</v>
      </c>
      <c r="AF877" s="23">
        <f t="shared" si="100"/>
        <v>37068.052125201357</v>
      </c>
      <c r="AL877" s="18">
        <f t="shared" si="101"/>
        <v>1</v>
      </c>
    </row>
    <row r="878" spans="9:38" x14ac:dyDescent="0.2">
      <c r="I878" s="4">
        <v>871</v>
      </c>
      <c r="K878" s="14">
        <v>7.2427812909860894</v>
      </c>
      <c r="L878" s="10">
        <v>7588.4718689178899</v>
      </c>
      <c r="O878" s="14">
        <v>7.1193660890724679</v>
      </c>
      <c r="P878" s="10">
        <v>10012.710737966374</v>
      </c>
      <c r="R878" s="19">
        <f t="shared" si="96"/>
        <v>-0.12341520191362143</v>
      </c>
      <c r="S878" s="23">
        <f t="shared" si="97"/>
        <v>2424.238869048484</v>
      </c>
      <c r="U878" s="23">
        <f t="shared" si="98"/>
        <v>-19642.951852440463</v>
      </c>
      <c r="AA878" s="18">
        <f t="shared" si="99"/>
        <v>0</v>
      </c>
      <c r="AF878" s="23">
        <f t="shared" si="100"/>
        <v>-8594.9989647295552</v>
      </c>
      <c r="AL878" s="18">
        <f t="shared" si="101"/>
        <v>0</v>
      </c>
    </row>
    <row r="879" spans="9:38" x14ac:dyDescent="0.2">
      <c r="I879" s="4">
        <v>872</v>
      </c>
      <c r="K879" s="14">
        <v>6.4389049369845921</v>
      </c>
      <c r="L879" s="10">
        <v>7141.9852157446394</v>
      </c>
      <c r="O879" s="14">
        <v>7.6150493570191804</v>
      </c>
      <c r="P879" s="10">
        <v>10673.958201565158</v>
      </c>
      <c r="R879" s="19">
        <f t="shared" si="96"/>
        <v>1.1761444200345883</v>
      </c>
      <c r="S879" s="23">
        <f t="shared" si="97"/>
        <v>3531.9729858205183</v>
      </c>
      <c r="U879" s="23">
        <f t="shared" si="98"/>
        <v>3003.0096012500312</v>
      </c>
      <c r="AA879" s="18">
        <f t="shared" si="99"/>
        <v>1</v>
      </c>
      <c r="AF879" s="23">
        <f t="shared" si="100"/>
        <v>55275.248015908895</v>
      </c>
      <c r="AL879" s="18">
        <f t="shared" si="101"/>
        <v>1</v>
      </c>
    </row>
    <row r="880" spans="9:38" x14ac:dyDescent="0.2">
      <c r="I880" s="4">
        <v>873</v>
      </c>
      <c r="K880" s="14">
        <v>6.3409585173826395</v>
      </c>
      <c r="L880" s="10">
        <v>6031.7838822062886</v>
      </c>
      <c r="O880" s="14">
        <v>7.0886286152658693</v>
      </c>
      <c r="P880" s="10">
        <v>10038.957489121571</v>
      </c>
      <c r="R880" s="19">
        <f t="shared" si="96"/>
        <v>0.7476700978832298</v>
      </c>
      <c r="S880" s="23">
        <f t="shared" si="97"/>
        <v>4007.1736069152821</v>
      </c>
      <c r="U880" s="23">
        <f t="shared" si="98"/>
        <v>5359.5477714839917</v>
      </c>
      <c r="AA880" s="18">
        <f t="shared" si="99"/>
        <v>1</v>
      </c>
      <c r="AF880" s="23">
        <f t="shared" si="100"/>
        <v>33376.331287246205</v>
      </c>
      <c r="AL880" s="18">
        <f t="shared" si="101"/>
        <v>1</v>
      </c>
    </row>
    <row r="881" spans="9:38" x14ac:dyDescent="0.2">
      <c r="I881" s="4">
        <v>874</v>
      </c>
      <c r="K881" s="14">
        <v>6.7241659119390986</v>
      </c>
      <c r="L881" s="10">
        <v>5821.8604188335394</v>
      </c>
      <c r="O881" s="14">
        <v>7.3919283434324985</v>
      </c>
      <c r="P881" s="10">
        <v>9762.0593953399984</v>
      </c>
      <c r="R881" s="19">
        <f t="shared" si="96"/>
        <v>0.66776243149339987</v>
      </c>
      <c r="S881" s="23">
        <f t="shared" si="97"/>
        <v>3940.1989765064591</v>
      </c>
      <c r="U881" s="23">
        <f t="shared" si="98"/>
        <v>5900.5999599206325</v>
      </c>
      <c r="AA881" s="18">
        <f t="shared" si="99"/>
        <v>1</v>
      </c>
      <c r="AF881" s="23">
        <f t="shared" si="100"/>
        <v>29447.922598163539</v>
      </c>
      <c r="AL881" s="18">
        <f t="shared" si="101"/>
        <v>1</v>
      </c>
    </row>
    <row r="882" spans="9:38" x14ac:dyDescent="0.2">
      <c r="I882" s="4">
        <v>875</v>
      </c>
      <c r="K882" s="14">
        <v>6.4207009886269217</v>
      </c>
      <c r="L882" s="10">
        <v>6739.2082735561298</v>
      </c>
      <c r="O882" s="14">
        <v>6.7051528321945497</v>
      </c>
      <c r="P882" s="10">
        <v>10195.362790909478</v>
      </c>
      <c r="R882" s="19">
        <f t="shared" si="96"/>
        <v>0.28445184356762798</v>
      </c>
      <c r="S882" s="23">
        <f t="shared" si="97"/>
        <v>3456.1545173533477</v>
      </c>
      <c r="U882" s="23">
        <f t="shared" si="98"/>
        <v>12150.227166770506</v>
      </c>
      <c r="AA882" s="18">
        <f t="shared" si="99"/>
        <v>1</v>
      </c>
      <c r="AF882" s="23">
        <f t="shared" si="100"/>
        <v>10766.437661028052</v>
      </c>
      <c r="AL882" s="18">
        <f t="shared" si="101"/>
        <v>1</v>
      </c>
    </row>
    <row r="883" spans="9:38" x14ac:dyDescent="0.2">
      <c r="I883" s="4">
        <v>876</v>
      </c>
      <c r="K883" s="14">
        <v>6.7001322194433968</v>
      </c>
      <c r="L883" s="10">
        <v>7914.9697542445874</v>
      </c>
      <c r="O883" s="14">
        <v>7.1777856262087107</v>
      </c>
      <c r="P883" s="10">
        <v>9613.0628548479344</v>
      </c>
      <c r="R883" s="19">
        <f t="shared" si="96"/>
        <v>0.47765340676531398</v>
      </c>
      <c r="S883" s="23">
        <f t="shared" si="97"/>
        <v>1698.093100603347</v>
      </c>
      <c r="U883" s="23">
        <f t="shared" si="98"/>
        <v>3555.0737764080745</v>
      </c>
      <c r="AA883" s="18">
        <f t="shared" si="99"/>
        <v>1</v>
      </c>
      <c r="AF883" s="23">
        <f t="shared" si="100"/>
        <v>22184.577237662354</v>
      </c>
      <c r="AL883" s="18">
        <f t="shared" si="101"/>
        <v>1</v>
      </c>
    </row>
    <row r="884" spans="9:38" x14ac:dyDescent="0.2">
      <c r="I884" s="4">
        <v>877</v>
      </c>
      <c r="K884" s="14">
        <v>6.7025243936922561</v>
      </c>
      <c r="L884" s="10">
        <v>5615.2846191697618</v>
      </c>
      <c r="O884" s="14">
        <v>7.0936523079212215</v>
      </c>
      <c r="P884" s="10">
        <v>9990.7076911760178</v>
      </c>
      <c r="R884" s="19">
        <f t="shared" si="96"/>
        <v>0.39112791422896542</v>
      </c>
      <c r="S884" s="23">
        <f t="shared" si="97"/>
        <v>4375.423072006256</v>
      </c>
      <c r="U884" s="23">
        <f t="shared" si="98"/>
        <v>11186.680655691818</v>
      </c>
      <c r="AA884" s="18">
        <f t="shared" si="99"/>
        <v>1</v>
      </c>
      <c r="AF884" s="23">
        <f t="shared" si="100"/>
        <v>15180.972639442018</v>
      </c>
      <c r="AL884" s="18">
        <f t="shared" si="101"/>
        <v>1</v>
      </c>
    </row>
    <row r="885" spans="9:38" x14ac:dyDescent="0.2">
      <c r="I885" s="4">
        <v>878</v>
      </c>
      <c r="K885" s="14">
        <v>6.1275655727308616</v>
      </c>
      <c r="L885" s="10">
        <v>7742.9078573523448</v>
      </c>
      <c r="O885" s="14">
        <v>7.3353898659462491</v>
      </c>
      <c r="P885" s="10">
        <v>9913.5956065276569</v>
      </c>
      <c r="R885" s="19">
        <f t="shared" si="96"/>
        <v>1.2078242932153875</v>
      </c>
      <c r="S885" s="23">
        <f t="shared" si="97"/>
        <v>2170.6877491753121</v>
      </c>
      <c r="U885" s="23">
        <f t="shared" si="98"/>
        <v>1797.1883504649961</v>
      </c>
      <c r="AA885" s="18">
        <f t="shared" si="99"/>
        <v>1</v>
      </c>
      <c r="AF885" s="23">
        <f t="shared" si="100"/>
        <v>58220.526911594068</v>
      </c>
      <c r="AL885" s="18">
        <f t="shared" si="101"/>
        <v>1</v>
      </c>
    </row>
    <row r="886" spans="9:38" x14ac:dyDescent="0.2">
      <c r="I886" s="4">
        <v>879</v>
      </c>
      <c r="K886" s="14">
        <v>6.614303377830951</v>
      </c>
      <c r="L886" s="10">
        <v>7089.8566617893202</v>
      </c>
      <c r="O886" s="14">
        <v>7.2282981026817943</v>
      </c>
      <c r="P886" s="10">
        <v>9723.4649271441176</v>
      </c>
      <c r="R886" s="19">
        <f t="shared" si="96"/>
        <v>0.61399472485084328</v>
      </c>
      <c r="S886" s="23">
        <f t="shared" si="97"/>
        <v>2633.6082653547974</v>
      </c>
      <c r="U886" s="23">
        <f t="shared" si="98"/>
        <v>4289.3011271303276</v>
      </c>
      <c r="AA886" s="18">
        <f t="shared" si="99"/>
        <v>1</v>
      </c>
      <c r="AF886" s="23">
        <f t="shared" si="100"/>
        <v>28066.127977187367</v>
      </c>
      <c r="AL886" s="18">
        <f t="shared" si="101"/>
        <v>1</v>
      </c>
    </row>
    <row r="887" spans="9:38" x14ac:dyDescent="0.2">
      <c r="I887" s="4">
        <v>880</v>
      </c>
      <c r="K887" s="14">
        <v>6.6856580870893767</v>
      </c>
      <c r="L887" s="10">
        <v>6870.0125832401191</v>
      </c>
      <c r="O887" s="14">
        <v>7.6990505095278285</v>
      </c>
      <c r="P887" s="10">
        <v>10138.40066420282</v>
      </c>
      <c r="R887" s="19">
        <f t="shared" si="96"/>
        <v>1.0133924224384518</v>
      </c>
      <c r="S887" s="23">
        <f t="shared" si="97"/>
        <v>3268.3880809627008</v>
      </c>
      <c r="U887" s="23">
        <f t="shared" si="98"/>
        <v>3225.1949083043451</v>
      </c>
      <c r="AA887" s="18">
        <f t="shared" si="99"/>
        <v>1</v>
      </c>
      <c r="AF887" s="23">
        <f t="shared" si="100"/>
        <v>47401.233040959894</v>
      </c>
      <c r="AL887" s="18">
        <f t="shared" si="101"/>
        <v>1</v>
      </c>
    </row>
    <row r="888" spans="9:38" x14ac:dyDescent="0.2">
      <c r="I888" s="4">
        <v>881</v>
      </c>
      <c r="K888" s="14">
        <v>6.6858763322279513</v>
      </c>
      <c r="L888" s="10">
        <v>6854.5445233436303</v>
      </c>
      <c r="O888" s="14">
        <v>7.1888368134473941</v>
      </c>
      <c r="P888" s="10">
        <v>9336.905651918818</v>
      </c>
      <c r="R888" s="19">
        <f t="shared" si="96"/>
        <v>0.50296048121944281</v>
      </c>
      <c r="S888" s="23">
        <f t="shared" si="97"/>
        <v>2482.3611285751876</v>
      </c>
      <c r="U888" s="23">
        <f t="shared" si="98"/>
        <v>4935.4993508766902</v>
      </c>
      <c r="AA888" s="18">
        <f t="shared" si="99"/>
        <v>1</v>
      </c>
      <c r="AF888" s="23">
        <f t="shared" si="100"/>
        <v>22665.662932396954</v>
      </c>
      <c r="AL888" s="18">
        <f t="shared" si="101"/>
        <v>1</v>
      </c>
    </row>
    <row r="889" spans="9:38" x14ac:dyDescent="0.2">
      <c r="I889" s="4">
        <v>882</v>
      </c>
      <c r="K889" s="14">
        <v>6.5287374938199152</v>
      </c>
      <c r="L889" s="10">
        <v>8145.6169369305935</v>
      </c>
      <c r="O889" s="14">
        <v>7.2754371692449276</v>
      </c>
      <c r="P889" s="10">
        <v>10418.121512629405</v>
      </c>
      <c r="R889" s="19">
        <f t="shared" si="96"/>
        <v>0.74669967542501237</v>
      </c>
      <c r="S889" s="23">
        <f t="shared" si="97"/>
        <v>2272.5045756988111</v>
      </c>
      <c r="U889" s="23">
        <f t="shared" si="98"/>
        <v>3043.3983708447831</v>
      </c>
      <c r="AA889" s="18">
        <f t="shared" si="99"/>
        <v>1</v>
      </c>
      <c r="AF889" s="23">
        <f t="shared" si="100"/>
        <v>35062.479195551809</v>
      </c>
      <c r="AL889" s="18">
        <f t="shared" si="101"/>
        <v>1</v>
      </c>
    </row>
    <row r="890" spans="9:38" x14ac:dyDescent="0.2">
      <c r="I890" s="4">
        <v>883</v>
      </c>
      <c r="K890" s="14">
        <v>6.1880838681663146</v>
      </c>
      <c r="L890" s="10">
        <v>8114.8876054973862</v>
      </c>
      <c r="O890" s="14">
        <v>6.8603738433749468</v>
      </c>
      <c r="P890" s="10">
        <v>9746.9278806384336</v>
      </c>
      <c r="R890" s="19">
        <f t="shared" si="96"/>
        <v>0.67228997520863221</v>
      </c>
      <c r="S890" s="23">
        <f t="shared" si="97"/>
        <v>1632.0402751410475</v>
      </c>
      <c r="U890" s="23">
        <f t="shared" si="98"/>
        <v>2427.5838333519332</v>
      </c>
      <c r="AA890" s="18">
        <f t="shared" si="99"/>
        <v>1</v>
      </c>
      <c r="AF890" s="23">
        <f t="shared" si="100"/>
        <v>31982.458485290565</v>
      </c>
      <c r="AL890" s="18">
        <f t="shared" si="101"/>
        <v>1</v>
      </c>
    </row>
    <row r="891" spans="9:38" x14ac:dyDescent="0.2">
      <c r="I891" s="4">
        <v>884</v>
      </c>
      <c r="K891" s="14">
        <v>6.3508936481683511</v>
      </c>
      <c r="L891" s="10">
        <v>5756.9182058762435</v>
      </c>
      <c r="O891" s="14">
        <v>6.7786285465156206</v>
      </c>
      <c r="P891" s="10">
        <v>9656.4482528696371</v>
      </c>
      <c r="R891" s="19">
        <f t="shared" si="96"/>
        <v>0.42773489834726952</v>
      </c>
      <c r="S891" s="23">
        <f t="shared" si="97"/>
        <v>3899.5300469933936</v>
      </c>
      <c r="U891" s="23">
        <f t="shared" si="98"/>
        <v>9116.698361674109</v>
      </c>
      <c r="AA891" s="18">
        <f t="shared" si="99"/>
        <v>1</v>
      </c>
      <c r="AF891" s="23">
        <f t="shared" si="100"/>
        <v>17487.214870370084</v>
      </c>
      <c r="AL891" s="18">
        <f t="shared" si="101"/>
        <v>1</v>
      </c>
    </row>
    <row r="892" spans="9:38" x14ac:dyDescent="0.2">
      <c r="I892" s="4">
        <v>885</v>
      </c>
      <c r="K892" s="14">
        <v>6.2341836496867007</v>
      </c>
      <c r="L892" s="10">
        <v>6676.8536631469697</v>
      </c>
      <c r="O892" s="14">
        <v>6.8272773550293904</v>
      </c>
      <c r="P892" s="10">
        <v>9301.8934268575013</v>
      </c>
      <c r="R892" s="19">
        <f t="shared" si="96"/>
        <v>0.59309370534268968</v>
      </c>
      <c r="S892" s="23">
        <f t="shared" si="97"/>
        <v>2625.0397637105316</v>
      </c>
      <c r="U892" s="23">
        <f t="shared" si="98"/>
        <v>4426.0118427555781</v>
      </c>
      <c r="AA892" s="18">
        <f t="shared" si="99"/>
        <v>1</v>
      </c>
      <c r="AF892" s="23">
        <f t="shared" si="100"/>
        <v>27029.645503423952</v>
      </c>
      <c r="AL892" s="18">
        <f t="shared" si="101"/>
        <v>1</v>
      </c>
    </row>
    <row r="893" spans="9:38" x14ac:dyDescent="0.2">
      <c r="I893" s="4">
        <v>886</v>
      </c>
      <c r="K893" s="14">
        <v>6.2865137076226718</v>
      </c>
      <c r="L893" s="10">
        <v>6946.3541267805094</v>
      </c>
      <c r="O893" s="14">
        <v>6.9949638076348766</v>
      </c>
      <c r="P893" s="10">
        <v>9417.2998057725781</v>
      </c>
      <c r="R893" s="19">
        <f t="shared" si="96"/>
        <v>0.70845010001220476</v>
      </c>
      <c r="S893" s="23">
        <f t="shared" si="97"/>
        <v>2470.9456789920687</v>
      </c>
      <c r="U893" s="23">
        <f t="shared" si="98"/>
        <v>3487.8189429989502</v>
      </c>
      <c r="AA893" s="18">
        <f t="shared" si="99"/>
        <v>1</v>
      </c>
      <c r="AF893" s="23">
        <f t="shared" si="100"/>
        <v>32951.559321618173</v>
      </c>
      <c r="AL893" s="18">
        <f t="shared" si="101"/>
        <v>1</v>
      </c>
    </row>
    <row r="894" spans="9:38" x14ac:dyDescent="0.2">
      <c r="I894" s="4">
        <v>887</v>
      </c>
      <c r="K894" s="14">
        <v>6.0922988354895748</v>
      </c>
      <c r="L894" s="10">
        <v>8053.3793430931892</v>
      </c>
      <c r="O894" s="14">
        <v>6.911771019245041</v>
      </c>
      <c r="P894" s="10">
        <v>9253.0709665328832</v>
      </c>
      <c r="R894" s="19">
        <f t="shared" si="96"/>
        <v>0.81947218375546615</v>
      </c>
      <c r="S894" s="23">
        <f t="shared" si="97"/>
        <v>1199.691623439694</v>
      </c>
      <c r="U894" s="23">
        <f t="shared" si="98"/>
        <v>1463.9808979747957</v>
      </c>
      <c r="AA894" s="18">
        <f t="shared" si="99"/>
        <v>1</v>
      </c>
      <c r="AF894" s="23">
        <f t="shared" si="100"/>
        <v>39773.917564333613</v>
      </c>
      <c r="AL894" s="18">
        <f t="shared" si="101"/>
        <v>1</v>
      </c>
    </row>
    <row r="895" spans="9:38" x14ac:dyDescent="0.2">
      <c r="I895" s="4">
        <v>888</v>
      </c>
      <c r="K895" s="14">
        <v>6.3983845475752492</v>
      </c>
      <c r="L895" s="10">
        <v>5733.6911527535203</v>
      </c>
      <c r="O895" s="14">
        <v>7.2090540144999817</v>
      </c>
      <c r="P895" s="10">
        <v>9313.6991394375582</v>
      </c>
      <c r="R895" s="19">
        <f t="shared" si="96"/>
        <v>0.81066946692473252</v>
      </c>
      <c r="S895" s="23">
        <f t="shared" si="97"/>
        <v>3580.0079866840379</v>
      </c>
      <c r="U895" s="23">
        <f t="shared" si="98"/>
        <v>4416.1130186199889</v>
      </c>
      <c r="AA895" s="18">
        <f t="shared" si="99"/>
        <v>1</v>
      </c>
      <c r="AF895" s="23">
        <f t="shared" si="100"/>
        <v>36953.465359552589</v>
      </c>
      <c r="AL895" s="18">
        <f t="shared" si="101"/>
        <v>1</v>
      </c>
    </row>
    <row r="896" spans="9:38" x14ac:dyDescent="0.2">
      <c r="I896" s="4">
        <v>889</v>
      </c>
      <c r="K896" s="14">
        <v>6.4400826397132116</v>
      </c>
      <c r="L896" s="10">
        <v>6817.7180300434084</v>
      </c>
      <c r="O896" s="14">
        <v>7.5637418660794227</v>
      </c>
      <c r="P896" s="10">
        <v>9995.2033818508571</v>
      </c>
      <c r="R896" s="19">
        <f t="shared" si="96"/>
        <v>1.1236592263662111</v>
      </c>
      <c r="S896" s="23">
        <f t="shared" si="97"/>
        <v>3177.4853518074488</v>
      </c>
      <c r="U896" s="23">
        <f t="shared" si="98"/>
        <v>2827.8015943348614</v>
      </c>
      <c r="AA896" s="18">
        <f t="shared" si="99"/>
        <v>1</v>
      </c>
      <c r="AF896" s="23">
        <f t="shared" si="100"/>
        <v>53005.475966503102</v>
      </c>
      <c r="AL896" s="18">
        <f t="shared" si="101"/>
        <v>1</v>
      </c>
    </row>
    <row r="897" spans="9:38" x14ac:dyDescent="0.2">
      <c r="I897" s="4">
        <v>890</v>
      </c>
      <c r="K897" s="14">
        <v>6.6650048286926973</v>
      </c>
      <c r="L897" s="10">
        <v>7628.062469724503</v>
      </c>
      <c r="O897" s="14">
        <v>7.0504848458490814</v>
      </c>
      <c r="P897" s="10">
        <v>9322.1184797009573</v>
      </c>
      <c r="R897" s="19">
        <f t="shared" si="96"/>
        <v>0.38548001715638414</v>
      </c>
      <c r="S897" s="23">
        <f t="shared" si="97"/>
        <v>1694.0560099764543</v>
      </c>
      <c r="U897" s="23">
        <f t="shared" si="98"/>
        <v>4394.6662202445586</v>
      </c>
      <c r="AA897" s="18">
        <f t="shared" si="99"/>
        <v>1</v>
      </c>
      <c r="AF897" s="23">
        <f t="shared" si="100"/>
        <v>17579.944847842751</v>
      </c>
      <c r="AL897" s="18">
        <f t="shared" si="101"/>
        <v>1</v>
      </c>
    </row>
    <row r="898" spans="9:38" x14ac:dyDescent="0.2">
      <c r="I898" s="4">
        <v>891</v>
      </c>
      <c r="K898" s="14">
        <v>6.2650295650502503</v>
      </c>
      <c r="L898" s="10">
        <v>5783.3115326051848</v>
      </c>
      <c r="O898" s="14">
        <v>6.8086327351557214</v>
      </c>
      <c r="P898" s="10">
        <v>9144.1610268115073</v>
      </c>
      <c r="R898" s="19">
        <f t="shared" si="96"/>
        <v>0.5436031701054711</v>
      </c>
      <c r="S898" s="23">
        <f t="shared" si="97"/>
        <v>3360.8494942063226</v>
      </c>
      <c r="U898" s="23">
        <f t="shared" si="98"/>
        <v>6182.542117173899</v>
      </c>
      <c r="AA898" s="18">
        <f t="shared" si="99"/>
        <v>1</v>
      </c>
      <c r="AF898" s="23">
        <f t="shared" si="100"/>
        <v>23819.309011067231</v>
      </c>
      <c r="AL898" s="18">
        <f t="shared" si="101"/>
        <v>1</v>
      </c>
    </row>
    <row r="899" spans="9:38" x14ac:dyDescent="0.2">
      <c r="I899" s="4">
        <v>892</v>
      </c>
      <c r="K899" s="14">
        <v>6.3138043011187399</v>
      </c>
      <c r="L899" s="10">
        <v>6816.3365140184014</v>
      </c>
      <c r="O899" s="14">
        <v>7.0274885492837917</v>
      </c>
      <c r="P899" s="10">
        <v>9625.781145204397</v>
      </c>
      <c r="R899" s="19">
        <f t="shared" si="96"/>
        <v>0.71368424816505183</v>
      </c>
      <c r="S899" s="23">
        <f t="shared" si="97"/>
        <v>2809.4446311859956</v>
      </c>
      <c r="U899" s="23">
        <f t="shared" si="98"/>
        <v>3936.537254968619</v>
      </c>
      <c r="AA899" s="18">
        <f t="shared" si="99"/>
        <v>1</v>
      </c>
      <c r="AF899" s="23">
        <f t="shared" si="100"/>
        <v>32874.767777066598</v>
      </c>
      <c r="AL899" s="18">
        <f t="shared" si="101"/>
        <v>1</v>
      </c>
    </row>
    <row r="900" spans="9:38" x14ac:dyDescent="0.2">
      <c r="I900" s="4">
        <v>893</v>
      </c>
      <c r="K900" s="14">
        <v>6.5153598720923682</v>
      </c>
      <c r="L900" s="10">
        <v>7259.8396482730177</v>
      </c>
      <c r="O900" s="14">
        <v>6.9606298801780406</v>
      </c>
      <c r="P900" s="10">
        <v>9378.769619906745</v>
      </c>
      <c r="R900" s="19">
        <f t="shared" si="96"/>
        <v>0.44527000808567241</v>
      </c>
      <c r="S900" s="23">
        <f t="shared" si="97"/>
        <v>2118.9299716337273</v>
      </c>
      <c r="U900" s="23">
        <f t="shared" si="98"/>
        <v>4758.7529659667389</v>
      </c>
      <c r="AA900" s="18">
        <f t="shared" si="99"/>
        <v>1</v>
      </c>
      <c r="AF900" s="23">
        <f t="shared" si="100"/>
        <v>20144.570432649893</v>
      </c>
      <c r="AL900" s="18">
        <f t="shared" si="101"/>
        <v>1</v>
      </c>
    </row>
    <row r="901" spans="9:38" x14ac:dyDescent="0.2">
      <c r="I901" s="4">
        <v>894</v>
      </c>
      <c r="K901" s="14">
        <v>6.2771417863879115</v>
      </c>
      <c r="L901" s="10">
        <v>5884.0597249474249</v>
      </c>
      <c r="O901" s="14">
        <v>7.6767502043924916</v>
      </c>
      <c r="P901" s="10">
        <v>9987.7643757831265</v>
      </c>
      <c r="R901" s="19">
        <f t="shared" si="96"/>
        <v>1.39960841800458</v>
      </c>
      <c r="S901" s="23">
        <f t="shared" si="97"/>
        <v>4103.7046508357016</v>
      </c>
      <c r="U901" s="23">
        <f t="shared" si="98"/>
        <v>2932.0377028643111</v>
      </c>
      <c r="AA901" s="18">
        <f t="shared" si="99"/>
        <v>1</v>
      </c>
      <c r="AF901" s="23">
        <f t="shared" si="100"/>
        <v>65876.716249393299</v>
      </c>
      <c r="AL901" s="18">
        <f t="shared" si="101"/>
        <v>1</v>
      </c>
    </row>
    <row r="902" spans="9:38" x14ac:dyDescent="0.2">
      <c r="I902" s="4">
        <v>895</v>
      </c>
      <c r="K902" s="14">
        <v>7.1206237739845406</v>
      </c>
      <c r="L902" s="10">
        <v>6139.3075810663004</v>
      </c>
      <c r="O902" s="14">
        <v>6.9359766743144666</v>
      </c>
      <c r="P902" s="10">
        <v>10097.269154555124</v>
      </c>
      <c r="R902" s="19">
        <f t="shared" si="96"/>
        <v>-0.18464709967007398</v>
      </c>
      <c r="S902" s="23">
        <f t="shared" si="97"/>
        <v>3957.9615734888239</v>
      </c>
      <c r="U902" s="23">
        <f t="shared" si="98"/>
        <v>-21435.27615955452</v>
      </c>
      <c r="AA902" s="18">
        <f t="shared" si="99"/>
        <v>0</v>
      </c>
      <c r="AF902" s="23">
        <f t="shared" si="100"/>
        <v>-13190.316556992522</v>
      </c>
      <c r="AL902" s="18">
        <f t="shared" si="101"/>
        <v>0</v>
      </c>
    </row>
    <row r="903" spans="9:38" x14ac:dyDescent="0.2">
      <c r="I903" s="4">
        <v>896</v>
      </c>
      <c r="K903" s="14">
        <v>6.341935833362041</v>
      </c>
      <c r="L903" s="10">
        <v>7435.7494686384871</v>
      </c>
      <c r="O903" s="14">
        <v>6.9055315072460441</v>
      </c>
      <c r="P903" s="10">
        <v>9030.8118056246767</v>
      </c>
      <c r="R903" s="19">
        <f t="shared" si="96"/>
        <v>0.56359567388400311</v>
      </c>
      <c r="S903" s="23">
        <f t="shared" si="97"/>
        <v>1595.0623369861896</v>
      </c>
      <c r="U903" s="23">
        <f t="shared" si="98"/>
        <v>2830.1536205802718</v>
      </c>
      <c r="AA903" s="18">
        <f t="shared" si="99"/>
        <v>1</v>
      </c>
      <c r="AF903" s="23">
        <f t="shared" si="100"/>
        <v>26584.721357213966</v>
      </c>
      <c r="AL903" s="18">
        <f t="shared" si="101"/>
        <v>1</v>
      </c>
    </row>
    <row r="904" spans="9:38" x14ac:dyDescent="0.2">
      <c r="I904" s="4">
        <v>897</v>
      </c>
      <c r="K904" s="14">
        <v>6.6470677676292187</v>
      </c>
      <c r="L904" s="10">
        <v>7872.9039271142765</v>
      </c>
      <c r="O904" s="14">
        <v>7.3759528892633082</v>
      </c>
      <c r="P904" s="10">
        <v>9745.6335906651693</v>
      </c>
      <c r="R904" s="19">
        <f t="shared" ref="R904:R967" si="102">O904-K904</f>
        <v>0.72888512163408947</v>
      </c>
      <c r="S904" s="23">
        <f t="shared" ref="S904:S967" si="103">P904-L904</f>
        <v>1872.7296635508928</v>
      </c>
      <c r="U904" s="23">
        <f t="shared" ref="U904:U967" si="104">S904/R904</f>
        <v>2569.3070251625049</v>
      </c>
      <c r="AA904" s="18">
        <f t="shared" ref="AA904:AA967" si="105">IF(R904&lt;0,IF(U904&lt;Rc_,0,1),IF(U904&lt;Rc_,1,0))</f>
        <v>1</v>
      </c>
      <c r="AF904" s="23">
        <f t="shared" ref="AF904:AF967" si="106">R904*Rc_-S904</f>
        <v>34571.526418153582</v>
      </c>
      <c r="AL904" s="18">
        <f t="shared" ref="AL904:AL967" si="107">IF(AF904&gt;0,1,0)</f>
        <v>1</v>
      </c>
    </row>
    <row r="905" spans="9:38" x14ac:dyDescent="0.2">
      <c r="I905" s="4">
        <v>898</v>
      </c>
      <c r="K905" s="14">
        <v>6.3166465909758402</v>
      </c>
      <c r="L905" s="10">
        <v>6278.9620254585207</v>
      </c>
      <c r="O905" s="14">
        <v>7.7442155292712291</v>
      </c>
      <c r="P905" s="10">
        <v>10305.061367782931</v>
      </c>
      <c r="R905" s="19">
        <f t="shared" si="102"/>
        <v>1.4275689382953889</v>
      </c>
      <c r="S905" s="23">
        <f t="shared" si="103"/>
        <v>4026.0993423244108</v>
      </c>
      <c r="U905" s="23">
        <f t="shared" si="104"/>
        <v>2820.2486299063344</v>
      </c>
      <c r="AA905" s="18">
        <f t="shared" si="105"/>
        <v>1</v>
      </c>
      <c r="AF905" s="23">
        <f t="shared" si="106"/>
        <v>67352.34757244504</v>
      </c>
      <c r="AL905" s="18">
        <f t="shared" si="107"/>
        <v>1</v>
      </c>
    </row>
    <row r="906" spans="9:38" x14ac:dyDescent="0.2">
      <c r="I906" s="4">
        <v>899</v>
      </c>
      <c r="K906" s="14">
        <v>6.324168646716422</v>
      </c>
      <c r="L906" s="10">
        <v>6287.4500962228021</v>
      </c>
      <c r="O906" s="14">
        <v>6.9264490564337935</v>
      </c>
      <c r="P906" s="10">
        <v>9402.9666856198728</v>
      </c>
      <c r="R906" s="19">
        <f t="shared" si="102"/>
        <v>0.60228040971737151</v>
      </c>
      <c r="S906" s="23">
        <f t="shared" si="103"/>
        <v>3115.5165893970707</v>
      </c>
      <c r="U906" s="23">
        <f t="shared" si="104"/>
        <v>5172.8672211986277</v>
      </c>
      <c r="AA906" s="18">
        <f t="shared" si="105"/>
        <v>1</v>
      </c>
      <c r="AF906" s="23">
        <f t="shared" si="106"/>
        <v>26998.503896471506</v>
      </c>
      <c r="AL906" s="18">
        <f t="shared" si="107"/>
        <v>1</v>
      </c>
    </row>
    <row r="907" spans="9:38" x14ac:dyDescent="0.2">
      <c r="I907" s="4">
        <v>900</v>
      </c>
      <c r="K907" s="14">
        <v>5.9280643570938203</v>
      </c>
      <c r="L907" s="10">
        <v>6791.9444678918881</v>
      </c>
      <c r="O907" s="14">
        <v>7.3075067579467792</v>
      </c>
      <c r="P907" s="10">
        <v>9421.2001145335325</v>
      </c>
      <c r="R907" s="19">
        <f t="shared" si="102"/>
        <v>1.3794424008529589</v>
      </c>
      <c r="S907" s="23">
        <f t="shared" si="103"/>
        <v>2629.2556466416445</v>
      </c>
      <c r="U907" s="23">
        <f t="shared" si="104"/>
        <v>1906.0278595292425</v>
      </c>
      <c r="AA907" s="18">
        <f t="shared" si="105"/>
        <v>1</v>
      </c>
      <c r="AF907" s="23">
        <f t="shared" si="106"/>
        <v>66342.864396006305</v>
      </c>
      <c r="AL907" s="18">
        <f t="shared" si="107"/>
        <v>1</v>
      </c>
    </row>
    <row r="908" spans="9:38" x14ac:dyDescent="0.2">
      <c r="I908" s="4">
        <v>901</v>
      </c>
      <c r="K908" s="14">
        <v>5.9757894858195648</v>
      </c>
      <c r="L908" s="10">
        <v>7384.9593728116897</v>
      </c>
      <c r="O908" s="14">
        <v>7.2176972718984764</v>
      </c>
      <c r="P908" s="10">
        <v>9903.4981353385774</v>
      </c>
      <c r="R908" s="19">
        <f t="shared" si="102"/>
        <v>1.2419077860789116</v>
      </c>
      <c r="S908" s="23">
        <f t="shared" si="103"/>
        <v>2518.5387625268877</v>
      </c>
      <c r="U908" s="23">
        <f t="shared" si="104"/>
        <v>2027.9595560622872</v>
      </c>
      <c r="AA908" s="18">
        <f t="shared" si="105"/>
        <v>1</v>
      </c>
      <c r="AF908" s="23">
        <f t="shared" si="106"/>
        <v>59576.850541418695</v>
      </c>
      <c r="AL908" s="18">
        <f t="shared" si="107"/>
        <v>1</v>
      </c>
    </row>
    <row r="909" spans="9:38" x14ac:dyDescent="0.2">
      <c r="I909" s="4">
        <v>902</v>
      </c>
      <c r="K909" s="14">
        <v>6.7132022025671425</v>
      </c>
      <c r="L909" s="10">
        <v>8737.3354982926412</v>
      </c>
      <c r="O909" s="14">
        <v>7.3376235494298614</v>
      </c>
      <c r="P909" s="10">
        <v>8875.877574766997</v>
      </c>
      <c r="R909" s="19">
        <f t="shared" si="102"/>
        <v>0.62442134686271888</v>
      </c>
      <c r="S909" s="23">
        <f t="shared" si="103"/>
        <v>138.54207647435578</v>
      </c>
      <c r="U909" s="23">
        <f t="shared" si="104"/>
        <v>221.87274213226846</v>
      </c>
      <c r="AA909" s="18">
        <f t="shared" si="105"/>
        <v>1</v>
      </c>
      <c r="AF909" s="23">
        <f t="shared" si="106"/>
        <v>31082.525266661585</v>
      </c>
      <c r="AL909" s="18">
        <f t="shared" si="107"/>
        <v>1</v>
      </c>
    </row>
    <row r="910" spans="9:38" x14ac:dyDescent="0.2">
      <c r="I910" s="4">
        <v>903</v>
      </c>
      <c r="K910" s="14">
        <v>6.7723438907246472</v>
      </c>
      <c r="L910" s="10">
        <v>5926.5239585581967</v>
      </c>
      <c r="O910" s="14">
        <v>6.4991356047477726</v>
      </c>
      <c r="P910" s="10">
        <v>9323.7849334258644</v>
      </c>
      <c r="R910" s="19">
        <f t="shared" si="102"/>
        <v>-0.27320828597687452</v>
      </c>
      <c r="S910" s="23">
        <f t="shared" si="103"/>
        <v>3397.2609748676678</v>
      </c>
      <c r="U910" s="23">
        <f t="shared" si="104"/>
        <v>-12434.692318062513</v>
      </c>
      <c r="AA910" s="18">
        <f t="shared" si="105"/>
        <v>0</v>
      </c>
      <c r="AF910" s="23">
        <f t="shared" si="106"/>
        <v>-17057.675273711393</v>
      </c>
      <c r="AL910" s="18">
        <f t="shared" si="107"/>
        <v>0</v>
      </c>
    </row>
    <row r="911" spans="9:38" x14ac:dyDescent="0.2">
      <c r="I911" s="4">
        <v>904</v>
      </c>
      <c r="K911" s="14">
        <v>6.0198808473207643</v>
      </c>
      <c r="L911" s="10">
        <v>7318.0298383320378</v>
      </c>
      <c r="O911" s="14">
        <v>7.2912242578881115</v>
      </c>
      <c r="P911" s="10">
        <v>9430.1913412322338</v>
      </c>
      <c r="R911" s="19">
        <f t="shared" si="102"/>
        <v>1.2713434105673471</v>
      </c>
      <c r="S911" s="23">
        <f t="shared" si="103"/>
        <v>2112.161502900196</v>
      </c>
      <c r="U911" s="23">
        <f t="shared" si="104"/>
        <v>1661.3618990305908</v>
      </c>
      <c r="AA911" s="18">
        <f t="shared" si="105"/>
        <v>1</v>
      </c>
      <c r="AF911" s="23">
        <f t="shared" si="106"/>
        <v>61455.00902546716</v>
      </c>
      <c r="AL911" s="18">
        <f t="shared" si="107"/>
        <v>1</v>
      </c>
    </row>
    <row r="912" spans="9:38" x14ac:dyDescent="0.2">
      <c r="I912" s="4">
        <v>905</v>
      </c>
      <c r="K912" s="14">
        <v>6.1280181499075175</v>
      </c>
      <c r="L912" s="10">
        <v>7297.4096978504213</v>
      </c>
      <c r="O912" s="14">
        <v>7.223065209506788</v>
      </c>
      <c r="P912" s="10">
        <v>9446.3130276510165</v>
      </c>
      <c r="R912" s="19">
        <f t="shared" si="102"/>
        <v>1.0950470595992705</v>
      </c>
      <c r="S912" s="23">
        <f t="shared" si="103"/>
        <v>2148.9033298005952</v>
      </c>
      <c r="U912" s="23">
        <f t="shared" si="104"/>
        <v>1962.3844573282363</v>
      </c>
      <c r="AA912" s="18">
        <f t="shared" si="105"/>
        <v>1</v>
      </c>
      <c r="AF912" s="23">
        <f t="shared" si="106"/>
        <v>52603.449650162933</v>
      </c>
      <c r="AL912" s="18">
        <f t="shared" si="107"/>
        <v>1</v>
      </c>
    </row>
    <row r="913" spans="9:38" x14ac:dyDescent="0.2">
      <c r="I913" s="4">
        <v>906</v>
      </c>
      <c r="K913" s="14">
        <v>6.2644825675392068</v>
      </c>
      <c r="L913" s="10">
        <v>6142.9715317813143</v>
      </c>
      <c r="O913" s="14">
        <v>7.0064027599842795</v>
      </c>
      <c r="P913" s="10">
        <v>9474.5650300462057</v>
      </c>
      <c r="R913" s="19">
        <f t="shared" si="102"/>
        <v>0.74192019244507268</v>
      </c>
      <c r="S913" s="23">
        <f t="shared" si="103"/>
        <v>3331.5934982648914</v>
      </c>
      <c r="U913" s="23">
        <f t="shared" si="104"/>
        <v>4490.5011781459807</v>
      </c>
      <c r="AA913" s="18">
        <f t="shared" si="105"/>
        <v>1</v>
      </c>
      <c r="AF913" s="23">
        <f t="shared" si="106"/>
        <v>33764.41612398874</v>
      </c>
      <c r="AL913" s="18">
        <f t="shared" si="107"/>
        <v>1</v>
      </c>
    </row>
    <row r="914" spans="9:38" x14ac:dyDescent="0.2">
      <c r="I914" s="4">
        <v>907</v>
      </c>
      <c r="K914" s="14">
        <v>5.6171562626483151</v>
      </c>
      <c r="L914" s="10">
        <v>5676.7168690847166</v>
      </c>
      <c r="O914" s="14">
        <v>6.8763845102044421</v>
      </c>
      <c r="P914" s="10">
        <v>9191.3983411847294</v>
      </c>
      <c r="R914" s="19">
        <f t="shared" si="102"/>
        <v>1.2592282475561269</v>
      </c>
      <c r="S914" s="23">
        <f t="shared" si="103"/>
        <v>3514.6814721000128</v>
      </c>
      <c r="U914" s="23">
        <f t="shared" si="104"/>
        <v>2791.1393180078376</v>
      </c>
      <c r="AA914" s="18">
        <f t="shared" si="105"/>
        <v>1</v>
      </c>
      <c r="AF914" s="23">
        <f t="shared" si="106"/>
        <v>59446.730905706332</v>
      </c>
      <c r="AL914" s="18">
        <f t="shared" si="107"/>
        <v>1</v>
      </c>
    </row>
    <row r="915" spans="9:38" x14ac:dyDescent="0.2">
      <c r="I915" s="4">
        <v>908</v>
      </c>
      <c r="K915" s="14">
        <v>6.3351727751982319</v>
      </c>
      <c r="L915" s="10">
        <v>7973.1332239288968</v>
      </c>
      <c r="O915" s="14">
        <v>7.313562347545072</v>
      </c>
      <c r="P915" s="10">
        <v>10287.296795519624</v>
      </c>
      <c r="R915" s="19">
        <f t="shared" si="102"/>
        <v>0.9783895723468401</v>
      </c>
      <c r="S915" s="23">
        <f t="shared" si="103"/>
        <v>2314.1635715907269</v>
      </c>
      <c r="U915" s="23">
        <f t="shared" si="104"/>
        <v>2365.2782460056242</v>
      </c>
      <c r="AA915" s="18">
        <f t="shared" si="105"/>
        <v>1</v>
      </c>
      <c r="AF915" s="23">
        <f t="shared" si="106"/>
        <v>46605.315045751282</v>
      </c>
      <c r="AL915" s="18">
        <f t="shared" si="107"/>
        <v>1</v>
      </c>
    </row>
    <row r="916" spans="9:38" x14ac:dyDescent="0.2">
      <c r="I916" s="4">
        <v>909</v>
      </c>
      <c r="K916" s="14">
        <v>6.6099801816100463</v>
      </c>
      <c r="L916" s="10">
        <v>5721.2336176558792</v>
      </c>
      <c r="O916" s="14">
        <v>7.8501189934980182</v>
      </c>
      <c r="P916" s="10">
        <v>10410.841481091304</v>
      </c>
      <c r="R916" s="19">
        <f t="shared" si="102"/>
        <v>1.2401388118879719</v>
      </c>
      <c r="S916" s="23">
        <f t="shared" si="103"/>
        <v>4689.6078634354244</v>
      </c>
      <c r="U916" s="23">
        <f t="shared" si="104"/>
        <v>3781.5185029940508</v>
      </c>
      <c r="AA916" s="18">
        <f t="shared" si="105"/>
        <v>1</v>
      </c>
      <c r="AF916" s="23">
        <f t="shared" si="106"/>
        <v>57317.332730963171</v>
      </c>
      <c r="AL916" s="18">
        <f t="shared" si="107"/>
        <v>1</v>
      </c>
    </row>
    <row r="917" spans="9:38" x14ac:dyDescent="0.2">
      <c r="I917" s="4">
        <v>910</v>
      </c>
      <c r="K917" s="14">
        <v>5.9296775730752742</v>
      </c>
      <c r="L917" s="10">
        <v>8854.9128207063477</v>
      </c>
      <c r="O917" s="14">
        <v>7.1261557543649623</v>
      </c>
      <c r="P917" s="10">
        <v>10003.052392748526</v>
      </c>
      <c r="R917" s="19">
        <f t="shared" si="102"/>
        <v>1.1964781812896881</v>
      </c>
      <c r="S917" s="23">
        <f t="shared" si="103"/>
        <v>1148.1395720421788</v>
      </c>
      <c r="U917" s="23">
        <f t="shared" si="104"/>
        <v>959.59925554563392</v>
      </c>
      <c r="AA917" s="18">
        <f t="shared" si="105"/>
        <v>1</v>
      </c>
      <c r="AF917" s="23">
        <f t="shared" si="106"/>
        <v>58675.769492442225</v>
      </c>
      <c r="AL917" s="18">
        <f t="shared" si="107"/>
        <v>1</v>
      </c>
    </row>
    <row r="918" spans="9:38" x14ac:dyDescent="0.2">
      <c r="I918" s="4">
        <v>911</v>
      </c>
      <c r="K918" s="14">
        <v>6.862714513234299</v>
      </c>
      <c r="L918" s="10">
        <v>6265.6992454110268</v>
      </c>
      <c r="O918" s="14">
        <v>7.677406578732537</v>
      </c>
      <c r="P918" s="10">
        <v>10576.533924875221</v>
      </c>
      <c r="R918" s="19">
        <f t="shared" si="102"/>
        <v>0.81469206549823792</v>
      </c>
      <c r="S918" s="23">
        <f t="shared" si="103"/>
        <v>4310.8346794641939</v>
      </c>
      <c r="U918" s="23">
        <f t="shared" si="104"/>
        <v>5291.3669618567283</v>
      </c>
      <c r="AA918" s="18">
        <f t="shared" si="105"/>
        <v>1</v>
      </c>
      <c r="AF918" s="23">
        <f t="shared" si="106"/>
        <v>36423.768595447706</v>
      </c>
      <c r="AL918" s="18">
        <f t="shared" si="107"/>
        <v>1</v>
      </c>
    </row>
    <row r="919" spans="9:38" x14ac:dyDescent="0.2">
      <c r="I919" s="4">
        <v>912</v>
      </c>
      <c r="K919" s="14">
        <v>6.0652663374234077</v>
      </c>
      <c r="L919" s="10">
        <v>7816.2495820674676</v>
      </c>
      <c r="O919" s="14">
        <v>7.0521017345611172</v>
      </c>
      <c r="P919" s="10">
        <v>9645.4384056262352</v>
      </c>
      <c r="R919" s="19">
        <f t="shared" si="102"/>
        <v>0.98683539713770951</v>
      </c>
      <c r="S919" s="23">
        <f t="shared" si="103"/>
        <v>1829.1888235587676</v>
      </c>
      <c r="U919" s="23">
        <f t="shared" si="104"/>
        <v>1853.5906077794557</v>
      </c>
      <c r="AA919" s="18">
        <f t="shared" si="105"/>
        <v>1</v>
      </c>
      <c r="AF919" s="23">
        <f t="shared" si="106"/>
        <v>47512.581033326707</v>
      </c>
      <c r="AL919" s="18">
        <f t="shared" si="107"/>
        <v>1</v>
      </c>
    </row>
    <row r="920" spans="9:38" x14ac:dyDescent="0.2">
      <c r="I920" s="4">
        <v>913</v>
      </c>
      <c r="K920" s="14">
        <v>6.3807785948525577</v>
      </c>
      <c r="L920" s="10">
        <v>6407.2625645387316</v>
      </c>
      <c r="O920" s="14">
        <v>7.5356150973889378</v>
      </c>
      <c r="P920" s="10">
        <v>10254.865377750873</v>
      </c>
      <c r="R920" s="19">
        <f t="shared" si="102"/>
        <v>1.15483650253638</v>
      </c>
      <c r="S920" s="23">
        <f t="shared" si="103"/>
        <v>3847.6028132121419</v>
      </c>
      <c r="U920" s="23">
        <f t="shared" si="104"/>
        <v>3331.7294740524826</v>
      </c>
      <c r="AA920" s="18">
        <f t="shared" si="105"/>
        <v>1</v>
      </c>
      <c r="AF920" s="23">
        <f t="shared" si="106"/>
        <v>53894.222313606857</v>
      </c>
      <c r="AL920" s="18">
        <f t="shared" si="107"/>
        <v>1</v>
      </c>
    </row>
    <row r="921" spans="9:38" x14ac:dyDescent="0.2">
      <c r="I921" s="4">
        <v>914</v>
      </c>
      <c r="K921" s="14">
        <v>6.6148935425547428</v>
      </c>
      <c r="L921" s="10">
        <v>7134.8038685221291</v>
      </c>
      <c r="O921" s="14">
        <v>6.6547221384680642</v>
      </c>
      <c r="P921" s="10">
        <v>9549.9003602814864</v>
      </c>
      <c r="R921" s="19">
        <f t="shared" si="102"/>
        <v>3.982859591332133E-2</v>
      </c>
      <c r="S921" s="23">
        <f t="shared" si="103"/>
        <v>2415.0964917593574</v>
      </c>
      <c r="U921" s="23">
        <f t="shared" si="104"/>
        <v>60637.24910150771</v>
      </c>
      <c r="AA921" s="18">
        <f t="shared" si="105"/>
        <v>0</v>
      </c>
      <c r="AF921" s="23">
        <f t="shared" si="106"/>
        <v>-423.66669609329097</v>
      </c>
      <c r="AL921" s="18">
        <f t="shared" si="107"/>
        <v>0</v>
      </c>
    </row>
    <row r="922" spans="9:38" x14ac:dyDescent="0.2">
      <c r="I922" s="4">
        <v>915</v>
      </c>
      <c r="K922" s="14">
        <v>5.6773403423493507</v>
      </c>
      <c r="L922" s="10">
        <v>8054.4454544881082</v>
      </c>
      <c r="O922" s="14">
        <v>6.5666747974270185</v>
      </c>
      <c r="P922" s="10">
        <v>9037.4630298337088</v>
      </c>
      <c r="R922" s="19">
        <f t="shared" si="102"/>
        <v>0.88933445507766784</v>
      </c>
      <c r="S922" s="23">
        <f t="shared" si="103"/>
        <v>983.01757534560056</v>
      </c>
      <c r="U922" s="23">
        <f t="shared" si="104"/>
        <v>1105.3407070119094</v>
      </c>
      <c r="AA922" s="18">
        <f t="shared" si="105"/>
        <v>1</v>
      </c>
      <c r="AF922" s="23">
        <f t="shared" si="106"/>
        <v>43483.705178537792</v>
      </c>
      <c r="AL922" s="18">
        <f t="shared" si="107"/>
        <v>1</v>
      </c>
    </row>
    <row r="923" spans="9:38" x14ac:dyDescent="0.2">
      <c r="I923" s="4">
        <v>916</v>
      </c>
      <c r="K923" s="14">
        <v>6.1820454130236513</v>
      </c>
      <c r="L923" s="10">
        <v>6860.646983535833</v>
      </c>
      <c r="O923" s="14">
        <v>6.5619397722938526</v>
      </c>
      <c r="P923" s="10">
        <v>9102.071121219471</v>
      </c>
      <c r="R923" s="19">
        <f t="shared" si="102"/>
        <v>0.37989435927020132</v>
      </c>
      <c r="S923" s="23">
        <f t="shared" si="103"/>
        <v>2241.424137683638</v>
      </c>
      <c r="U923" s="23">
        <f t="shared" si="104"/>
        <v>5900.124818882653</v>
      </c>
      <c r="AA923" s="18">
        <f t="shared" si="105"/>
        <v>1</v>
      </c>
      <c r="AF923" s="23">
        <f t="shared" si="106"/>
        <v>16753.293825826426</v>
      </c>
      <c r="AL923" s="18">
        <f t="shared" si="107"/>
        <v>1</v>
      </c>
    </row>
    <row r="924" spans="9:38" x14ac:dyDescent="0.2">
      <c r="I924" s="4">
        <v>917</v>
      </c>
      <c r="K924" s="14">
        <v>6.7929616721180732</v>
      </c>
      <c r="L924" s="10">
        <v>9490.8965283138277</v>
      </c>
      <c r="O924" s="14">
        <v>7.0123943520028789</v>
      </c>
      <c r="P924" s="10">
        <v>9354.1542174730312</v>
      </c>
      <c r="R924" s="19">
        <f t="shared" si="102"/>
        <v>0.21943267988480564</v>
      </c>
      <c r="S924" s="23">
        <f t="shared" si="103"/>
        <v>-136.74231084079656</v>
      </c>
      <c r="U924" s="23">
        <f t="shared" si="104"/>
        <v>-623.16292592598973</v>
      </c>
      <c r="AA924" s="18">
        <f t="shared" si="105"/>
        <v>1</v>
      </c>
      <c r="AF924" s="23">
        <f t="shared" si="106"/>
        <v>11108.376305081078</v>
      </c>
      <c r="AL924" s="18">
        <f t="shared" si="107"/>
        <v>1</v>
      </c>
    </row>
    <row r="925" spans="9:38" x14ac:dyDescent="0.2">
      <c r="I925" s="4">
        <v>918</v>
      </c>
      <c r="K925" s="14">
        <v>6.7099569754519868</v>
      </c>
      <c r="L925" s="10">
        <v>5659.5388130034507</v>
      </c>
      <c r="O925" s="14">
        <v>7.2584906129045077</v>
      </c>
      <c r="P925" s="10">
        <v>9711.508165056277</v>
      </c>
      <c r="R925" s="19">
        <f t="shared" si="102"/>
        <v>0.54853363745252093</v>
      </c>
      <c r="S925" s="23">
        <f t="shared" si="103"/>
        <v>4051.9693520528263</v>
      </c>
      <c r="U925" s="23">
        <f t="shared" si="104"/>
        <v>7386.9113494494677</v>
      </c>
      <c r="AA925" s="18">
        <f t="shared" si="105"/>
        <v>1</v>
      </c>
      <c r="AF925" s="23">
        <f t="shared" si="106"/>
        <v>23374.712520573219</v>
      </c>
      <c r="AL925" s="18">
        <f t="shared" si="107"/>
        <v>1</v>
      </c>
    </row>
    <row r="926" spans="9:38" x14ac:dyDescent="0.2">
      <c r="I926" s="4">
        <v>919</v>
      </c>
      <c r="K926" s="14">
        <v>6.1745040730888787</v>
      </c>
      <c r="L926" s="10">
        <v>7186.7988570767784</v>
      </c>
      <c r="O926" s="14">
        <v>7.4257283960118938</v>
      </c>
      <c r="P926" s="10">
        <v>10628.732378391933</v>
      </c>
      <c r="R926" s="19">
        <f t="shared" si="102"/>
        <v>1.2512243229230151</v>
      </c>
      <c r="S926" s="23">
        <f t="shared" si="103"/>
        <v>3441.9335213151544</v>
      </c>
      <c r="U926" s="23">
        <f t="shared" si="104"/>
        <v>2750.8524716610136</v>
      </c>
      <c r="AA926" s="18">
        <f t="shared" si="105"/>
        <v>1</v>
      </c>
      <c r="AF926" s="23">
        <f t="shared" si="106"/>
        <v>59119.2826248356</v>
      </c>
      <c r="AL926" s="18">
        <f t="shared" si="107"/>
        <v>1</v>
      </c>
    </row>
    <row r="927" spans="9:38" x14ac:dyDescent="0.2">
      <c r="I927" s="4">
        <v>920</v>
      </c>
      <c r="K927" s="14">
        <v>6.8650246887126958</v>
      </c>
      <c r="L927" s="10">
        <v>8980.6954611459569</v>
      </c>
      <c r="O927" s="14">
        <v>6.6584743523444203</v>
      </c>
      <c r="P927" s="10">
        <v>9500.1708070649347</v>
      </c>
      <c r="R927" s="19">
        <f t="shared" si="102"/>
        <v>-0.20655033636827547</v>
      </c>
      <c r="S927" s="23">
        <f t="shared" si="103"/>
        <v>519.47534591897784</v>
      </c>
      <c r="U927" s="23">
        <f t="shared" si="104"/>
        <v>-2515.006051564897</v>
      </c>
      <c r="AA927" s="18">
        <f t="shared" si="105"/>
        <v>0</v>
      </c>
      <c r="AF927" s="23">
        <f t="shared" si="106"/>
        <v>-10846.992164332751</v>
      </c>
      <c r="AL927" s="18">
        <f t="shared" si="107"/>
        <v>0</v>
      </c>
    </row>
    <row r="928" spans="9:38" x14ac:dyDescent="0.2">
      <c r="I928" s="4">
        <v>921</v>
      </c>
      <c r="K928" s="14">
        <v>6.5631286950117991</v>
      </c>
      <c r="L928" s="10">
        <v>8161.5914652829742</v>
      </c>
      <c r="O928" s="14">
        <v>7.1463023004351438</v>
      </c>
      <c r="P928" s="10">
        <v>9407.6382363563716</v>
      </c>
      <c r="R928" s="19">
        <f t="shared" si="102"/>
        <v>0.58317360542334473</v>
      </c>
      <c r="S928" s="23">
        <f t="shared" si="103"/>
        <v>1246.0467710733974</v>
      </c>
      <c r="U928" s="23">
        <f t="shared" si="104"/>
        <v>2136.6652391080893</v>
      </c>
      <c r="AA928" s="18">
        <f t="shared" si="105"/>
        <v>1</v>
      </c>
      <c r="AF928" s="23">
        <f t="shared" si="106"/>
        <v>27912.633500093838</v>
      </c>
      <c r="AL928" s="18">
        <f t="shared" si="107"/>
        <v>1</v>
      </c>
    </row>
    <row r="929" spans="9:38" x14ac:dyDescent="0.2">
      <c r="I929" s="4">
        <v>922</v>
      </c>
      <c r="K929" s="14">
        <v>6.2346769770988102</v>
      </c>
      <c r="L929" s="10">
        <v>10382.312610921741</v>
      </c>
      <c r="O929" s="14">
        <v>7.6848355068509351</v>
      </c>
      <c r="P929" s="10">
        <v>10102.353681261113</v>
      </c>
      <c r="R929" s="19">
        <f t="shared" si="102"/>
        <v>1.4501585297521249</v>
      </c>
      <c r="S929" s="23">
        <f t="shared" si="103"/>
        <v>-279.9589296606282</v>
      </c>
      <c r="U929" s="23">
        <f t="shared" si="104"/>
        <v>-193.05401714147865</v>
      </c>
      <c r="AA929" s="18">
        <f t="shared" si="105"/>
        <v>1</v>
      </c>
      <c r="AF929" s="23">
        <f t="shared" si="106"/>
        <v>72787.88541726688</v>
      </c>
      <c r="AL929" s="18">
        <f t="shared" si="107"/>
        <v>1</v>
      </c>
    </row>
    <row r="930" spans="9:38" x14ac:dyDescent="0.2">
      <c r="I930" s="4">
        <v>923</v>
      </c>
      <c r="K930" s="14">
        <v>6.7143827318884926</v>
      </c>
      <c r="L930" s="10">
        <v>7282.859018461184</v>
      </c>
      <c r="O930" s="14">
        <v>6.7362167215986339</v>
      </c>
      <c r="P930" s="10">
        <v>9357.6921890520262</v>
      </c>
      <c r="R930" s="19">
        <f t="shared" si="102"/>
        <v>2.1833989710141388E-2</v>
      </c>
      <c r="S930" s="23">
        <f t="shared" si="103"/>
        <v>2074.8331705908422</v>
      </c>
      <c r="U930" s="23">
        <f t="shared" si="104"/>
        <v>95027.670074751833</v>
      </c>
      <c r="AA930" s="18">
        <f t="shared" si="105"/>
        <v>0</v>
      </c>
      <c r="AF930" s="23">
        <f t="shared" si="106"/>
        <v>-983.13368508377289</v>
      </c>
      <c r="AL930" s="18">
        <f t="shared" si="107"/>
        <v>0</v>
      </c>
    </row>
    <row r="931" spans="9:38" x14ac:dyDescent="0.2">
      <c r="I931" s="4">
        <v>924</v>
      </c>
      <c r="K931" s="14">
        <v>6.2985095732369052</v>
      </c>
      <c r="L931" s="10">
        <v>5528.0915165464021</v>
      </c>
      <c r="O931" s="14">
        <v>7.0238426663931905</v>
      </c>
      <c r="P931" s="10">
        <v>9456.8418962986034</v>
      </c>
      <c r="R931" s="19">
        <f t="shared" si="102"/>
        <v>0.72533309315628536</v>
      </c>
      <c r="S931" s="23">
        <f t="shared" si="103"/>
        <v>3928.7503797522013</v>
      </c>
      <c r="U931" s="23">
        <f t="shared" si="104"/>
        <v>5416.477500917892</v>
      </c>
      <c r="AA931" s="18">
        <f t="shared" si="105"/>
        <v>1</v>
      </c>
      <c r="AF931" s="23">
        <f t="shared" si="106"/>
        <v>32337.904278062066</v>
      </c>
      <c r="AL931" s="18">
        <f t="shared" si="107"/>
        <v>1</v>
      </c>
    </row>
    <row r="932" spans="9:38" x14ac:dyDescent="0.2">
      <c r="I932" s="4">
        <v>925</v>
      </c>
      <c r="K932" s="14">
        <v>6.3376447091143575</v>
      </c>
      <c r="L932" s="10">
        <v>5823.1459575836789</v>
      </c>
      <c r="O932" s="14">
        <v>6.8386553780547965</v>
      </c>
      <c r="P932" s="10">
        <v>9115.5718474322312</v>
      </c>
      <c r="R932" s="19">
        <f t="shared" si="102"/>
        <v>0.501010668940439</v>
      </c>
      <c r="S932" s="23">
        <f t="shared" si="103"/>
        <v>3292.4258898485523</v>
      </c>
      <c r="U932" s="23">
        <f t="shared" si="104"/>
        <v>6571.5684195139593</v>
      </c>
      <c r="AA932" s="18">
        <f t="shared" si="105"/>
        <v>1</v>
      </c>
      <c r="AF932" s="23">
        <f t="shared" si="106"/>
        <v>21758.107557173396</v>
      </c>
      <c r="AL932" s="18">
        <f t="shared" si="107"/>
        <v>1</v>
      </c>
    </row>
    <row r="933" spans="9:38" x14ac:dyDescent="0.2">
      <c r="I933" s="4">
        <v>926</v>
      </c>
      <c r="K933" s="14">
        <v>5.9978230521040494</v>
      </c>
      <c r="L933" s="10">
        <v>5762.3953741093619</v>
      </c>
      <c r="O933" s="14">
        <v>7.2846719533959527</v>
      </c>
      <c r="P933" s="10">
        <v>9749.8234242810649</v>
      </c>
      <c r="R933" s="19">
        <f t="shared" si="102"/>
        <v>1.2868489012919033</v>
      </c>
      <c r="S933" s="23">
        <f t="shared" si="103"/>
        <v>3987.428050171703</v>
      </c>
      <c r="U933" s="23">
        <f t="shared" si="104"/>
        <v>3098.598480496516</v>
      </c>
      <c r="AA933" s="18">
        <f t="shared" si="105"/>
        <v>1</v>
      </c>
      <c r="AF933" s="23">
        <f t="shared" si="106"/>
        <v>60355.017014423465</v>
      </c>
      <c r="AL933" s="18">
        <f t="shared" si="107"/>
        <v>1</v>
      </c>
    </row>
    <row r="934" spans="9:38" x14ac:dyDescent="0.2">
      <c r="I934" s="4">
        <v>927</v>
      </c>
      <c r="K934" s="14">
        <v>6.9328783491899779</v>
      </c>
      <c r="L934" s="10">
        <v>9708.9389124198806</v>
      </c>
      <c r="O934" s="14">
        <v>6.8912405445425815</v>
      </c>
      <c r="P934" s="10">
        <v>9318.9096059579097</v>
      </c>
      <c r="R934" s="19">
        <f t="shared" si="102"/>
        <v>-4.1637804647396415E-2</v>
      </c>
      <c r="S934" s="23">
        <f t="shared" si="103"/>
        <v>-390.02930646197092</v>
      </c>
      <c r="U934" s="23">
        <f t="shared" si="104"/>
        <v>9367.1919008429086</v>
      </c>
      <c r="AA934" s="18">
        <f t="shared" si="105"/>
        <v>0</v>
      </c>
      <c r="AF934" s="23">
        <f t="shared" si="106"/>
        <v>-1691.8609259078498</v>
      </c>
      <c r="AL934" s="18">
        <f t="shared" si="107"/>
        <v>0</v>
      </c>
    </row>
    <row r="935" spans="9:38" x14ac:dyDescent="0.2">
      <c r="I935" s="4">
        <v>928</v>
      </c>
      <c r="K935" s="14">
        <v>6.392820249332658</v>
      </c>
      <c r="L935" s="10">
        <v>8291.7713803607476</v>
      </c>
      <c r="O935" s="14">
        <v>7.1030872850663789</v>
      </c>
      <c r="P935" s="10">
        <v>9808.526509839794</v>
      </c>
      <c r="R935" s="19">
        <f t="shared" si="102"/>
        <v>0.71026703573372085</v>
      </c>
      <c r="S935" s="23">
        <f t="shared" si="103"/>
        <v>1516.7551294790464</v>
      </c>
      <c r="U935" s="23">
        <f t="shared" si="104"/>
        <v>2135.4716651212825</v>
      </c>
      <c r="AA935" s="18">
        <f t="shared" si="105"/>
        <v>1</v>
      </c>
      <c r="AF935" s="23">
        <f t="shared" si="106"/>
        <v>33996.596657206996</v>
      </c>
      <c r="AL935" s="18">
        <f t="shared" si="107"/>
        <v>1</v>
      </c>
    </row>
    <row r="936" spans="9:38" x14ac:dyDescent="0.2">
      <c r="I936" s="4">
        <v>929</v>
      </c>
      <c r="K936" s="14">
        <v>6.2150479210501768</v>
      </c>
      <c r="L936" s="10">
        <v>7198.8823424850598</v>
      </c>
      <c r="O936" s="14">
        <v>7.3315760567138639</v>
      </c>
      <c r="P936" s="10">
        <v>10151.838572030605</v>
      </c>
      <c r="R936" s="19">
        <f t="shared" si="102"/>
        <v>1.1165281356636871</v>
      </c>
      <c r="S936" s="23">
        <f t="shared" si="103"/>
        <v>2952.9562295455453</v>
      </c>
      <c r="U936" s="23">
        <f t="shared" si="104"/>
        <v>2644.7665179438113</v>
      </c>
      <c r="AA936" s="18">
        <f t="shared" si="105"/>
        <v>1</v>
      </c>
      <c r="AF936" s="23">
        <f t="shared" si="106"/>
        <v>52873.45055363881</v>
      </c>
      <c r="AL936" s="18">
        <f t="shared" si="107"/>
        <v>1</v>
      </c>
    </row>
    <row r="937" spans="9:38" x14ac:dyDescent="0.2">
      <c r="I937" s="4">
        <v>930</v>
      </c>
      <c r="K937" s="14">
        <v>6.6554853781622967</v>
      </c>
      <c r="L937" s="10">
        <v>8320.9870179722184</v>
      </c>
      <c r="O937" s="14">
        <v>7.0872619645676425</v>
      </c>
      <c r="P937" s="10">
        <v>9076.1927353185001</v>
      </c>
      <c r="R937" s="19">
        <f t="shared" si="102"/>
        <v>0.43177658640534577</v>
      </c>
      <c r="S937" s="23">
        <f t="shared" si="103"/>
        <v>755.20571734628174</v>
      </c>
      <c r="U937" s="23">
        <f t="shared" si="104"/>
        <v>1749.0659316049741</v>
      </c>
      <c r="AA937" s="18">
        <f t="shared" si="105"/>
        <v>1</v>
      </c>
      <c r="AF937" s="23">
        <f t="shared" si="106"/>
        <v>20833.623602921009</v>
      </c>
      <c r="AL937" s="18">
        <f t="shared" si="107"/>
        <v>1</v>
      </c>
    </row>
    <row r="938" spans="9:38" x14ac:dyDescent="0.2">
      <c r="I938" s="4">
        <v>931</v>
      </c>
      <c r="K938" s="14">
        <v>6.2047504227556622</v>
      </c>
      <c r="L938" s="10">
        <v>7760.4513805100551</v>
      </c>
      <c r="O938" s="14">
        <v>7.3893625817705901</v>
      </c>
      <c r="P938" s="10">
        <v>10276.444331723909</v>
      </c>
      <c r="R938" s="19">
        <f t="shared" si="102"/>
        <v>1.1846121590149279</v>
      </c>
      <c r="S938" s="23">
        <f t="shared" si="103"/>
        <v>2515.9929512138542</v>
      </c>
      <c r="U938" s="23">
        <f t="shared" si="104"/>
        <v>2123.895936798458</v>
      </c>
      <c r="AA938" s="18">
        <f t="shared" si="105"/>
        <v>1</v>
      </c>
      <c r="AF938" s="23">
        <f t="shared" si="106"/>
        <v>56714.61499953254</v>
      </c>
      <c r="AL938" s="18">
        <f t="shared" si="107"/>
        <v>1</v>
      </c>
    </row>
    <row r="939" spans="9:38" x14ac:dyDescent="0.2">
      <c r="I939" s="4">
        <v>932</v>
      </c>
      <c r="K939" s="14">
        <v>6.6694579110339784</v>
      </c>
      <c r="L939" s="10">
        <v>7120.0412958712386</v>
      </c>
      <c r="O939" s="14">
        <v>7.0708407091034005</v>
      </c>
      <c r="P939" s="10">
        <v>9691.4584307560872</v>
      </c>
      <c r="R939" s="19">
        <f t="shared" si="102"/>
        <v>0.40138279806942201</v>
      </c>
      <c r="S939" s="23">
        <f t="shared" si="103"/>
        <v>2571.4171348848486</v>
      </c>
      <c r="U939" s="23">
        <f t="shared" si="104"/>
        <v>6406.3959573078255</v>
      </c>
      <c r="AA939" s="18">
        <f t="shared" si="105"/>
        <v>1</v>
      </c>
      <c r="AF939" s="23">
        <f t="shared" si="106"/>
        <v>17497.722768586253</v>
      </c>
      <c r="AL939" s="18">
        <f t="shared" si="107"/>
        <v>1</v>
      </c>
    </row>
    <row r="940" spans="9:38" x14ac:dyDescent="0.2">
      <c r="I940" s="4">
        <v>933</v>
      </c>
      <c r="K940" s="14">
        <v>6.1232993817706234</v>
      </c>
      <c r="L940" s="10">
        <v>5993.9312143102197</v>
      </c>
      <c r="O940" s="14">
        <v>6.6763422022541725</v>
      </c>
      <c r="P940" s="10">
        <v>9293.1394655046315</v>
      </c>
      <c r="R940" s="19">
        <f t="shared" si="102"/>
        <v>0.55304282048354914</v>
      </c>
      <c r="S940" s="23">
        <f t="shared" si="103"/>
        <v>3299.2082511944118</v>
      </c>
      <c r="U940" s="23">
        <f t="shared" si="104"/>
        <v>5965.5566061046993</v>
      </c>
      <c r="AA940" s="18">
        <f t="shared" si="105"/>
        <v>1</v>
      </c>
      <c r="AF940" s="23">
        <f t="shared" si="106"/>
        <v>24352.932772983047</v>
      </c>
      <c r="AL940" s="18">
        <f t="shared" si="107"/>
        <v>1</v>
      </c>
    </row>
    <row r="941" spans="9:38" x14ac:dyDescent="0.2">
      <c r="I941" s="4">
        <v>934</v>
      </c>
      <c r="K941" s="14">
        <v>6.6453503980458244</v>
      </c>
      <c r="L941" s="10">
        <v>7497.9138650657596</v>
      </c>
      <c r="O941" s="14">
        <v>7.5397062213945354</v>
      </c>
      <c r="P941" s="10">
        <v>10332.788140988274</v>
      </c>
      <c r="R941" s="19">
        <f t="shared" si="102"/>
        <v>0.894355823348711</v>
      </c>
      <c r="S941" s="23">
        <f t="shared" si="103"/>
        <v>2834.8742759225142</v>
      </c>
      <c r="U941" s="23">
        <f t="shared" si="104"/>
        <v>3169.7387123929884</v>
      </c>
      <c r="AA941" s="18">
        <f t="shared" si="105"/>
        <v>1</v>
      </c>
      <c r="AF941" s="23">
        <f t="shared" si="106"/>
        <v>41882.916891513036</v>
      </c>
      <c r="AL941" s="18">
        <f t="shared" si="107"/>
        <v>1</v>
      </c>
    </row>
    <row r="942" spans="9:38" x14ac:dyDescent="0.2">
      <c r="I942" s="4">
        <v>935</v>
      </c>
      <c r="K942" s="14">
        <v>6.7267532329863888</v>
      </c>
      <c r="L942" s="10">
        <v>11341.659667215283</v>
      </c>
      <c r="O942" s="14">
        <v>6.9641449234889565</v>
      </c>
      <c r="P942" s="10">
        <v>9889.7057671109797</v>
      </c>
      <c r="R942" s="19">
        <f t="shared" si="102"/>
        <v>0.2373916905025677</v>
      </c>
      <c r="S942" s="23">
        <f t="shared" si="103"/>
        <v>-1451.9539001043031</v>
      </c>
      <c r="U942" s="23">
        <f t="shared" si="104"/>
        <v>-6116.2793736817775</v>
      </c>
      <c r="AA942" s="18">
        <f t="shared" si="105"/>
        <v>1</v>
      </c>
      <c r="AF942" s="23">
        <f t="shared" si="106"/>
        <v>13321.538425232688</v>
      </c>
      <c r="AL942" s="18">
        <f t="shared" si="107"/>
        <v>1</v>
      </c>
    </row>
    <row r="943" spans="9:38" x14ac:dyDescent="0.2">
      <c r="I943" s="4">
        <v>936</v>
      </c>
      <c r="K943" s="14">
        <v>6.1807064465014498</v>
      </c>
      <c r="L943" s="10">
        <v>9588.3609799430596</v>
      </c>
      <c r="O943" s="14">
        <v>7.0326998668196961</v>
      </c>
      <c r="P943" s="10">
        <v>9854.4706074306869</v>
      </c>
      <c r="R943" s="19">
        <f t="shared" si="102"/>
        <v>0.85199342031824621</v>
      </c>
      <c r="S943" s="23">
        <f t="shared" si="103"/>
        <v>266.10962748762722</v>
      </c>
      <c r="U943" s="23">
        <f t="shared" si="104"/>
        <v>312.33765559859245</v>
      </c>
      <c r="AA943" s="18">
        <f t="shared" si="105"/>
        <v>1</v>
      </c>
      <c r="AF943" s="23">
        <f t="shared" si="106"/>
        <v>42333.561388424685</v>
      </c>
      <c r="AL943" s="18">
        <f t="shared" si="107"/>
        <v>1</v>
      </c>
    </row>
    <row r="944" spans="9:38" x14ac:dyDescent="0.2">
      <c r="I944" s="4">
        <v>937</v>
      </c>
      <c r="K944" s="14">
        <v>6.1507452419540627</v>
      </c>
      <c r="L944" s="10">
        <v>6460.0874486306884</v>
      </c>
      <c r="O944" s="14">
        <v>7.0054702101818229</v>
      </c>
      <c r="P944" s="10">
        <v>9622.1841952370432</v>
      </c>
      <c r="R944" s="19">
        <f t="shared" si="102"/>
        <v>0.85472496822776023</v>
      </c>
      <c r="S944" s="23">
        <f t="shared" si="103"/>
        <v>3162.0967466063548</v>
      </c>
      <c r="U944" s="23">
        <f t="shared" si="104"/>
        <v>3699.5488188005579</v>
      </c>
      <c r="AA944" s="18">
        <f t="shared" si="105"/>
        <v>1</v>
      </c>
      <c r="AF944" s="23">
        <f t="shared" si="106"/>
        <v>39574.151664781661</v>
      </c>
      <c r="AL944" s="18">
        <f t="shared" si="107"/>
        <v>1</v>
      </c>
    </row>
    <row r="945" spans="9:38" x14ac:dyDescent="0.2">
      <c r="I945" s="4">
        <v>938</v>
      </c>
      <c r="K945" s="14">
        <v>6.0485088971652612</v>
      </c>
      <c r="L945" s="10">
        <v>7266.5084790856745</v>
      </c>
      <c r="O945" s="14">
        <v>7.1466271357517535</v>
      </c>
      <c r="P945" s="10">
        <v>9609.4377623764685</v>
      </c>
      <c r="R945" s="19">
        <f t="shared" si="102"/>
        <v>1.0981182385864923</v>
      </c>
      <c r="S945" s="23">
        <f t="shared" si="103"/>
        <v>2342.929283290794</v>
      </c>
      <c r="U945" s="23">
        <f t="shared" si="104"/>
        <v>2133.5856203487101</v>
      </c>
      <c r="AA945" s="18">
        <f t="shared" si="105"/>
        <v>1</v>
      </c>
      <c r="AF945" s="23">
        <f t="shared" si="106"/>
        <v>52562.982646033815</v>
      </c>
      <c r="AL945" s="18">
        <f t="shared" si="107"/>
        <v>1</v>
      </c>
    </row>
    <row r="946" spans="9:38" x14ac:dyDescent="0.2">
      <c r="I946" s="4">
        <v>939</v>
      </c>
      <c r="K946" s="14">
        <v>6.3080030225581467</v>
      </c>
      <c r="L946" s="10">
        <v>5903.77053575021</v>
      </c>
      <c r="O946" s="14">
        <v>6.8974556819682471</v>
      </c>
      <c r="P946" s="10">
        <v>8943.7894996913274</v>
      </c>
      <c r="R946" s="19">
        <f t="shared" si="102"/>
        <v>0.58945265941010039</v>
      </c>
      <c r="S946" s="23">
        <f t="shared" si="103"/>
        <v>3040.0189639411174</v>
      </c>
      <c r="U946" s="23">
        <f t="shared" si="104"/>
        <v>5157.3589760091018</v>
      </c>
      <c r="AA946" s="18">
        <f t="shared" si="105"/>
        <v>1</v>
      </c>
      <c r="AF946" s="23">
        <f t="shared" si="106"/>
        <v>26432.614006563901</v>
      </c>
      <c r="AL946" s="18">
        <f t="shared" si="107"/>
        <v>1</v>
      </c>
    </row>
    <row r="947" spans="9:38" x14ac:dyDescent="0.2">
      <c r="I947" s="4">
        <v>940</v>
      </c>
      <c r="K947" s="14">
        <v>6.3511694525525835</v>
      </c>
      <c r="L947" s="10">
        <v>5844.8426548399812</v>
      </c>
      <c r="O947" s="14">
        <v>6.9298613370658755</v>
      </c>
      <c r="P947" s="10">
        <v>10069.118681529182</v>
      </c>
      <c r="R947" s="19">
        <f t="shared" si="102"/>
        <v>0.57869188451329201</v>
      </c>
      <c r="S947" s="23">
        <f t="shared" si="103"/>
        <v>4224.276026689201</v>
      </c>
      <c r="U947" s="23">
        <f t="shared" si="104"/>
        <v>7299.6980599477774</v>
      </c>
      <c r="AA947" s="18">
        <f t="shared" si="105"/>
        <v>1</v>
      </c>
      <c r="AF947" s="23">
        <f t="shared" si="106"/>
        <v>24710.318198975401</v>
      </c>
      <c r="AL947" s="18">
        <f t="shared" si="107"/>
        <v>1</v>
      </c>
    </row>
    <row r="948" spans="9:38" x14ac:dyDescent="0.2">
      <c r="I948" s="4">
        <v>941</v>
      </c>
      <c r="K948" s="14">
        <v>6.5939365060225654</v>
      </c>
      <c r="L948" s="10">
        <v>5894.216696905647</v>
      </c>
      <c r="O948" s="14">
        <v>7.3707936141594983</v>
      </c>
      <c r="P948" s="10">
        <v>9686.9918213678593</v>
      </c>
      <c r="R948" s="19">
        <f t="shared" si="102"/>
        <v>0.77685710813693287</v>
      </c>
      <c r="S948" s="23">
        <f t="shared" si="103"/>
        <v>3792.7751244622123</v>
      </c>
      <c r="U948" s="23">
        <f t="shared" si="104"/>
        <v>4882.2043136840011</v>
      </c>
      <c r="AA948" s="18">
        <f t="shared" si="105"/>
        <v>1</v>
      </c>
      <c r="AF948" s="23">
        <f t="shared" si="106"/>
        <v>35050.080282384428</v>
      </c>
      <c r="AL948" s="18">
        <f t="shared" si="107"/>
        <v>1</v>
      </c>
    </row>
    <row r="949" spans="9:38" x14ac:dyDescent="0.2">
      <c r="I949" s="4">
        <v>942</v>
      </c>
      <c r="K949" s="14">
        <v>6.236692902272396</v>
      </c>
      <c r="L949" s="10">
        <v>5818.0581795580774</v>
      </c>
      <c r="O949" s="14">
        <v>7.5543141962655769</v>
      </c>
      <c r="P949" s="10">
        <v>9706.9914210571169</v>
      </c>
      <c r="R949" s="19">
        <f t="shared" si="102"/>
        <v>1.3176212939931808</v>
      </c>
      <c r="S949" s="23">
        <f t="shared" si="103"/>
        <v>3888.9332414990395</v>
      </c>
      <c r="U949" s="23">
        <f t="shared" si="104"/>
        <v>2951.4802616108645</v>
      </c>
      <c r="AA949" s="18">
        <f t="shared" si="105"/>
        <v>1</v>
      </c>
      <c r="AF949" s="23">
        <f t="shared" si="106"/>
        <v>61992.131458159995</v>
      </c>
      <c r="AL949" s="18">
        <f t="shared" si="107"/>
        <v>1</v>
      </c>
    </row>
    <row r="950" spans="9:38" x14ac:dyDescent="0.2">
      <c r="I950" s="4">
        <v>943</v>
      </c>
      <c r="K950" s="14">
        <v>6.2660989795151609</v>
      </c>
      <c r="L950" s="10">
        <v>8554.494507341491</v>
      </c>
      <c r="O950" s="14">
        <v>7.3279454325747073</v>
      </c>
      <c r="P950" s="10">
        <v>10182.039517717329</v>
      </c>
      <c r="R950" s="19">
        <f t="shared" si="102"/>
        <v>1.0618464530595464</v>
      </c>
      <c r="S950" s="23">
        <f t="shared" si="103"/>
        <v>1627.5450103758376</v>
      </c>
      <c r="U950" s="23">
        <f t="shared" si="104"/>
        <v>1532.7498676351165</v>
      </c>
      <c r="AA950" s="18">
        <f t="shared" si="105"/>
        <v>1</v>
      </c>
      <c r="AF950" s="23">
        <f t="shared" si="106"/>
        <v>51464.777642601475</v>
      </c>
      <c r="AL950" s="18">
        <f t="shared" si="107"/>
        <v>1</v>
      </c>
    </row>
    <row r="951" spans="9:38" x14ac:dyDescent="0.2">
      <c r="I951" s="4">
        <v>944</v>
      </c>
      <c r="K951" s="14">
        <v>6.9430072290390594</v>
      </c>
      <c r="L951" s="10">
        <v>7020.1129176043751</v>
      </c>
      <c r="O951" s="14">
        <v>7.2412723181910303</v>
      </c>
      <c r="P951" s="10">
        <v>9854.4677672639209</v>
      </c>
      <c r="R951" s="19">
        <f t="shared" si="102"/>
        <v>0.29826508915197092</v>
      </c>
      <c r="S951" s="23">
        <f t="shared" si="103"/>
        <v>2834.3548496595458</v>
      </c>
      <c r="U951" s="23">
        <f t="shared" si="104"/>
        <v>9502.8045612652841</v>
      </c>
      <c r="AA951" s="18">
        <f t="shared" si="105"/>
        <v>1</v>
      </c>
      <c r="AF951" s="23">
        <f t="shared" si="106"/>
        <v>12078.899607939002</v>
      </c>
      <c r="AL951" s="18">
        <f t="shared" si="107"/>
        <v>1</v>
      </c>
    </row>
    <row r="952" spans="9:38" x14ac:dyDescent="0.2">
      <c r="I952" s="4">
        <v>945</v>
      </c>
      <c r="K952" s="14">
        <v>6.3171031968970865</v>
      </c>
      <c r="L952" s="10">
        <v>6679.0367421620431</v>
      </c>
      <c r="O952" s="14">
        <v>7.1507991550875829</v>
      </c>
      <c r="P952" s="10">
        <v>9728.925806581241</v>
      </c>
      <c r="R952" s="19">
        <f t="shared" si="102"/>
        <v>0.83369595819049636</v>
      </c>
      <c r="S952" s="23">
        <f t="shared" si="103"/>
        <v>3049.8890644191979</v>
      </c>
      <c r="U952" s="23">
        <f t="shared" si="104"/>
        <v>3658.2749795727209</v>
      </c>
      <c r="AA952" s="18">
        <f t="shared" si="105"/>
        <v>1</v>
      </c>
      <c r="AF952" s="23">
        <f t="shared" si="106"/>
        <v>38634.908845105616</v>
      </c>
      <c r="AL952" s="18">
        <f t="shared" si="107"/>
        <v>1</v>
      </c>
    </row>
    <row r="953" spans="9:38" x14ac:dyDescent="0.2">
      <c r="I953" s="4">
        <v>946</v>
      </c>
      <c r="K953" s="14">
        <v>6.628943154723971</v>
      </c>
      <c r="L953" s="10">
        <v>7283.105651740183</v>
      </c>
      <c r="O953" s="14">
        <v>6.9020094807709507</v>
      </c>
      <c r="P953" s="10">
        <v>10060.516538299411</v>
      </c>
      <c r="R953" s="19">
        <f t="shared" si="102"/>
        <v>0.27306632604697967</v>
      </c>
      <c r="S953" s="23">
        <f t="shared" si="103"/>
        <v>2777.4108865592279</v>
      </c>
      <c r="U953" s="23">
        <f t="shared" si="104"/>
        <v>10171.195133307607</v>
      </c>
      <c r="AA953" s="18">
        <f t="shared" si="105"/>
        <v>1</v>
      </c>
      <c r="AF953" s="23">
        <f t="shared" si="106"/>
        <v>10875.905415789755</v>
      </c>
      <c r="AL953" s="18">
        <f t="shared" si="107"/>
        <v>1</v>
      </c>
    </row>
    <row r="954" spans="9:38" x14ac:dyDescent="0.2">
      <c r="I954" s="4">
        <v>947</v>
      </c>
      <c r="K954" s="14">
        <v>6.1783210163044195</v>
      </c>
      <c r="L954" s="10">
        <v>8896.9574766583464</v>
      </c>
      <c r="O954" s="14">
        <v>6.8932651201336919</v>
      </c>
      <c r="P954" s="10">
        <v>9610.5394194845394</v>
      </c>
      <c r="R954" s="19">
        <f t="shared" si="102"/>
        <v>0.71494410382927231</v>
      </c>
      <c r="S954" s="23">
        <f t="shared" si="103"/>
        <v>713.58194282619297</v>
      </c>
      <c r="U954" s="23">
        <f t="shared" si="104"/>
        <v>998.09473076876418</v>
      </c>
      <c r="AA954" s="18">
        <f t="shared" si="105"/>
        <v>1</v>
      </c>
      <c r="AF954" s="23">
        <f t="shared" si="106"/>
        <v>35033.623248637421</v>
      </c>
      <c r="AL954" s="18">
        <f t="shared" si="107"/>
        <v>1</v>
      </c>
    </row>
    <row r="955" spans="9:38" x14ac:dyDescent="0.2">
      <c r="I955" s="4">
        <v>948</v>
      </c>
      <c r="K955" s="14">
        <v>6.252662656706498</v>
      </c>
      <c r="L955" s="10">
        <v>8652.5914337833929</v>
      </c>
      <c r="O955" s="14">
        <v>7.6027217808728969</v>
      </c>
      <c r="P955" s="10">
        <v>10169.901362281689</v>
      </c>
      <c r="R955" s="19">
        <f t="shared" si="102"/>
        <v>1.3500591241663988</v>
      </c>
      <c r="S955" s="23">
        <f t="shared" si="103"/>
        <v>1517.3099284982964</v>
      </c>
      <c r="U955" s="23">
        <f t="shared" si="104"/>
        <v>1123.8840591038318</v>
      </c>
      <c r="AA955" s="18">
        <f t="shared" si="105"/>
        <v>1</v>
      </c>
      <c r="AF955" s="23">
        <f t="shared" si="106"/>
        <v>65985.646279821638</v>
      </c>
      <c r="AL955" s="18">
        <f t="shared" si="107"/>
        <v>1</v>
      </c>
    </row>
    <row r="956" spans="9:38" x14ac:dyDescent="0.2">
      <c r="I956" s="4">
        <v>949</v>
      </c>
      <c r="K956" s="14">
        <v>6.2364060957187313</v>
      </c>
      <c r="L956" s="10">
        <v>5596.0253705408968</v>
      </c>
      <c r="O956" s="14">
        <v>6.6949982243216448</v>
      </c>
      <c r="P956" s="10">
        <v>9136.8453652983953</v>
      </c>
      <c r="R956" s="19">
        <f t="shared" si="102"/>
        <v>0.45859212860291354</v>
      </c>
      <c r="S956" s="23">
        <f t="shared" si="103"/>
        <v>3540.8199947574985</v>
      </c>
      <c r="U956" s="23">
        <f t="shared" si="104"/>
        <v>7721.0657879028477</v>
      </c>
      <c r="AA956" s="18">
        <f t="shared" si="105"/>
        <v>1</v>
      </c>
      <c r="AF956" s="23">
        <f t="shared" si="106"/>
        <v>19388.786435388178</v>
      </c>
      <c r="AL956" s="18">
        <f t="shared" si="107"/>
        <v>1</v>
      </c>
    </row>
    <row r="957" spans="9:38" x14ac:dyDescent="0.2">
      <c r="I957" s="4">
        <v>950</v>
      </c>
      <c r="K957" s="14">
        <v>5.9034380718989334</v>
      </c>
      <c r="L957" s="10">
        <v>9559.4470978765476</v>
      </c>
      <c r="O957" s="14">
        <v>7.2237514060816208</v>
      </c>
      <c r="P957" s="10">
        <v>9669.9353794744256</v>
      </c>
      <c r="R957" s="19">
        <f t="shared" si="102"/>
        <v>1.3203133341826874</v>
      </c>
      <c r="S957" s="23">
        <f t="shared" si="103"/>
        <v>110.48828159787809</v>
      </c>
      <c r="U957" s="23">
        <f t="shared" si="104"/>
        <v>83.683379344399015</v>
      </c>
      <c r="AA957" s="18">
        <f t="shared" si="105"/>
        <v>1</v>
      </c>
      <c r="AF957" s="23">
        <f t="shared" si="106"/>
        <v>65905.178427536492</v>
      </c>
      <c r="AL957" s="18">
        <f t="shared" si="107"/>
        <v>1</v>
      </c>
    </row>
    <row r="958" spans="9:38" x14ac:dyDescent="0.2">
      <c r="I958" s="4">
        <v>951</v>
      </c>
      <c r="K958" s="14">
        <v>6.0315735549303744</v>
      </c>
      <c r="L958" s="10">
        <v>6922.399375191404</v>
      </c>
      <c r="O958" s="14">
        <v>7.4704357200202036</v>
      </c>
      <c r="P958" s="10">
        <v>10332.84542705493</v>
      </c>
      <c r="R958" s="19">
        <f t="shared" si="102"/>
        <v>1.4388621650898292</v>
      </c>
      <c r="S958" s="23">
        <f t="shared" si="103"/>
        <v>3410.446051863526</v>
      </c>
      <c r="U958" s="23">
        <f t="shared" si="104"/>
        <v>2370.2381886249746</v>
      </c>
      <c r="AA958" s="18">
        <f t="shared" si="105"/>
        <v>1</v>
      </c>
      <c r="AF958" s="23">
        <f t="shared" si="106"/>
        <v>68532.662202627936</v>
      </c>
      <c r="AL958" s="18">
        <f t="shared" si="107"/>
        <v>1</v>
      </c>
    </row>
    <row r="959" spans="9:38" x14ac:dyDescent="0.2">
      <c r="I959" s="4">
        <v>952</v>
      </c>
      <c r="K959" s="14">
        <v>6.2752356261628934</v>
      </c>
      <c r="L959" s="10">
        <v>6324.108705730594</v>
      </c>
      <c r="O959" s="14">
        <v>7.652393131786897</v>
      </c>
      <c r="P959" s="10">
        <v>10045.224302280107</v>
      </c>
      <c r="R959" s="19">
        <f t="shared" si="102"/>
        <v>1.3771575056240035</v>
      </c>
      <c r="S959" s="23">
        <f t="shared" si="103"/>
        <v>3721.1155965495127</v>
      </c>
      <c r="U959" s="23">
        <f t="shared" si="104"/>
        <v>2702.0261526755712</v>
      </c>
      <c r="AA959" s="18">
        <f t="shared" si="105"/>
        <v>1</v>
      </c>
      <c r="AF959" s="23">
        <f t="shared" si="106"/>
        <v>65136.759684650664</v>
      </c>
      <c r="AL959" s="18">
        <f t="shared" si="107"/>
        <v>1</v>
      </c>
    </row>
    <row r="960" spans="9:38" x14ac:dyDescent="0.2">
      <c r="I960" s="4">
        <v>953</v>
      </c>
      <c r="K960" s="14">
        <v>6.6656287314939284</v>
      </c>
      <c r="L960" s="10">
        <v>6027.2199735399518</v>
      </c>
      <c r="O960" s="14">
        <v>6.8781013328963718</v>
      </c>
      <c r="P960" s="10">
        <v>9218.3076069530689</v>
      </c>
      <c r="R960" s="19">
        <f t="shared" si="102"/>
        <v>0.2124726014024434</v>
      </c>
      <c r="S960" s="23">
        <f t="shared" si="103"/>
        <v>3191.0876334131171</v>
      </c>
      <c r="U960" s="23">
        <f t="shared" si="104"/>
        <v>15018.819425893376</v>
      </c>
      <c r="AA960" s="18">
        <f t="shared" si="105"/>
        <v>1</v>
      </c>
      <c r="AF960" s="23">
        <f t="shared" si="106"/>
        <v>7432.5424367090527</v>
      </c>
      <c r="AL960" s="18">
        <f t="shared" si="107"/>
        <v>1</v>
      </c>
    </row>
    <row r="961" spans="9:38" x14ac:dyDescent="0.2">
      <c r="I961" s="4">
        <v>954</v>
      </c>
      <c r="K961" s="14">
        <v>6.3571033797520737</v>
      </c>
      <c r="L961" s="10">
        <v>6181.3562445989264</v>
      </c>
      <c r="O961" s="14">
        <v>7.0962370227657265</v>
      </c>
      <c r="P961" s="10">
        <v>10180.527555993718</v>
      </c>
      <c r="R961" s="19">
        <f t="shared" si="102"/>
        <v>0.73913364301365281</v>
      </c>
      <c r="S961" s="23">
        <f t="shared" si="103"/>
        <v>3999.1713113947917</v>
      </c>
      <c r="U961" s="23">
        <f t="shared" si="104"/>
        <v>5410.6200538904732</v>
      </c>
      <c r="AA961" s="18">
        <f t="shared" si="105"/>
        <v>1</v>
      </c>
      <c r="AF961" s="23">
        <f t="shared" si="106"/>
        <v>32957.510839287846</v>
      </c>
      <c r="AL961" s="18">
        <f t="shared" si="107"/>
        <v>1</v>
      </c>
    </row>
    <row r="962" spans="9:38" x14ac:dyDescent="0.2">
      <c r="I962" s="4">
        <v>955</v>
      </c>
      <c r="K962" s="14">
        <v>6.8032544388304359</v>
      </c>
      <c r="L962" s="10">
        <v>8908.8833387441173</v>
      </c>
      <c r="O962" s="14">
        <v>6.8779800709499987</v>
      </c>
      <c r="P962" s="10">
        <v>9141.0511886312433</v>
      </c>
      <c r="R962" s="19">
        <f t="shared" si="102"/>
        <v>7.4725632119562846E-2</v>
      </c>
      <c r="S962" s="23">
        <f t="shared" si="103"/>
        <v>232.16784988712607</v>
      </c>
      <c r="U962" s="23">
        <f t="shared" si="104"/>
        <v>3106.9372489971288</v>
      </c>
      <c r="AA962" s="18">
        <f t="shared" si="105"/>
        <v>1</v>
      </c>
      <c r="AF962" s="23">
        <f t="shared" si="106"/>
        <v>3504.1137560910161</v>
      </c>
      <c r="AL962" s="18">
        <f t="shared" si="107"/>
        <v>1</v>
      </c>
    </row>
    <row r="963" spans="9:38" x14ac:dyDescent="0.2">
      <c r="I963" s="4">
        <v>956</v>
      </c>
      <c r="K963" s="14">
        <v>6.6884494313668332</v>
      </c>
      <c r="L963" s="10">
        <v>6050.2695807653017</v>
      </c>
      <c r="O963" s="14">
        <v>7.2784629818836342</v>
      </c>
      <c r="P963" s="10">
        <v>9921.923131330761</v>
      </c>
      <c r="R963" s="19">
        <f t="shared" si="102"/>
        <v>0.59001355051680093</v>
      </c>
      <c r="S963" s="23">
        <f t="shared" si="103"/>
        <v>3871.6535505654592</v>
      </c>
      <c r="U963" s="23">
        <f t="shared" si="104"/>
        <v>6561.9739532663698</v>
      </c>
      <c r="AA963" s="18">
        <f t="shared" si="105"/>
        <v>1</v>
      </c>
      <c r="AF963" s="23">
        <f t="shared" si="106"/>
        <v>25629.023975274584</v>
      </c>
      <c r="AL963" s="18">
        <f t="shared" si="107"/>
        <v>1</v>
      </c>
    </row>
    <row r="964" spans="9:38" x14ac:dyDescent="0.2">
      <c r="I964" s="4">
        <v>957</v>
      </c>
      <c r="K964" s="14">
        <v>6.658557132088009</v>
      </c>
      <c r="L964" s="10">
        <v>6059.2086102959993</v>
      </c>
      <c r="O964" s="14">
        <v>6.7648261940524126</v>
      </c>
      <c r="P964" s="10">
        <v>9233.9931725286187</v>
      </c>
      <c r="R964" s="19">
        <f t="shared" si="102"/>
        <v>0.10626906196440356</v>
      </c>
      <c r="S964" s="23">
        <f t="shared" si="103"/>
        <v>3174.7845622326195</v>
      </c>
      <c r="U964" s="23">
        <f t="shared" si="104"/>
        <v>29874.965521913255</v>
      </c>
      <c r="AA964" s="18">
        <f t="shared" si="105"/>
        <v>1</v>
      </c>
      <c r="AF964" s="23">
        <f t="shared" si="106"/>
        <v>2138.6685359875582</v>
      </c>
      <c r="AL964" s="18">
        <f t="shared" si="107"/>
        <v>1</v>
      </c>
    </row>
    <row r="965" spans="9:38" x14ac:dyDescent="0.2">
      <c r="I965" s="4">
        <v>958</v>
      </c>
      <c r="K965" s="14">
        <v>6.4802427053556872</v>
      </c>
      <c r="L965" s="10">
        <v>6843.5373873142653</v>
      </c>
      <c r="O965" s="14">
        <v>7.6196170705243791</v>
      </c>
      <c r="P965" s="10">
        <v>10107.099257490836</v>
      </c>
      <c r="R965" s="19">
        <f t="shared" si="102"/>
        <v>1.1393743651686918</v>
      </c>
      <c r="S965" s="23">
        <f t="shared" si="103"/>
        <v>3263.5618701765707</v>
      </c>
      <c r="U965" s="23">
        <f t="shared" si="104"/>
        <v>2864.3455302712368</v>
      </c>
      <c r="AA965" s="18">
        <f t="shared" si="105"/>
        <v>1</v>
      </c>
      <c r="AF965" s="23">
        <f t="shared" si="106"/>
        <v>53705.156388258023</v>
      </c>
      <c r="AL965" s="18">
        <f t="shared" si="107"/>
        <v>1</v>
      </c>
    </row>
    <row r="966" spans="9:38" x14ac:dyDescent="0.2">
      <c r="I966" s="4">
        <v>959</v>
      </c>
      <c r="K966" s="14">
        <v>6.7014693099606539</v>
      </c>
      <c r="L966" s="10">
        <v>8069.3624987697704</v>
      </c>
      <c r="O966" s="14">
        <v>7.1986626635278697</v>
      </c>
      <c r="P966" s="10">
        <v>10025.223911141009</v>
      </c>
      <c r="R966" s="19">
        <f t="shared" si="102"/>
        <v>0.49719335356721572</v>
      </c>
      <c r="S966" s="23">
        <f t="shared" si="103"/>
        <v>1955.8614123712387</v>
      </c>
      <c r="U966" s="23">
        <f t="shared" si="104"/>
        <v>3933.8044210336075</v>
      </c>
      <c r="AA966" s="18">
        <f t="shared" si="105"/>
        <v>1</v>
      </c>
      <c r="AF966" s="23">
        <f t="shared" si="106"/>
        <v>22903.806265989548</v>
      </c>
      <c r="AL966" s="18">
        <f t="shared" si="107"/>
        <v>1</v>
      </c>
    </row>
    <row r="967" spans="9:38" x14ac:dyDescent="0.2">
      <c r="I967" s="4">
        <v>960</v>
      </c>
      <c r="K967" s="14">
        <v>7.0284831008999529</v>
      </c>
      <c r="L967" s="10">
        <v>5898.6674859648874</v>
      </c>
      <c r="O967" s="14">
        <v>6.84991414450747</v>
      </c>
      <c r="P967" s="10">
        <v>9427.6885730626982</v>
      </c>
      <c r="R967" s="19">
        <f t="shared" si="102"/>
        <v>-0.17856895639248282</v>
      </c>
      <c r="S967" s="23">
        <f t="shared" si="103"/>
        <v>3529.0210870978108</v>
      </c>
      <c r="U967" s="23">
        <f t="shared" si="104"/>
        <v>-19762.791687829853</v>
      </c>
      <c r="AA967" s="18">
        <f t="shared" si="105"/>
        <v>0</v>
      </c>
      <c r="AF967" s="23">
        <f t="shared" si="106"/>
        <v>-12457.468906721951</v>
      </c>
      <c r="AL967" s="18">
        <f t="shared" si="107"/>
        <v>0</v>
      </c>
    </row>
    <row r="968" spans="9:38" x14ac:dyDescent="0.2">
      <c r="I968" s="4">
        <v>961</v>
      </c>
      <c r="K968" s="14">
        <v>6.5699196766220815</v>
      </c>
      <c r="L968" s="10">
        <v>7201.195182688627</v>
      </c>
      <c r="O968" s="14">
        <v>6.91175127763257</v>
      </c>
      <c r="P968" s="10">
        <v>9328.6652360667122</v>
      </c>
      <c r="R968" s="19">
        <f t="shared" ref="R968:R1007" si="108">O968-K968</f>
        <v>0.34183160101048848</v>
      </c>
      <c r="S968" s="23">
        <f t="shared" ref="S968:S1007" si="109">P968-L968</f>
        <v>2127.4700533780851</v>
      </c>
      <c r="U968" s="23">
        <f t="shared" ref="U968:U1007" si="110">S968/R968</f>
        <v>6223.7372059489826</v>
      </c>
      <c r="AA968" s="18">
        <f t="shared" ref="AA968:AA1007" si="111">IF(R968&lt;0,IF(U968&lt;Rc_,0,1),IF(U968&lt;Rc_,1,0))</f>
        <v>1</v>
      </c>
      <c r="AF968" s="23">
        <f t="shared" ref="AF968:AF1007" si="112">R968*Rc_-S968</f>
        <v>14964.109997146337</v>
      </c>
      <c r="AL968" s="18">
        <f t="shared" ref="AL968:AL1007" si="113">IF(AF968&gt;0,1,0)</f>
        <v>1</v>
      </c>
    </row>
    <row r="969" spans="9:38" x14ac:dyDescent="0.2">
      <c r="I969" s="4">
        <v>962</v>
      </c>
      <c r="K969" s="14">
        <v>6.502594147145869</v>
      </c>
      <c r="L969" s="10">
        <v>6010.3672208062499</v>
      </c>
      <c r="O969" s="14">
        <v>7.3470127033498898</v>
      </c>
      <c r="P969" s="10">
        <v>9941.3284385937659</v>
      </c>
      <c r="R969" s="19">
        <f t="shared" si="108"/>
        <v>0.84441855620402073</v>
      </c>
      <c r="S969" s="23">
        <f t="shared" si="109"/>
        <v>3930.961217787516</v>
      </c>
      <c r="U969" s="23">
        <f t="shared" si="110"/>
        <v>4655.2283685695711</v>
      </c>
      <c r="AA969" s="18">
        <f t="shared" si="111"/>
        <v>1</v>
      </c>
      <c r="AF969" s="23">
        <f t="shared" si="112"/>
        <v>38289.966592413519</v>
      </c>
      <c r="AL969" s="18">
        <f t="shared" si="113"/>
        <v>1</v>
      </c>
    </row>
    <row r="970" spans="9:38" x14ac:dyDescent="0.2">
      <c r="I970" s="4">
        <v>963</v>
      </c>
      <c r="K970" s="14">
        <v>5.9067730234411133</v>
      </c>
      <c r="L970" s="10">
        <v>5826.9084025658904</v>
      </c>
      <c r="O970" s="14">
        <v>6.951501607224146</v>
      </c>
      <c r="P970" s="10">
        <v>9743.6920358089174</v>
      </c>
      <c r="R970" s="19">
        <f t="shared" si="108"/>
        <v>1.0447285837830327</v>
      </c>
      <c r="S970" s="23">
        <f t="shared" si="109"/>
        <v>3916.783633243027</v>
      </c>
      <c r="U970" s="23">
        <f t="shared" si="110"/>
        <v>3749.0920551442073</v>
      </c>
      <c r="AA970" s="18">
        <f t="shared" si="111"/>
        <v>1</v>
      </c>
      <c r="AF970" s="23">
        <f t="shared" si="112"/>
        <v>48319.645555908603</v>
      </c>
      <c r="AL970" s="18">
        <f t="shared" si="113"/>
        <v>1</v>
      </c>
    </row>
    <row r="971" spans="9:38" x14ac:dyDescent="0.2">
      <c r="I971" s="4">
        <v>964</v>
      </c>
      <c r="K971" s="14">
        <v>6.0461962361108874</v>
      </c>
      <c r="L971" s="10">
        <v>5824.4680670953685</v>
      </c>
      <c r="O971" s="14">
        <v>7.1605550282573303</v>
      </c>
      <c r="P971" s="10">
        <v>9382.6905739911563</v>
      </c>
      <c r="R971" s="19">
        <f t="shared" si="108"/>
        <v>1.1143587921464428</v>
      </c>
      <c r="S971" s="23">
        <f t="shared" si="109"/>
        <v>3558.2225068957878</v>
      </c>
      <c r="U971" s="23">
        <f t="shared" si="110"/>
        <v>3193.0671987987384</v>
      </c>
      <c r="AA971" s="18">
        <f t="shared" si="111"/>
        <v>1</v>
      </c>
      <c r="AF971" s="23">
        <f t="shared" si="112"/>
        <v>52159.717100426358</v>
      </c>
      <c r="AL971" s="18">
        <f t="shared" si="113"/>
        <v>1</v>
      </c>
    </row>
    <row r="972" spans="9:38" x14ac:dyDescent="0.2">
      <c r="I972" s="4">
        <v>965</v>
      </c>
      <c r="K972" s="14">
        <v>6.5057571243585608</v>
      </c>
      <c r="L972" s="10">
        <v>7815.0041094801591</v>
      </c>
      <c r="O972" s="14">
        <v>7.0505413108986286</v>
      </c>
      <c r="P972" s="10">
        <v>9177.6960979451942</v>
      </c>
      <c r="R972" s="19">
        <f t="shared" si="108"/>
        <v>0.54478418654006777</v>
      </c>
      <c r="S972" s="23">
        <f t="shared" si="109"/>
        <v>1362.6919884650351</v>
      </c>
      <c r="U972" s="23">
        <f t="shared" si="110"/>
        <v>2501.3427741350415</v>
      </c>
      <c r="AA972" s="18">
        <f t="shared" si="111"/>
        <v>1</v>
      </c>
      <c r="AF972" s="23">
        <f t="shared" si="112"/>
        <v>25876.517338538353</v>
      </c>
      <c r="AL972" s="18">
        <f t="shared" si="113"/>
        <v>1</v>
      </c>
    </row>
    <row r="973" spans="9:38" x14ac:dyDescent="0.2">
      <c r="I973" s="4">
        <v>966</v>
      </c>
      <c r="K973" s="14">
        <v>6.4343857646903224</v>
      </c>
      <c r="L973" s="10">
        <v>8327.2567287162128</v>
      </c>
      <c r="O973" s="14">
        <v>6.3049676701274837</v>
      </c>
      <c r="P973" s="10">
        <v>8862.9449658187732</v>
      </c>
      <c r="R973" s="19">
        <f t="shared" si="108"/>
        <v>-0.1294180945628387</v>
      </c>
      <c r="S973" s="23">
        <f t="shared" si="109"/>
        <v>535.68823710256038</v>
      </c>
      <c r="U973" s="23">
        <f t="shared" si="110"/>
        <v>-4139.2066458099334</v>
      </c>
      <c r="AA973" s="18">
        <f t="shared" si="111"/>
        <v>0</v>
      </c>
      <c r="AF973" s="23">
        <f t="shared" si="112"/>
        <v>-7006.5929652444956</v>
      </c>
      <c r="AL973" s="18">
        <f t="shared" si="113"/>
        <v>0</v>
      </c>
    </row>
    <row r="974" spans="9:38" x14ac:dyDescent="0.2">
      <c r="I974" s="4">
        <v>967</v>
      </c>
      <c r="K974" s="14">
        <v>6.208414161370138</v>
      </c>
      <c r="L974" s="10">
        <v>6429.6562606133057</v>
      </c>
      <c r="O974" s="14">
        <v>6.9289494297358623</v>
      </c>
      <c r="P974" s="10">
        <v>10000.195894111439</v>
      </c>
      <c r="R974" s="19">
        <f t="shared" si="108"/>
        <v>0.72053526836572424</v>
      </c>
      <c r="S974" s="23">
        <f t="shared" si="109"/>
        <v>3570.5396334981333</v>
      </c>
      <c r="U974" s="23">
        <f t="shared" si="110"/>
        <v>4955.3988406377684</v>
      </c>
      <c r="AA974" s="18">
        <f t="shared" si="111"/>
        <v>1</v>
      </c>
      <c r="AF974" s="23">
        <f t="shared" si="112"/>
        <v>32456.223784788075</v>
      </c>
      <c r="AL974" s="18">
        <f t="shared" si="113"/>
        <v>1</v>
      </c>
    </row>
    <row r="975" spans="9:38" x14ac:dyDescent="0.2">
      <c r="I975" s="4">
        <v>968</v>
      </c>
      <c r="K975" s="14">
        <v>6.1548903366103547</v>
      </c>
      <c r="L975" s="10">
        <v>6640.089486896627</v>
      </c>
      <c r="O975" s="14">
        <v>7.6875012646989624</v>
      </c>
      <c r="P975" s="10">
        <v>9987.270670578715</v>
      </c>
      <c r="R975" s="19">
        <f t="shared" si="108"/>
        <v>1.5326109280886078</v>
      </c>
      <c r="S975" s="23">
        <f t="shared" si="109"/>
        <v>3347.181183682088</v>
      </c>
      <c r="U975" s="23">
        <f t="shared" si="110"/>
        <v>2183.973193938084</v>
      </c>
      <c r="AA975" s="18">
        <f t="shared" si="111"/>
        <v>1</v>
      </c>
      <c r="AF975" s="23">
        <f t="shared" si="112"/>
        <v>73283.36522074831</v>
      </c>
      <c r="AL975" s="18">
        <f t="shared" si="113"/>
        <v>1</v>
      </c>
    </row>
    <row r="976" spans="9:38" x14ac:dyDescent="0.2">
      <c r="I976" s="4">
        <v>969</v>
      </c>
      <c r="K976" s="14">
        <v>6.3137886538208319</v>
      </c>
      <c r="L976" s="10">
        <v>6558.5498188163701</v>
      </c>
      <c r="O976" s="14">
        <v>6.8669951657587198</v>
      </c>
      <c r="P976" s="10">
        <v>9914.4826313835038</v>
      </c>
      <c r="R976" s="19">
        <f t="shared" si="108"/>
        <v>0.55320651193788795</v>
      </c>
      <c r="S976" s="23">
        <f t="shared" si="109"/>
        <v>3355.9328125671336</v>
      </c>
      <c r="U976" s="23">
        <f t="shared" si="110"/>
        <v>6066.3291919888425</v>
      </c>
      <c r="AA976" s="18">
        <f t="shared" si="111"/>
        <v>1</v>
      </c>
      <c r="AF976" s="23">
        <f t="shared" si="112"/>
        <v>24304.392784327261</v>
      </c>
      <c r="AL976" s="18">
        <f t="shared" si="113"/>
        <v>1</v>
      </c>
    </row>
    <row r="977" spans="9:38" x14ac:dyDescent="0.2">
      <c r="I977" s="4">
        <v>970</v>
      </c>
      <c r="K977" s="14">
        <v>6.4079102581921692</v>
      </c>
      <c r="L977" s="10">
        <v>9961.7033854159927</v>
      </c>
      <c r="O977" s="14">
        <v>6.7599887624949728</v>
      </c>
      <c r="P977" s="10">
        <v>9837.6672208637647</v>
      </c>
      <c r="R977" s="19">
        <f t="shared" si="108"/>
        <v>0.35207850430280363</v>
      </c>
      <c r="S977" s="23">
        <f t="shared" si="109"/>
        <v>-124.036164552228</v>
      </c>
      <c r="U977" s="23">
        <f t="shared" si="110"/>
        <v>-352.29689696009166</v>
      </c>
      <c r="AA977" s="18">
        <f t="shared" si="111"/>
        <v>1</v>
      </c>
      <c r="AF977" s="23">
        <f t="shared" si="112"/>
        <v>17727.96137969241</v>
      </c>
      <c r="AL977" s="18">
        <f t="shared" si="113"/>
        <v>1</v>
      </c>
    </row>
    <row r="978" spans="9:38" x14ac:dyDescent="0.2">
      <c r="I978" s="4">
        <v>971</v>
      </c>
      <c r="K978" s="14">
        <v>6.0655034989570433</v>
      </c>
      <c r="L978" s="10">
        <v>8058.5266087151576</v>
      </c>
      <c r="O978" s="14">
        <v>7.1687861080575344</v>
      </c>
      <c r="P978" s="10">
        <v>9977.9919085726033</v>
      </c>
      <c r="R978" s="19">
        <f t="shared" si="108"/>
        <v>1.103282609100491</v>
      </c>
      <c r="S978" s="23">
        <f t="shared" si="109"/>
        <v>1919.4652998574456</v>
      </c>
      <c r="U978" s="23">
        <f t="shared" si="110"/>
        <v>1739.7766302347413</v>
      </c>
      <c r="AA978" s="18">
        <f t="shared" si="111"/>
        <v>1</v>
      </c>
      <c r="AF978" s="23">
        <f t="shared" si="112"/>
        <v>53244.665155167109</v>
      </c>
      <c r="AL978" s="18">
        <f t="shared" si="113"/>
        <v>1</v>
      </c>
    </row>
    <row r="979" spans="9:38" x14ac:dyDescent="0.2">
      <c r="I979" s="4">
        <v>972</v>
      </c>
      <c r="K979" s="14">
        <v>6.3565654003401484</v>
      </c>
      <c r="L979" s="10">
        <v>8348.1804008596555</v>
      </c>
      <c r="O979" s="14">
        <v>6.5650733372764822</v>
      </c>
      <c r="P979" s="10">
        <v>9651.5959162028703</v>
      </c>
      <c r="R979" s="19">
        <f t="shared" si="108"/>
        <v>0.20850793693633385</v>
      </c>
      <c r="S979" s="23">
        <f t="shared" si="109"/>
        <v>1303.4155153432148</v>
      </c>
      <c r="U979" s="23">
        <f t="shared" si="110"/>
        <v>6251.15539722213</v>
      </c>
      <c r="AA979" s="18">
        <f t="shared" si="111"/>
        <v>1</v>
      </c>
      <c r="AF979" s="23">
        <f t="shared" si="112"/>
        <v>9121.9813314734783</v>
      </c>
      <c r="AL979" s="18">
        <f t="shared" si="113"/>
        <v>1</v>
      </c>
    </row>
    <row r="980" spans="9:38" x14ac:dyDescent="0.2">
      <c r="I980" s="4">
        <v>973</v>
      </c>
      <c r="K980" s="14">
        <v>6.7087670705989657</v>
      </c>
      <c r="L980" s="10">
        <v>6586.8401619313518</v>
      </c>
      <c r="O980" s="14">
        <v>7.5805899196484692</v>
      </c>
      <c r="P980" s="10">
        <v>10006.834136090178</v>
      </c>
      <c r="R980" s="19">
        <f t="shared" si="108"/>
        <v>0.87182284904950347</v>
      </c>
      <c r="S980" s="23">
        <f t="shared" si="109"/>
        <v>3419.9939741588259</v>
      </c>
      <c r="U980" s="23">
        <f t="shared" si="110"/>
        <v>3922.8083754485692</v>
      </c>
      <c r="AA980" s="18">
        <f t="shared" si="111"/>
        <v>1</v>
      </c>
      <c r="AF980" s="23">
        <f t="shared" si="112"/>
        <v>40171.148478316347</v>
      </c>
      <c r="AL980" s="18">
        <f t="shared" si="113"/>
        <v>1</v>
      </c>
    </row>
    <row r="981" spans="9:38" x14ac:dyDescent="0.2">
      <c r="I981" s="4">
        <v>974</v>
      </c>
      <c r="K981" s="14">
        <v>6.305226194838192</v>
      </c>
      <c r="L981" s="10">
        <v>5907.5067352646856</v>
      </c>
      <c r="O981" s="14">
        <v>7.0223899029633241</v>
      </c>
      <c r="P981" s="10">
        <v>9606.2474792759349</v>
      </c>
      <c r="R981" s="19">
        <f t="shared" si="108"/>
        <v>0.71716370812513208</v>
      </c>
      <c r="S981" s="23">
        <f t="shared" si="109"/>
        <v>3698.7407440112493</v>
      </c>
      <c r="U981" s="23">
        <f t="shared" si="110"/>
        <v>5157.456661716471</v>
      </c>
      <c r="AA981" s="18">
        <f t="shared" si="111"/>
        <v>1</v>
      </c>
      <c r="AF981" s="23">
        <f t="shared" si="112"/>
        <v>32159.444662245354</v>
      </c>
      <c r="AL981" s="18">
        <f t="shared" si="113"/>
        <v>1</v>
      </c>
    </row>
    <row r="982" spans="9:38" x14ac:dyDescent="0.2">
      <c r="I982" s="4">
        <v>975</v>
      </c>
      <c r="K982" s="14">
        <v>6.2497552529557492</v>
      </c>
      <c r="L982" s="10">
        <v>5454.0039661130568</v>
      </c>
      <c r="O982" s="14">
        <v>6.7522458842293496</v>
      </c>
      <c r="P982" s="10">
        <v>9286.2398267027384</v>
      </c>
      <c r="R982" s="19">
        <f t="shared" si="108"/>
        <v>0.50249063127360039</v>
      </c>
      <c r="S982" s="23">
        <f t="shared" si="109"/>
        <v>3832.2358605896816</v>
      </c>
      <c r="U982" s="23">
        <f t="shared" si="110"/>
        <v>7626.4822109749412</v>
      </c>
      <c r="AA982" s="18">
        <f t="shared" si="111"/>
        <v>1</v>
      </c>
      <c r="AF982" s="23">
        <f t="shared" si="112"/>
        <v>21292.295703090338</v>
      </c>
      <c r="AL982" s="18">
        <f t="shared" si="113"/>
        <v>1</v>
      </c>
    </row>
    <row r="983" spans="9:38" x14ac:dyDescent="0.2">
      <c r="I983" s="4">
        <v>976</v>
      </c>
      <c r="K983" s="14">
        <v>6.5177718069258859</v>
      </c>
      <c r="L983" s="10">
        <v>7477.1677502316488</v>
      </c>
      <c r="O983" s="14">
        <v>7.6452033703201083</v>
      </c>
      <c r="P983" s="10">
        <v>10278.838996334054</v>
      </c>
      <c r="R983" s="19">
        <f t="shared" si="108"/>
        <v>1.1274315633942225</v>
      </c>
      <c r="S983" s="23">
        <f t="shared" si="109"/>
        <v>2801.6712461024053</v>
      </c>
      <c r="U983" s="23">
        <f t="shared" si="110"/>
        <v>2485.0033803096226</v>
      </c>
      <c r="AA983" s="18">
        <f t="shared" si="111"/>
        <v>1</v>
      </c>
      <c r="AF983" s="23">
        <f t="shared" si="112"/>
        <v>53569.906923608716</v>
      </c>
      <c r="AL983" s="18">
        <f t="shared" si="113"/>
        <v>1</v>
      </c>
    </row>
    <row r="984" spans="9:38" x14ac:dyDescent="0.2">
      <c r="I984" s="4">
        <v>977</v>
      </c>
      <c r="K984" s="14">
        <v>6.3078558216592606</v>
      </c>
      <c r="L984" s="10">
        <v>7021.6940489145918</v>
      </c>
      <c r="O984" s="14">
        <v>7.2274132857629665</v>
      </c>
      <c r="P984" s="10">
        <v>10062.698525713011</v>
      </c>
      <c r="R984" s="19">
        <f t="shared" si="108"/>
        <v>0.91955746410370587</v>
      </c>
      <c r="S984" s="23">
        <f t="shared" si="109"/>
        <v>3041.0044767984191</v>
      </c>
      <c r="U984" s="23">
        <f t="shared" si="110"/>
        <v>3307.0303874510887</v>
      </c>
      <c r="AA984" s="18">
        <f t="shared" si="111"/>
        <v>1</v>
      </c>
      <c r="AF984" s="23">
        <f t="shared" si="112"/>
        <v>42936.868728386871</v>
      </c>
      <c r="AL984" s="18">
        <f t="shared" si="113"/>
        <v>1</v>
      </c>
    </row>
    <row r="985" spans="9:38" x14ac:dyDescent="0.2">
      <c r="I985" s="4">
        <v>978</v>
      </c>
      <c r="K985" s="14">
        <v>6.1852912815734733</v>
      </c>
      <c r="L985" s="10">
        <v>6822.80886570437</v>
      </c>
      <c r="O985" s="14">
        <v>6.6983888221498891</v>
      </c>
      <c r="P985" s="10">
        <v>9257.8870802929014</v>
      </c>
      <c r="R985" s="19">
        <f t="shared" si="108"/>
        <v>0.51309754057641577</v>
      </c>
      <c r="S985" s="23">
        <f t="shared" si="109"/>
        <v>2435.0782145885314</v>
      </c>
      <c r="U985" s="23">
        <f t="shared" si="110"/>
        <v>4745.8387967577373</v>
      </c>
      <c r="AA985" s="18">
        <f t="shared" si="111"/>
        <v>1</v>
      </c>
      <c r="AF985" s="23">
        <f t="shared" si="112"/>
        <v>23219.798814232257</v>
      </c>
      <c r="AL985" s="18">
        <f t="shared" si="113"/>
        <v>1</v>
      </c>
    </row>
    <row r="986" spans="9:38" x14ac:dyDescent="0.2">
      <c r="I986" s="4">
        <v>979</v>
      </c>
      <c r="K986" s="14">
        <v>6.3651689342552542</v>
      </c>
      <c r="L986" s="10">
        <v>8910.61377262723</v>
      </c>
      <c r="O986" s="14">
        <v>6.8942657072575324</v>
      </c>
      <c r="P986" s="10">
        <v>8991.1522572549729</v>
      </c>
      <c r="R986" s="19">
        <f t="shared" si="108"/>
        <v>0.5290967730022782</v>
      </c>
      <c r="S986" s="23">
        <f t="shared" si="109"/>
        <v>80.538484627742946</v>
      </c>
      <c r="U986" s="23">
        <f t="shared" si="110"/>
        <v>152.21881655172402</v>
      </c>
      <c r="AA986" s="18">
        <f t="shared" si="111"/>
        <v>1</v>
      </c>
      <c r="AF986" s="23">
        <f t="shared" si="112"/>
        <v>26374.300165486165</v>
      </c>
      <c r="AL986" s="18">
        <f t="shared" si="113"/>
        <v>1</v>
      </c>
    </row>
    <row r="987" spans="9:38" x14ac:dyDescent="0.2">
      <c r="I987" s="4">
        <v>980</v>
      </c>
      <c r="K987" s="14">
        <v>6.1169865700096286</v>
      </c>
      <c r="L987" s="10">
        <v>7065.2998440947131</v>
      </c>
      <c r="O987" s="14">
        <v>6.885353383913408</v>
      </c>
      <c r="P987" s="10">
        <v>9237.3050158329115</v>
      </c>
      <c r="R987" s="19">
        <f t="shared" si="108"/>
        <v>0.76836681390377937</v>
      </c>
      <c r="S987" s="23">
        <f t="shared" si="109"/>
        <v>2172.0051717381984</v>
      </c>
      <c r="U987" s="23">
        <f t="shared" si="110"/>
        <v>2826.7816001878932</v>
      </c>
      <c r="AA987" s="18">
        <f t="shared" si="111"/>
        <v>1</v>
      </c>
      <c r="AF987" s="23">
        <f t="shared" si="112"/>
        <v>36246.335523450769</v>
      </c>
      <c r="AL987" s="18">
        <f t="shared" si="113"/>
        <v>1</v>
      </c>
    </row>
    <row r="988" spans="9:38" x14ac:dyDescent="0.2">
      <c r="I988" s="4">
        <v>981</v>
      </c>
      <c r="K988" s="14">
        <v>6.4978729613129085</v>
      </c>
      <c r="L988" s="10">
        <v>5500.5724516138189</v>
      </c>
      <c r="O988" s="14">
        <v>7.3316492335048409</v>
      </c>
      <c r="P988" s="10">
        <v>10043.924853038845</v>
      </c>
      <c r="R988" s="19">
        <f t="shared" si="108"/>
        <v>0.8337762721919324</v>
      </c>
      <c r="S988" s="23">
        <f t="shared" si="109"/>
        <v>4543.3524014250261</v>
      </c>
      <c r="U988" s="23">
        <f t="shared" si="110"/>
        <v>5449.126525849565</v>
      </c>
      <c r="AA988" s="18">
        <f t="shared" si="111"/>
        <v>1</v>
      </c>
      <c r="AF988" s="23">
        <f t="shared" si="112"/>
        <v>37145.46120817159</v>
      </c>
      <c r="AL988" s="18">
        <f t="shared" si="113"/>
        <v>1</v>
      </c>
    </row>
    <row r="989" spans="9:38" x14ac:dyDescent="0.2">
      <c r="I989" s="4">
        <v>982</v>
      </c>
      <c r="K989" s="14">
        <v>6.9464813437215414</v>
      </c>
      <c r="L989" s="10">
        <v>6189.7386392998869</v>
      </c>
      <c r="O989" s="14">
        <v>6.8739026939833341</v>
      </c>
      <c r="P989" s="10">
        <v>9620.8216551553451</v>
      </c>
      <c r="R989" s="19">
        <f t="shared" si="108"/>
        <v>-7.2578649738207268E-2</v>
      </c>
      <c r="S989" s="23">
        <f t="shared" si="109"/>
        <v>3431.0830158554581</v>
      </c>
      <c r="U989" s="23">
        <f t="shared" si="110"/>
        <v>-47273.999009783831</v>
      </c>
      <c r="AA989" s="18">
        <f t="shared" si="111"/>
        <v>0</v>
      </c>
      <c r="AF989" s="23">
        <f t="shared" si="112"/>
        <v>-7060.015502765822</v>
      </c>
      <c r="AL989" s="18">
        <f t="shared" si="113"/>
        <v>0</v>
      </c>
    </row>
    <row r="990" spans="9:38" x14ac:dyDescent="0.2">
      <c r="I990" s="4">
        <v>983</v>
      </c>
      <c r="K990" s="14">
        <v>6.6914097323306461</v>
      </c>
      <c r="L990" s="10">
        <v>10233.063781587794</v>
      </c>
      <c r="O990" s="14">
        <v>7.0269248535062845</v>
      </c>
      <c r="P990" s="10">
        <v>10635.891787963194</v>
      </c>
      <c r="R990" s="19">
        <f t="shared" si="108"/>
        <v>0.33551512117563842</v>
      </c>
      <c r="S990" s="23">
        <f t="shared" si="109"/>
        <v>402.82800637539913</v>
      </c>
      <c r="U990" s="23">
        <f t="shared" si="110"/>
        <v>1200.6254888420458</v>
      </c>
      <c r="AA990" s="18">
        <f t="shared" si="111"/>
        <v>1</v>
      </c>
      <c r="AF990" s="23">
        <f t="shared" si="112"/>
        <v>16372.928052406522</v>
      </c>
      <c r="AL990" s="18">
        <f t="shared" si="113"/>
        <v>1</v>
      </c>
    </row>
    <row r="991" spans="9:38" x14ac:dyDescent="0.2">
      <c r="I991" s="4">
        <v>984</v>
      </c>
      <c r="K991" s="14">
        <v>6.2435034274280987</v>
      </c>
      <c r="L991" s="10">
        <v>7330.082970997647</v>
      </c>
      <c r="O991" s="14">
        <v>7.8516874084500463</v>
      </c>
      <c r="P991" s="10">
        <v>10770.196038374461</v>
      </c>
      <c r="R991" s="19">
        <f t="shared" si="108"/>
        <v>1.6081839810219476</v>
      </c>
      <c r="S991" s="23">
        <f t="shared" si="109"/>
        <v>3440.1130673768139</v>
      </c>
      <c r="U991" s="23">
        <f t="shared" si="110"/>
        <v>2139.1290474058424</v>
      </c>
      <c r="AA991" s="18">
        <f t="shared" si="111"/>
        <v>1</v>
      </c>
      <c r="AF991" s="23">
        <f t="shared" si="112"/>
        <v>76969.085983720564</v>
      </c>
      <c r="AL991" s="18">
        <f t="shared" si="113"/>
        <v>1</v>
      </c>
    </row>
    <row r="992" spans="9:38" x14ac:dyDescent="0.2">
      <c r="I992" s="4">
        <v>985</v>
      </c>
      <c r="K992" s="14">
        <v>6.3830805064964782</v>
      </c>
      <c r="L992" s="10">
        <v>6525.7107217799894</v>
      </c>
      <c r="O992" s="14">
        <v>8.3320629708069323</v>
      </c>
      <c r="P992" s="10">
        <v>10162.050563171179</v>
      </c>
      <c r="R992" s="19">
        <f t="shared" si="108"/>
        <v>1.9489824643104541</v>
      </c>
      <c r="S992" s="23">
        <f t="shared" si="109"/>
        <v>3636.3398413911891</v>
      </c>
      <c r="U992" s="23">
        <f t="shared" si="110"/>
        <v>1865.7632420914153</v>
      </c>
      <c r="AA992" s="18">
        <f t="shared" si="111"/>
        <v>1</v>
      </c>
      <c r="AF992" s="23">
        <f t="shared" si="112"/>
        <v>93812.783374131512</v>
      </c>
      <c r="AL992" s="18">
        <f t="shared" si="113"/>
        <v>1</v>
      </c>
    </row>
    <row r="993" spans="9:38" x14ac:dyDescent="0.2">
      <c r="I993" s="4">
        <v>986</v>
      </c>
      <c r="K993" s="14">
        <v>6.7423099014959176</v>
      </c>
      <c r="L993" s="10">
        <v>6007.256185683681</v>
      </c>
      <c r="O993" s="14">
        <v>7.2687227940845585</v>
      </c>
      <c r="P993" s="10">
        <v>9222.925476926639</v>
      </c>
      <c r="R993" s="19">
        <f t="shared" si="108"/>
        <v>0.52641289258864088</v>
      </c>
      <c r="S993" s="23">
        <f t="shared" si="109"/>
        <v>3215.669291242958</v>
      </c>
      <c r="U993" s="23">
        <f t="shared" si="110"/>
        <v>6108.6446333597014</v>
      </c>
      <c r="AA993" s="18">
        <f t="shared" si="111"/>
        <v>1</v>
      </c>
      <c r="AF993" s="23">
        <f t="shared" si="112"/>
        <v>23104.975338189088</v>
      </c>
      <c r="AL993" s="18">
        <f t="shared" si="113"/>
        <v>1</v>
      </c>
    </row>
    <row r="994" spans="9:38" x14ac:dyDescent="0.2">
      <c r="I994" s="4">
        <v>987</v>
      </c>
      <c r="K994" s="14">
        <v>7.0616373254972693</v>
      </c>
      <c r="L994" s="10">
        <v>6631.6427183717133</v>
      </c>
      <c r="O994" s="14">
        <v>7.6278701713175083</v>
      </c>
      <c r="P994" s="10">
        <v>9715.1565278460494</v>
      </c>
      <c r="R994" s="19">
        <f t="shared" si="108"/>
        <v>0.56623284582023903</v>
      </c>
      <c r="S994" s="23">
        <f t="shared" si="109"/>
        <v>3083.5138094743361</v>
      </c>
      <c r="U994" s="23">
        <f t="shared" si="110"/>
        <v>5445.6639741687713</v>
      </c>
      <c r="AA994" s="18">
        <f t="shared" si="111"/>
        <v>1</v>
      </c>
      <c r="AF994" s="23">
        <f t="shared" si="112"/>
        <v>25228.128481537613</v>
      </c>
      <c r="AL994" s="18">
        <f t="shared" si="113"/>
        <v>1</v>
      </c>
    </row>
    <row r="995" spans="9:38" x14ac:dyDescent="0.2">
      <c r="I995" s="4">
        <v>988</v>
      </c>
      <c r="K995" s="14">
        <v>6.0070801847631197</v>
      </c>
      <c r="L995" s="10">
        <v>5951.9124350118973</v>
      </c>
      <c r="O995" s="14">
        <v>7.1625151597938377</v>
      </c>
      <c r="P995" s="10">
        <v>9884.6541015411785</v>
      </c>
      <c r="R995" s="19">
        <f t="shared" si="108"/>
        <v>1.155434975030718</v>
      </c>
      <c r="S995" s="23">
        <f t="shared" si="109"/>
        <v>3932.7416665292812</v>
      </c>
      <c r="U995" s="23">
        <f t="shared" si="110"/>
        <v>3403.689304475768</v>
      </c>
      <c r="AA995" s="18">
        <f t="shared" si="111"/>
        <v>1</v>
      </c>
      <c r="AF995" s="23">
        <f t="shared" si="112"/>
        <v>53839.007085006619</v>
      </c>
      <c r="AL995" s="18">
        <f t="shared" si="113"/>
        <v>1</v>
      </c>
    </row>
    <row r="996" spans="9:38" x14ac:dyDescent="0.2">
      <c r="I996" s="4">
        <v>989</v>
      </c>
      <c r="K996" s="14">
        <v>6.5558935240556471</v>
      </c>
      <c r="L996" s="10">
        <v>8654.3142078697747</v>
      </c>
      <c r="O996" s="14">
        <v>6.7308093527797324</v>
      </c>
      <c r="P996" s="10">
        <v>9630.9874099806857</v>
      </c>
      <c r="R996" s="19">
        <f t="shared" si="108"/>
        <v>0.17491582872408529</v>
      </c>
      <c r="S996" s="23">
        <f t="shared" si="109"/>
        <v>976.67320211091101</v>
      </c>
      <c r="U996" s="23">
        <f t="shared" si="110"/>
        <v>5583.6753553706631</v>
      </c>
      <c r="AA996" s="18">
        <f t="shared" si="111"/>
        <v>1</v>
      </c>
      <c r="AF996" s="23">
        <f t="shared" si="112"/>
        <v>7769.1182340933537</v>
      </c>
      <c r="AL996" s="18">
        <f t="shared" si="113"/>
        <v>1</v>
      </c>
    </row>
    <row r="997" spans="9:38" x14ac:dyDescent="0.2">
      <c r="I997" s="4">
        <v>990</v>
      </c>
      <c r="K997" s="14">
        <v>7.0915509547038189</v>
      </c>
      <c r="L997" s="10">
        <v>8604.5831356041417</v>
      </c>
      <c r="O997" s="14">
        <v>7.1623982762629428</v>
      </c>
      <c r="P997" s="10">
        <v>9951.0057568724696</v>
      </c>
      <c r="R997" s="19">
        <f t="shared" si="108"/>
        <v>7.0847321559123877E-2</v>
      </c>
      <c r="S997" s="23">
        <f t="shared" si="109"/>
        <v>1346.4226212683279</v>
      </c>
      <c r="U997" s="23">
        <f t="shared" si="110"/>
        <v>19004.566321462193</v>
      </c>
      <c r="AA997" s="18">
        <f t="shared" si="111"/>
        <v>1</v>
      </c>
      <c r="AF997" s="23">
        <f t="shared" si="112"/>
        <v>2195.9434566878658</v>
      </c>
      <c r="AL997" s="18">
        <f t="shared" si="113"/>
        <v>1</v>
      </c>
    </row>
    <row r="998" spans="9:38" x14ac:dyDescent="0.2">
      <c r="I998" s="4">
        <v>991</v>
      </c>
      <c r="K998" s="14">
        <v>6.1483269386773474</v>
      </c>
      <c r="L998" s="10">
        <v>5630.3802494622314</v>
      </c>
      <c r="O998" s="14">
        <v>7.7341978983858102</v>
      </c>
      <c r="P998" s="10">
        <v>10141.170151856662</v>
      </c>
      <c r="R998" s="19">
        <f t="shared" si="108"/>
        <v>1.5858709597084628</v>
      </c>
      <c r="S998" s="23">
        <f t="shared" si="109"/>
        <v>4510.789902394431</v>
      </c>
      <c r="U998" s="23">
        <f t="shared" si="110"/>
        <v>2844.3612481709533</v>
      </c>
      <c r="AA998" s="18">
        <f t="shared" si="111"/>
        <v>1</v>
      </c>
      <c r="AF998" s="23">
        <f t="shared" si="112"/>
        <v>74782.758083028704</v>
      </c>
      <c r="AL998" s="18">
        <f t="shared" si="113"/>
        <v>1</v>
      </c>
    </row>
    <row r="999" spans="9:38" x14ac:dyDescent="0.2">
      <c r="I999" s="4">
        <v>992</v>
      </c>
      <c r="K999" s="14">
        <v>6.1073596107553723</v>
      </c>
      <c r="L999" s="10">
        <v>6061.5868622553753</v>
      </c>
      <c r="O999" s="14">
        <v>7.5162087231296359</v>
      </c>
      <c r="P999" s="10">
        <v>10014.137846262931</v>
      </c>
      <c r="R999" s="19">
        <f t="shared" si="108"/>
        <v>1.4088491123742637</v>
      </c>
      <c r="S999" s="23">
        <f t="shared" si="109"/>
        <v>3952.5509840075556</v>
      </c>
      <c r="U999" s="23">
        <f t="shared" si="110"/>
        <v>2805.5176024822963</v>
      </c>
      <c r="AA999" s="18">
        <f t="shared" si="111"/>
        <v>1</v>
      </c>
      <c r="AF999" s="23">
        <f t="shared" si="112"/>
        <v>66489.904634705628</v>
      </c>
      <c r="AL999" s="18">
        <f t="shared" si="113"/>
        <v>1</v>
      </c>
    </row>
    <row r="1000" spans="9:38" x14ac:dyDescent="0.2">
      <c r="I1000" s="4">
        <v>993</v>
      </c>
      <c r="K1000" s="14">
        <v>6.8725413706922271</v>
      </c>
      <c r="L1000" s="10">
        <v>8580.7064391538297</v>
      </c>
      <c r="O1000" s="14">
        <v>7.518243218447302</v>
      </c>
      <c r="P1000" s="10">
        <v>10323.726104829169</v>
      </c>
      <c r="R1000" s="19">
        <f t="shared" si="108"/>
        <v>0.64570184775507489</v>
      </c>
      <c r="S1000" s="23">
        <f t="shared" si="109"/>
        <v>1743.0196656753396</v>
      </c>
      <c r="U1000" s="23">
        <f t="shared" si="110"/>
        <v>2699.4187359620119</v>
      </c>
      <c r="AA1000" s="18">
        <f t="shared" si="111"/>
        <v>1</v>
      </c>
      <c r="AF1000" s="23">
        <f t="shared" si="112"/>
        <v>30542.072722078407</v>
      </c>
      <c r="AL1000" s="18">
        <f t="shared" si="113"/>
        <v>1</v>
      </c>
    </row>
    <row r="1001" spans="9:38" x14ac:dyDescent="0.2">
      <c r="I1001" s="4">
        <v>994</v>
      </c>
      <c r="K1001" s="14">
        <v>5.8855269277696145</v>
      </c>
      <c r="L1001" s="10">
        <v>6646.7437013593444</v>
      </c>
      <c r="O1001" s="14">
        <v>6.8559572853274462</v>
      </c>
      <c r="P1001" s="10">
        <v>9224.9838391708272</v>
      </c>
      <c r="R1001" s="19">
        <f t="shared" si="108"/>
        <v>0.97043035755783169</v>
      </c>
      <c r="S1001" s="23">
        <f t="shared" si="109"/>
        <v>2578.2401378114828</v>
      </c>
      <c r="U1001" s="23">
        <f t="shared" si="110"/>
        <v>2656.8007871268965</v>
      </c>
      <c r="AA1001" s="18">
        <f t="shared" si="111"/>
        <v>1</v>
      </c>
      <c r="AF1001" s="23">
        <f t="shared" si="112"/>
        <v>45943.277740080106</v>
      </c>
      <c r="AL1001" s="18">
        <f t="shared" si="113"/>
        <v>1</v>
      </c>
    </row>
    <row r="1002" spans="9:38" x14ac:dyDescent="0.2">
      <c r="I1002" s="4">
        <v>995</v>
      </c>
      <c r="K1002" s="14">
        <v>6.2116741221542853</v>
      </c>
      <c r="L1002" s="10">
        <v>8285.8171897794691</v>
      </c>
      <c r="O1002" s="14">
        <v>7.296272335976262</v>
      </c>
      <c r="P1002" s="10">
        <v>9078.1768813503713</v>
      </c>
      <c r="R1002" s="19">
        <f t="shared" si="108"/>
        <v>1.0845982138219767</v>
      </c>
      <c r="S1002" s="23">
        <f t="shared" si="109"/>
        <v>792.35969157090221</v>
      </c>
      <c r="U1002" s="23">
        <f t="shared" si="110"/>
        <v>730.55596208178724</v>
      </c>
      <c r="AA1002" s="18">
        <f t="shared" si="111"/>
        <v>1</v>
      </c>
      <c r="AF1002" s="23">
        <f t="shared" si="112"/>
        <v>53437.550999527928</v>
      </c>
      <c r="AL1002" s="18">
        <f t="shared" si="113"/>
        <v>1</v>
      </c>
    </row>
    <row r="1003" spans="9:38" x14ac:dyDescent="0.2">
      <c r="I1003" s="4">
        <v>996</v>
      </c>
      <c r="K1003" s="14">
        <v>7.1842470421777787</v>
      </c>
      <c r="L1003" s="10">
        <v>9846.5553324120465</v>
      </c>
      <c r="O1003" s="14">
        <v>7.9125340280364673</v>
      </c>
      <c r="P1003" s="10">
        <v>10388.197548206532</v>
      </c>
      <c r="R1003" s="19">
        <f t="shared" si="108"/>
        <v>0.72828698585868867</v>
      </c>
      <c r="S1003" s="23">
        <f t="shared" si="109"/>
        <v>541.64221579448531</v>
      </c>
      <c r="U1003" s="23">
        <f t="shared" si="110"/>
        <v>743.72084948883253</v>
      </c>
      <c r="AA1003" s="18">
        <f t="shared" si="111"/>
        <v>1</v>
      </c>
      <c r="AF1003" s="23">
        <f t="shared" si="112"/>
        <v>35872.707077139952</v>
      </c>
      <c r="AL1003" s="18">
        <f t="shared" si="113"/>
        <v>1</v>
      </c>
    </row>
    <row r="1004" spans="9:38" x14ac:dyDescent="0.2">
      <c r="I1004" s="4">
        <v>997</v>
      </c>
      <c r="K1004" s="14">
        <v>6.1208660793704732</v>
      </c>
      <c r="L1004" s="10">
        <v>6543.1652455745043</v>
      </c>
      <c r="O1004" s="14">
        <v>7.2620088361746387</v>
      </c>
      <c r="P1004" s="10">
        <v>9780.6568835815106</v>
      </c>
      <c r="R1004" s="19">
        <f t="shared" si="108"/>
        <v>1.1411427568041654</v>
      </c>
      <c r="S1004" s="23">
        <f t="shared" si="109"/>
        <v>3237.4916380070063</v>
      </c>
      <c r="U1004" s="23">
        <f t="shared" si="110"/>
        <v>2837.0610238755612</v>
      </c>
      <c r="AA1004" s="18">
        <f t="shared" si="111"/>
        <v>1</v>
      </c>
      <c r="AF1004" s="23">
        <f t="shared" si="112"/>
        <v>53819.646202201264</v>
      </c>
      <c r="AL1004" s="18">
        <f t="shared" si="113"/>
        <v>1</v>
      </c>
    </row>
    <row r="1005" spans="9:38" x14ac:dyDescent="0.2">
      <c r="I1005" s="4">
        <v>998</v>
      </c>
      <c r="K1005" s="14">
        <v>6.274832550881138</v>
      </c>
      <c r="L1005" s="10">
        <v>7093.6095526441795</v>
      </c>
      <c r="O1005" s="14">
        <v>6.9355853712920403</v>
      </c>
      <c r="P1005" s="10">
        <v>9767.5952006171301</v>
      </c>
      <c r="R1005" s="19">
        <f t="shared" si="108"/>
        <v>0.66075282041090233</v>
      </c>
      <c r="S1005" s="23">
        <f t="shared" si="109"/>
        <v>2673.9856479729506</v>
      </c>
      <c r="U1005" s="23">
        <f t="shared" si="110"/>
        <v>4046.8773879921982</v>
      </c>
      <c r="AA1005" s="18">
        <f t="shared" si="111"/>
        <v>1</v>
      </c>
      <c r="AF1005" s="23">
        <f t="shared" si="112"/>
        <v>30363.655372572168</v>
      </c>
      <c r="AL1005" s="18">
        <f t="shared" si="113"/>
        <v>1</v>
      </c>
    </row>
    <row r="1006" spans="9:38" x14ac:dyDescent="0.2">
      <c r="I1006" s="4">
        <v>999</v>
      </c>
      <c r="K1006" s="14">
        <v>6.1596763027140709</v>
      </c>
      <c r="L1006" s="10">
        <v>7227.2588673216414</v>
      </c>
      <c r="O1006" s="14">
        <v>7.3157701285779941</v>
      </c>
      <c r="P1006" s="10">
        <v>10201.980928774989</v>
      </c>
      <c r="R1006" s="19">
        <f t="shared" si="108"/>
        <v>1.1560938258639233</v>
      </c>
      <c r="S1006" s="23">
        <f t="shared" si="109"/>
        <v>2974.7220614533471</v>
      </c>
      <c r="U1006" s="23">
        <f t="shared" si="110"/>
        <v>2573.0801383965554</v>
      </c>
      <c r="AA1006" s="18">
        <f t="shared" si="111"/>
        <v>1</v>
      </c>
      <c r="AF1006" s="23">
        <f t="shared" si="112"/>
        <v>54829.969231742813</v>
      </c>
      <c r="AL1006" s="18">
        <f t="shared" si="113"/>
        <v>1</v>
      </c>
    </row>
    <row r="1007" spans="9:38" x14ac:dyDescent="0.2">
      <c r="I1007" s="4">
        <v>1000</v>
      </c>
      <c r="K1007" s="14">
        <v>6.3330689593088554</v>
      </c>
      <c r="L1007" s="10">
        <v>6509.9708168549578</v>
      </c>
      <c r="O1007" s="14">
        <v>7.4680840989740291</v>
      </c>
      <c r="P1007" s="10">
        <v>9389.1693092916503</v>
      </c>
      <c r="R1007" s="19">
        <f t="shared" si="108"/>
        <v>1.1350151396651738</v>
      </c>
      <c r="S1007" s="23">
        <f t="shared" si="109"/>
        <v>2879.1984924366925</v>
      </c>
      <c r="U1007" s="23">
        <f t="shared" si="110"/>
        <v>2536.7049229722593</v>
      </c>
      <c r="AA1007" s="18">
        <f t="shared" si="111"/>
        <v>1</v>
      </c>
      <c r="AF1007" s="23">
        <f t="shared" si="112"/>
        <v>53871.558490821997</v>
      </c>
      <c r="AL1007" s="18">
        <f t="shared" si="113"/>
        <v>1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ootstrap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CEACurve">
                <anchor moveWithCells="1" sizeWithCells="1">
                  <from>
                    <xdr:col>28</xdr:col>
                    <xdr:colOff>0</xdr:colOff>
                    <xdr:row>2</xdr:row>
                    <xdr:rowOff>0</xdr:rowOff>
                  </from>
                  <to>
                    <xdr:col>30</xdr:col>
                    <xdr:colOff>133350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58"/>
  <sheetViews>
    <sheetView workbookViewId="0"/>
  </sheetViews>
  <sheetFormatPr defaultRowHeight="12.75" x14ac:dyDescent="0.2"/>
  <cols>
    <col min="1" max="5" width="8.85546875" style="4" customWidth="1"/>
  </cols>
  <sheetData>
    <row r="1" spans="1:5" ht="18" x14ac:dyDescent="0.25">
      <c r="A1" s="3" t="s">
        <v>44</v>
      </c>
      <c r="B1" s="3"/>
      <c r="C1" s="3"/>
      <c r="D1" s="3"/>
      <c r="E1" s="3"/>
    </row>
    <row r="2" spans="1:5" ht="15.75" x14ac:dyDescent="0.25">
      <c r="A2" s="2"/>
      <c r="B2" s="2"/>
      <c r="C2" s="2"/>
      <c r="D2" s="2"/>
      <c r="E2" s="2"/>
    </row>
    <row r="3" spans="1:5" ht="15.75" x14ac:dyDescent="0.25">
      <c r="A3" s="2"/>
      <c r="B3" s="2"/>
      <c r="C3" s="2"/>
      <c r="D3" s="2"/>
      <c r="E3" s="2"/>
    </row>
    <row r="5" spans="1:5" x14ac:dyDescent="0.2">
      <c r="A5" s="1" t="s">
        <v>41</v>
      </c>
    </row>
    <row r="6" spans="1:5" x14ac:dyDescent="0.2">
      <c r="A6" s="1" t="s">
        <v>35</v>
      </c>
      <c r="B6" s="1" t="s">
        <v>37</v>
      </c>
      <c r="C6" s="1" t="s">
        <v>38</v>
      </c>
      <c r="D6" s="1" t="s">
        <v>43</v>
      </c>
      <c r="E6" s="1" t="s">
        <v>36</v>
      </c>
    </row>
    <row r="8" spans="1:5" x14ac:dyDescent="0.2">
      <c r="A8" s="10">
        <v>0</v>
      </c>
      <c r="B8" s="23">
        <f>A8*'Summary Statistics'!$B$11-'Summary Statistics'!$C$11</f>
        <v>-2683.6096868898221</v>
      </c>
      <c r="C8" s="23">
        <f>SQRT((A8*'Summary Statistics'!$B$12)^2+'Summary Statistics'!$C$12^2-2*A8*'Summary Statistics'!$B$23*'Summary Statistics'!$B$12*'Summary Statistics'!$C$12)</f>
        <v>1244.370665508786</v>
      </c>
      <c r="D8" s="29">
        <f t="shared" ref="D8:D39" si="0">B8/C8</f>
        <v>-2.1565999273958889</v>
      </c>
      <c r="E8" s="29">
        <f>NORMDIST(D8,0,1,TRUE)</f>
        <v>1.5518425103368554E-2</v>
      </c>
    </row>
    <row r="9" spans="1:5" x14ac:dyDescent="0.2">
      <c r="A9" s="10">
        <v>1000</v>
      </c>
      <c r="B9" s="23">
        <f>A9*'Summary Statistics'!$B$11-'Summary Statistics'!$C$11</f>
        <v>-1901.4461991629305</v>
      </c>
      <c r="C9" s="23">
        <f>SQRT((A9*'Summary Statistics'!$B$12)^2+'Summary Statistics'!$C$12^2-2*A9*'Summary Statistics'!$B$23*'Summary Statistics'!$B$12*'Summary Statistics'!$C$12)</f>
        <v>1203.1704704359117</v>
      </c>
      <c r="D9" s="29">
        <f t="shared" si="0"/>
        <v>-1.5803630872639616</v>
      </c>
      <c r="E9" s="29">
        <f t="shared" ref="E9:E58" si="1">NORMDIST(D9,0,1,TRUE)</f>
        <v>5.7011869927146769E-2</v>
      </c>
    </row>
    <row r="10" spans="1:5" x14ac:dyDescent="0.2">
      <c r="A10" s="10">
        <v>2000</v>
      </c>
      <c r="B10" s="23">
        <f>A10*'Summary Statistics'!$B$11-'Summary Statistics'!$C$11</f>
        <v>-1119.2827114360391</v>
      </c>
      <c r="C10" s="23">
        <f>SQRT((A10*'Summary Statistics'!$B$12)^2+'Summary Statistics'!$C$12^2-2*A10*'Summary Statistics'!$B$23*'Summary Statistics'!$B$12*'Summary Statistics'!$C$12)</f>
        <v>1352.8664195615522</v>
      </c>
      <c r="D10" s="29">
        <f t="shared" si="0"/>
        <v>-0.82734163199851263</v>
      </c>
      <c r="E10" s="29">
        <f t="shared" si="1"/>
        <v>0.20402172659531964</v>
      </c>
    </row>
    <row r="11" spans="1:5" x14ac:dyDescent="0.2">
      <c r="A11" s="10">
        <v>3000</v>
      </c>
      <c r="B11" s="23">
        <f>A11*'Summary Statistics'!$B$11-'Summary Statistics'!$C$11</f>
        <v>-337.11922370914772</v>
      </c>
      <c r="C11" s="23">
        <f>SQRT((A11*'Summary Statistics'!$B$12)^2+'Summary Statistics'!$C$12^2-2*A11*'Summary Statistics'!$B$23*'Summary Statistics'!$B$12*'Summary Statistics'!$C$12)</f>
        <v>1642.0546452307069</v>
      </c>
      <c r="D11" s="29">
        <f t="shared" si="0"/>
        <v>-0.20530329163423355</v>
      </c>
      <c r="E11" s="29">
        <f t="shared" si="1"/>
        <v>0.41866758624152001</v>
      </c>
    </row>
    <row r="12" spans="1:5" x14ac:dyDescent="0.2">
      <c r="A12" s="10">
        <v>4000</v>
      </c>
      <c r="B12" s="23">
        <f>A12*'Summary Statistics'!$B$11-'Summary Statistics'!$C$11</f>
        <v>445.0442640177439</v>
      </c>
      <c r="C12" s="23">
        <f>SQRT((A12*'Summary Statistics'!$B$12)^2+'Summary Statistics'!$C$12^2-2*A12*'Summary Statistics'!$B$23*'Summary Statistics'!$B$12*'Summary Statistics'!$C$12)</f>
        <v>2011.4439855905307</v>
      </c>
      <c r="D12" s="29">
        <f t="shared" si="0"/>
        <v>0.22125610616349595</v>
      </c>
      <c r="E12" s="29">
        <f t="shared" si="1"/>
        <v>0.58755348740314728</v>
      </c>
    </row>
    <row r="13" spans="1:5" x14ac:dyDescent="0.2">
      <c r="A13" s="10">
        <v>5000</v>
      </c>
      <c r="B13" s="23">
        <f>A13*'Summary Statistics'!$B$11-'Summary Statistics'!$C$11</f>
        <v>1227.2077517446355</v>
      </c>
      <c r="C13" s="23">
        <f>SQRT((A13*'Summary Statistics'!$B$12)^2+'Summary Statistics'!$C$12^2-2*A13*'Summary Statistics'!$B$23*'Summary Statistics'!$B$12*'Summary Statistics'!$C$12)</f>
        <v>2424.652118740134</v>
      </c>
      <c r="D13" s="29">
        <f t="shared" si="0"/>
        <v>0.50613766084608502</v>
      </c>
      <c r="E13" s="29">
        <f t="shared" si="1"/>
        <v>0.69361999304611865</v>
      </c>
    </row>
    <row r="14" spans="1:5" x14ac:dyDescent="0.2">
      <c r="A14" s="10">
        <v>6000</v>
      </c>
      <c r="B14" s="23">
        <f>A14*'Summary Statistics'!$B$11-'Summary Statistics'!$C$11</f>
        <v>2009.3712394715267</v>
      </c>
      <c r="C14" s="23">
        <f>SQRT((A14*'Summary Statistics'!$B$12)^2+'Summary Statistics'!$C$12^2-2*A14*'Summary Statistics'!$B$23*'Summary Statistics'!$B$12*'Summary Statistics'!$C$12)</f>
        <v>2862.7672673746733</v>
      </c>
      <c r="D14" s="29">
        <f t="shared" si="0"/>
        <v>0.70189821658616303</v>
      </c>
      <c r="E14" s="29">
        <f t="shared" si="1"/>
        <v>0.75862867939855405</v>
      </c>
    </row>
    <row r="15" spans="1:5" x14ac:dyDescent="0.2">
      <c r="A15" s="10">
        <v>7000</v>
      </c>
      <c r="B15" s="23">
        <f>A15*'Summary Statistics'!$B$11-'Summary Statistics'!$C$11</f>
        <v>2791.5347271984183</v>
      </c>
      <c r="C15" s="23">
        <f>SQRT((A15*'Summary Statistics'!$B$12)^2+'Summary Statistics'!$C$12^2-2*A15*'Summary Statistics'!$B$23*'Summary Statistics'!$B$12*'Summary Statistics'!$C$12)</f>
        <v>3315.9316183978844</v>
      </c>
      <c r="D15" s="29">
        <f t="shared" si="0"/>
        <v>0.84185533613240426</v>
      </c>
      <c r="E15" s="29">
        <f t="shared" si="1"/>
        <v>0.8000655333454405</v>
      </c>
    </row>
    <row r="16" spans="1:5" x14ac:dyDescent="0.2">
      <c r="A16" s="10">
        <v>8000</v>
      </c>
      <c r="B16" s="23">
        <f>A16*'Summary Statistics'!$B$11-'Summary Statistics'!$C$11</f>
        <v>3573.6982149253099</v>
      </c>
      <c r="C16" s="23">
        <f>SQRT((A16*'Summary Statistics'!$B$12)^2+'Summary Statistics'!$C$12^2-2*A16*'Summary Statistics'!$B$23*'Summary Statistics'!$B$12*'Summary Statistics'!$C$12)</f>
        <v>3778.7347233072474</v>
      </c>
      <c r="D16" s="29">
        <f t="shared" si="0"/>
        <v>0.94573937484489934</v>
      </c>
      <c r="E16" s="29">
        <f t="shared" si="1"/>
        <v>0.82785923295107633</v>
      </c>
    </row>
    <row r="17" spans="1:5" x14ac:dyDescent="0.2">
      <c r="A17" s="10">
        <v>9000</v>
      </c>
      <c r="B17" s="23">
        <f>A17*'Summary Statistics'!$B$11-'Summary Statistics'!$C$11</f>
        <v>4355.8617026522015</v>
      </c>
      <c r="C17" s="23">
        <f>SQRT((A17*'Summary Statistics'!$B$12)^2+'Summary Statistics'!$C$12^2-2*A17*'Summary Statistics'!$B$23*'Summary Statistics'!$B$12*'Summary Statistics'!$C$12)</f>
        <v>4248.0274552859373</v>
      </c>
      <c r="D17" s="29">
        <f t="shared" si="0"/>
        <v>1.0253845457689035</v>
      </c>
      <c r="E17" s="29">
        <f t="shared" si="1"/>
        <v>0.84740911136673547</v>
      </c>
    </row>
    <row r="18" spans="1:5" x14ac:dyDescent="0.2">
      <c r="A18" s="10">
        <v>10000</v>
      </c>
      <c r="B18" s="23">
        <f>A18*'Summary Statistics'!$B$11-'Summary Statistics'!$C$11</f>
        <v>5138.0251903790931</v>
      </c>
      <c r="C18" s="23">
        <f>SQRT((A18*'Summary Statistics'!$B$12)^2+'Summary Statistics'!$C$12^2-2*A18*'Summary Statistics'!$B$23*'Summary Statistics'!$B$12*'Summary Statistics'!$C$12)</f>
        <v>4721.8752581041836</v>
      </c>
      <c r="D18" s="29">
        <f t="shared" si="0"/>
        <v>1.0881323435134524</v>
      </c>
      <c r="E18" s="29">
        <f t="shared" si="1"/>
        <v>0.86173165644534699</v>
      </c>
    </row>
    <row r="19" spans="1:5" x14ac:dyDescent="0.2">
      <c r="A19" s="10">
        <v>11000</v>
      </c>
      <c r="B19" s="23">
        <f>A19*'Summary Statistics'!$B$11-'Summary Statistics'!$C$11</f>
        <v>5920.1886781059839</v>
      </c>
      <c r="C19" s="23">
        <f>SQRT((A19*'Summary Statistics'!$B$12)^2+'Summary Statistics'!$C$12^2-2*A19*'Summary Statistics'!$B$23*'Summary Statistics'!$B$12*'Summary Statistics'!$C$12)</f>
        <v>5199.0328125361857</v>
      </c>
      <c r="D19" s="29">
        <f t="shared" si="0"/>
        <v>1.1387096199567943</v>
      </c>
      <c r="E19" s="29">
        <f t="shared" si="1"/>
        <v>0.87258785549569395</v>
      </c>
    </row>
    <row r="20" spans="1:5" x14ac:dyDescent="0.2">
      <c r="A20" s="10">
        <v>12000</v>
      </c>
      <c r="B20" s="23">
        <f>A20*'Summary Statistics'!$B$11-'Summary Statistics'!$C$11</f>
        <v>6702.3521658328755</v>
      </c>
      <c r="C20" s="23">
        <f>SQRT((A20*'Summary Statistics'!$B$12)^2+'Summary Statistics'!$C$12^2-2*A20*'Summary Statistics'!$B$23*'Summary Statistics'!$B$12*'Summary Statistics'!$C$12)</f>
        <v>5678.6658608389271</v>
      </c>
      <c r="D20" s="29">
        <f t="shared" si="0"/>
        <v>1.1802688043424896</v>
      </c>
      <c r="E20" s="29">
        <f t="shared" si="1"/>
        <v>0.88105333933738916</v>
      </c>
    </row>
    <row r="21" spans="1:5" x14ac:dyDescent="0.2">
      <c r="A21" s="10">
        <v>13000</v>
      </c>
      <c r="B21" s="23">
        <f>A21*'Summary Statistics'!$B$11-'Summary Statistics'!$C$11</f>
        <v>7484.5156535597671</v>
      </c>
      <c r="C21" s="23">
        <f>SQRT((A21*'Summary Statistics'!$B$12)^2+'Summary Statistics'!$C$12^2-2*A21*'Summary Statistics'!$B$23*'Summary Statistics'!$B$12*'Summary Statistics'!$C$12)</f>
        <v>6160.1962040819162</v>
      </c>
      <c r="D21" s="29">
        <f t="shared" si="0"/>
        <v>1.214980076219053</v>
      </c>
      <c r="E21" s="29">
        <f t="shared" si="1"/>
        <v>0.88781315478766676</v>
      </c>
    </row>
    <row r="22" spans="1:5" x14ac:dyDescent="0.2">
      <c r="A22" s="10">
        <v>14000</v>
      </c>
      <c r="B22" s="23">
        <f>A22*'Summary Statistics'!$B$11-'Summary Statistics'!$C$11</f>
        <v>8266.6791412866587</v>
      </c>
      <c r="C22" s="23">
        <f>SQRT((A22*'Summary Statistics'!$B$12)^2+'Summary Statistics'!$C$12^2-2*A22*'Summary Statistics'!$B$23*'Summary Statistics'!$B$12*'Summary Statistics'!$C$12)</f>
        <v>6643.2112812262039</v>
      </c>
      <c r="D22" s="29">
        <f t="shared" si="0"/>
        <v>1.2443799830133953</v>
      </c>
      <c r="E22" s="29">
        <f t="shared" si="1"/>
        <v>0.89332012678444594</v>
      </c>
    </row>
    <row r="23" spans="1:5" x14ac:dyDescent="0.2">
      <c r="A23" s="10">
        <v>15000</v>
      </c>
      <c r="B23" s="23">
        <f>A23*'Summary Statistics'!$B$11-'Summary Statistics'!$C$11</f>
        <v>9048.8426290135503</v>
      </c>
      <c r="C23" s="23">
        <f>SQRT((A23*'Summary Statistics'!$B$12)^2+'Summary Statistics'!$C$12^2-2*A23*'Summary Statistics'!$B$23*'Summary Statistics'!$B$12*'Summary Statistics'!$C$12)</f>
        <v>7127.4092433180149</v>
      </c>
      <c r="D23" s="29">
        <f t="shared" si="0"/>
        <v>1.269583704274718</v>
      </c>
      <c r="E23" s="29">
        <f t="shared" si="1"/>
        <v>0.89788352145723938</v>
      </c>
    </row>
    <row r="24" spans="1:5" x14ac:dyDescent="0.2">
      <c r="A24" s="10">
        <v>16000</v>
      </c>
      <c r="B24" s="23">
        <f>A24*'Summary Statistics'!$B$11-'Summary Statistics'!$C$11</f>
        <v>9831.0061167404419</v>
      </c>
      <c r="C24" s="23">
        <f>SQRT((A24*'Summary Statistics'!$B$12)^2+'Summary Statistics'!$C$12^2-2*A24*'Summary Statistics'!$B$23*'Summary Statistics'!$B$12*'Summary Statistics'!$C$12)</f>
        <v>7612.5643811370937</v>
      </c>
      <c r="D24" s="29">
        <f t="shared" si="0"/>
        <v>1.2914184530380257</v>
      </c>
      <c r="E24" s="29">
        <f t="shared" si="1"/>
        <v>0.90172069234823715</v>
      </c>
    </row>
    <row r="25" spans="1:5" x14ac:dyDescent="0.2">
      <c r="A25" s="10">
        <v>17000</v>
      </c>
      <c r="B25" s="23">
        <f>A25*'Summary Statistics'!$B$11-'Summary Statistics'!$C$11</f>
        <v>10613.169604467334</v>
      </c>
      <c r="C25" s="23">
        <f>SQRT((A25*'Summary Statistics'!$B$12)^2+'Summary Statistics'!$C$12^2-2*A25*'Summary Statistics'!$B$23*'Summary Statistics'!$B$12*'Summary Statistics'!$C$12)</f>
        <v>8098.504672634167</v>
      </c>
      <c r="D25" s="29">
        <f t="shared" si="0"/>
        <v>1.3105097834085995</v>
      </c>
      <c r="E25" s="29">
        <f t="shared" si="1"/>
        <v>0.90498828162746092</v>
      </c>
    </row>
    <row r="26" spans="1:5" x14ac:dyDescent="0.2">
      <c r="A26" s="10">
        <v>18000</v>
      </c>
      <c r="B26" s="23">
        <f>A26*'Summary Statistics'!$B$11-'Summary Statistics'!$C$11</f>
        <v>11395.333092194225</v>
      </c>
      <c r="C26" s="23">
        <f>SQRT((A26*'Summary Statistics'!$B$12)^2+'Summary Statistics'!$C$12^2-2*A26*'Summary Statistics'!$B$23*'Summary Statistics'!$B$12*'Summary Statistics'!$C$12)</f>
        <v>8585.0967932164749</v>
      </c>
      <c r="D26" s="29">
        <f t="shared" si="0"/>
        <v>1.3273389184380846</v>
      </c>
      <c r="E26" s="29">
        <f t="shared" si="1"/>
        <v>0.90780170235738522</v>
      </c>
    </row>
    <row r="27" spans="1:5" x14ac:dyDescent="0.2">
      <c r="A27" s="10">
        <v>19000</v>
      </c>
      <c r="B27" s="23">
        <f>A27*'Summary Statistics'!$B$11-'Summary Statistics'!$C$11</f>
        <v>12177.496579921117</v>
      </c>
      <c r="C27" s="23">
        <f>SQRT((A27*'Summary Statistics'!$B$12)^2+'Summary Statistics'!$C$12^2-2*A27*'Summary Statistics'!$B$23*'Summary Statistics'!$B$12*'Summary Statistics'!$C$12)</f>
        <v>9072.2358603385255</v>
      </c>
      <c r="D27" s="29">
        <f t="shared" si="0"/>
        <v>1.3422817448075826</v>
      </c>
      <c r="E27" s="29">
        <f t="shared" si="1"/>
        <v>0.91024766991068962</v>
      </c>
    </row>
    <row r="28" spans="1:5" x14ac:dyDescent="0.2">
      <c r="A28" s="10">
        <v>20000</v>
      </c>
      <c r="B28" s="23">
        <f>A28*'Summary Statistics'!$B$11-'Summary Statistics'!$C$11</f>
        <v>12959.660067648008</v>
      </c>
      <c r="C28" s="23">
        <f>SQRT((A28*'Summary Statistics'!$B$12)^2+'Summary Statistics'!$C$12^2-2*A28*'Summary Statistics'!$B$23*'Summary Statistics'!$B$12*'Summary Statistics'!$C$12)</f>
        <v>9559.8382623780235</v>
      </c>
      <c r="D28" s="29">
        <f t="shared" si="0"/>
        <v>1.3556359126544757</v>
      </c>
      <c r="E28" s="29">
        <f t="shared" si="1"/>
        <v>0.91239248025532993</v>
      </c>
    </row>
    <row r="29" spans="1:5" x14ac:dyDescent="0.2">
      <c r="A29" s="10">
        <v>21000</v>
      </c>
      <c r="B29" s="23">
        <f>A29*'Summary Statistics'!$B$11-'Summary Statistics'!$C$11</f>
        <v>13741.823555374898</v>
      </c>
      <c r="C29" s="23">
        <f>SQRT((A29*'Summary Statistics'!$B$12)^2+'Summary Statistics'!$C$12^2-2*A29*'Summary Statistics'!$B$23*'Summary Statistics'!$B$12*'Summary Statistics'!$C$12)</f>
        <v>10047.836545273794</v>
      </c>
      <c r="D29" s="29">
        <f t="shared" si="0"/>
        <v>1.3676400380775149</v>
      </c>
      <c r="E29" s="29">
        <f t="shared" si="1"/>
        <v>0.91428761128783509</v>
      </c>
    </row>
    <row r="30" spans="1:5" x14ac:dyDescent="0.2">
      <c r="A30" s="10">
        <v>22000</v>
      </c>
      <c r="B30" s="23">
        <f>A30*'Summary Statistics'!$B$11-'Summary Statistics'!$C$11</f>
        <v>14523.98704310179</v>
      </c>
      <c r="C30" s="23">
        <f>SQRT((A30*'Summary Statistics'!$B$12)^2+'Summary Statistics'!$C$12^2-2*A30*'Summary Statistics'!$B$23*'Summary Statistics'!$B$12*'Summary Statistics'!$C$12)</f>
        <v>10536.175701778635</v>
      </c>
      <c r="D30" s="29">
        <f t="shared" si="0"/>
        <v>1.3784875512895978</v>
      </c>
      <c r="E30" s="29">
        <f t="shared" si="1"/>
        <v>0.91597359562872616</v>
      </c>
    </row>
    <row r="31" spans="1:5" x14ac:dyDescent="0.2">
      <c r="A31" s="10">
        <v>23000</v>
      </c>
      <c r="B31" s="23">
        <f>A31*'Summary Statistics'!$B$11-'Summary Statistics'!$C$11</f>
        <v>15306.150530828681</v>
      </c>
      <c r="C31" s="23">
        <f>SQRT((A31*'Summary Statistics'!$B$12)^2+'Summary Statistics'!$C$12^2-2*A31*'Summary Statistics'!$B$23*'Summary Statistics'!$B$12*'Summary Statistics'!$C$12)</f>
        <v>11024.810435443302</v>
      </c>
      <c r="D31" s="29">
        <f t="shared" si="0"/>
        <v>1.38833684447049</v>
      </c>
      <c r="E31" s="29">
        <f t="shared" si="1"/>
        <v>0.91748275109452027</v>
      </c>
    </row>
    <row r="32" spans="1:5" x14ac:dyDescent="0.2">
      <c r="A32" s="10">
        <v>24000</v>
      </c>
      <c r="B32" s="23">
        <f>A32*'Summary Statistics'!$B$11-'Summary Statistics'!$C$11</f>
        <v>16088.314018555573</v>
      </c>
      <c r="C32" s="23">
        <f>SQRT((A32*'Summary Statistics'!$B$12)^2+'Summary Statistics'!$C$12^2-2*A32*'Summary Statistics'!$B$23*'Summary Statistics'!$B$12*'Summary Statistics'!$C$12)</f>
        <v>11513.703113971049</v>
      </c>
      <c r="D32" s="29">
        <f t="shared" si="0"/>
        <v>1.3973188173519573</v>
      </c>
      <c r="E32" s="29">
        <f t="shared" si="1"/>
        <v>0.91884114017584195</v>
      </c>
    </row>
    <row r="33" spans="1:5" x14ac:dyDescent="0.2">
      <c r="A33" s="10">
        <v>25000</v>
      </c>
      <c r="B33" s="23">
        <f>A33*'Summary Statistics'!$B$11-'Summary Statistics'!$C$11</f>
        <v>16870.477506282463</v>
      </c>
      <c r="C33" s="23">
        <f>SQRT((A33*'Summary Statistics'!$B$12)^2+'Summary Statistics'!$C$12^2-2*A33*'Summary Statistics'!$B$23*'Summary Statistics'!$B$12*'Summary Statistics'!$C$12)</f>
        <v>12002.822217977398</v>
      </c>
      <c r="D33" s="29">
        <f t="shared" si="0"/>
        <v>1.405542563232709</v>
      </c>
      <c r="E33" s="29">
        <f t="shared" si="1"/>
        <v>0.92006999905955145</v>
      </c>
    </row>
    <row r="34" spans="1:5" x14ac:dyDescent="0.2">
      <c r="A34" s="10">
        <v>26000</v>
      </c>
      <c r="B34" s="23">
        <f>A34*'Summary Statistics'!$B$11-'Summary Statistics'!$C$11</f>
        <v>17652.640994009358</v>
      </c>
      <c r="C34" s="23">
        <f>SQRT((A34*'Summary Statistics'!$B$12)^2+'Summary Statistics'!$C$12^2-2*A34*'Summary Statistics'!$B$23*'Summary Statistics'!$B$12*'Summary Statistics'!$C$12)</f>
        <v>12492.141151002708</v>
      </c>
      <c r="D34" s="29">
        <f t="shared" si="0"/>
        <v>1.4130997064976671</v>
      </c>
      <c r="E34" s="29">
        <f t="shared" si="1"/>
        <v>0.92118679523303415</v>
      </c>
    </row>
    <row r="35" spans="1:5" x14ac:dyDescent="0.2">
      <c r="A35" s="10">
        <v>27000</v>
      </c>
      <c r="B35" s="23">
        <f>A35*'Summary Statistics'!$B$11-'Summary Statistics'!$C$11</f>
        <v>18434.804481736246</v>
      </c>
      <c r="C35" s="23">
        <f>SQRT((A35*'Summary Statistics'!$B$12)^2+'Summary Statistics'!$C$12^2-2*A35*'Summary Statistics'!$B$23*'Summary Statistics'!$B$12*'Summary Statistics'!$C$12)</f>
        <v>12981.637316505063</v>
      </c>
      <c r="D35" s="29">
        <f t="shared" si="0"/>
        <v>1.4200677489501219</v>
      </c>
      <c r="E35" s="29">
        <f t="shared" si="1"/>
        <v>0.92220602081607606</v>
      </c>
    </row>
    <row r="36" spans="1:5" x14ac:dyDescent="0.2">
      <c r="A36" s="10">
        <v>28000</v>
      </c>
      <c r="B36" s="23">
        <f>A36*'Summary Statistics'!$B$11-'Summary Statistics'!$C$11</f>
        <v>19216.967969463141</v>
      </c>
      <c r="C36" s="23">
        <f>SQRT((A36*'Summary Statistics'!$B$12)^2+'Summary Statistics'!$C$12^2-2*A36*'Summary Statistics'!$B$23*'Summary Statistics'!$B$12*'Summary Statistics'!$C$12)</f>
        <v>13471.291394609369</v>
      </c>
      <c r="D36" s="29">
        <f t="shared" si="0"/>
        <v>1.4265126784469191</v>
      </c>
      <c r="E36" s="29">
        <f t="shared" si="1"/>
        <v>0.92313979506170374</v>
      </c>
    </row>
    <row r="37" spans="1:5" x14ac:dyDescent="0.2">
      <c r="A37" s="10">
        <v>29000</v>
      </c>
      <c r="B37" s="23">
        <f>A37*'Summary Statistics'!$B$11-'Summary Statistics'!$C$11</f>
        <v>19999.131457190029</v>
      </c>
      <c r="C37" s="23">
        <f>SQRT((A37*'Summary Statistics'!$B$12)^2+'Summary Statistics'!$C$12^2-2*A37*'Summary Statistics'!$B$23*'Summary Statistics'!$B$12*'Summary Statistics'!$C$12)</f>
        <v>13961.086770025255</v>
      </c>
      <c r="D37" s="29">
        <f t="shared" si="0"/>
        <v>1.4324910221264853</v>
      </c>
      <c r="E37" s="29">
        <f t="shared" si="1"/>
        <v>0.92399832717219588</v>
      </c>
    </row>
    <row r="38" spans="1:5" x14ac:dyDescent="0.2">
      <c r="A38" s="10">
        <v>30000</v>
      </c>
      <c r="B38" s="23">
        <f>A38*'Summary Statistics'!$B$11-'Summary Statistics'!$C$11</f>
        <v>20781.294944916925</v>
      </c>
      <c r="C38" s="23">
        <f>SQRT((A38*'Summary Statistics'!$B$12)^2+'Summary Statistics'!$C$12^2-2*A38*'Summary Statistics'!$B$23*'Summary Statistics'!$B$12*'Summary Statistics'!$C$12)</f>
        <v>14451.009075575661</v>
      </c>
      <c r="D38" s="29">
        <f t="shared" si="0"/>
        <v>1.4380514769754302</v>
      </c>
      <c r="E38" s="29">
        <f t="shared" si="1"/>
        <v>0.92479027557660121</v>
      </c>
    </row>
    <row r="39" spans="1:5" x14ac:dyDescent="0.2">
      <c r="A39" s="10">
        <v>31000</v>
      </c>
      <c r="B39" s="23">
        <f>A39*'Summary Statistics'!$B$11-'Summary Statistics'!$C$11</f>
        <v>21563.458432643813</v>
      </c>
      <c r="C39" s="23">
        <f>SQRT((A39*'Summary Statistics'!$B$12)^2+'Summary Statistics'!$C$12^2-2*A39*'Summary Statistics'!$B$23*'Summary Statistics'!$B$12*'Summary Statistics'!$C$12)</f>
        <v>14941.045825010513</v>
      </c>
      <c r="D39" s="29">
        <f t="shared" si="0"/>
        <v>1.4432362155363807</v>
      </c>
      <c r="E39" s="29">
        <f t="shared" si="1"/>
        <v>0.92552302956504695</v>
      </c>
    </row>
    <row r="40" spans="1:5" x14ac:dyDescent="0.2">
      <c r="A40" s="10">
        <v>32000</v>
      </c>
      <c r="B40" s="23">
        <f>A40*'Summary Statistics'!$B$11-'Summary Statistics'!$C$11</f>
        <v>22345.621920370708</v>
      </c>
      <c r="C40" s="23">
        <f>SQRT((A40*'Summary Statistics'!$B$12)^2+'Summary Statistics'!$C$12^2-2*A40*'Summary Statistics'!$B$23*'Summary Statistics'!$B$12*'Summary Statistics'!$C$12)</f>
        <v>15431.186115404616</v>
      </c>
      <c r="D40" s="29">
        <f t="shared" ref="D40:D58" si="2">B40/C40</f>
        <v>1.4480819396030458</v>
      </c>
      <c r="E40" s="29">
        <f t="shared" si="1"/>
        <v>0.92620293206685678</v>
      </c>
    </row>
    <row r="41" spans="1:5" x14ac:dyDescent="0.2">
      <c r="A41" s="10">
        <v>33000</v>
      </c>
      <c r="B41" s="23">
        <f>A41*'Summary Statistics'!$B$11-'Summary Statistics'!$C$11</f>
        <v>23127.785408097596</v>
      </c>
      <c r="C41" s="23">
        <f>SQRT((A41*'Summary Statistics'!$B$12)^2+'Summary Statistics'!$C$12^2-2*A41*'Summary Statistics'!$B$23*'Summary Statistics'!$B$12*'Summary Statistics'!$C$12)</f>
        <v>15921.420384247962</v>
      </c>
      <c r="D41" s="29">
        <f t="shared" si="2"/>
        <v>1.4526207367138759</v>
      </c>
      <c r="E41" s="29">
        <f t="shared" si="1"/>
        <v>0.92683545736339612</v>
      </c>
    </row>
    <row r="42" spans="1:5" x14ac:dyDescent="0.2">
      <c r="A42" s="10">
        <v>34000</v>
      </c>
      <c r="B42" s="23">
        <f>A42*'Summary Statistics'!$B$11-'Summary Statistics'!$C$11</f>
        <v>23909.948895824491</v>
      </c>
      <c r="C42" s="23">
        <f>SQRT((A42*'Summary Statistics'!$B$12)^2+'Summary Statistics'!$C$12^2-2*A42*'Summary Statistics'!$B$23*'Summary Statistics'!$B$12*'Summary Statistics'!$C$12)</f>
        <v>16411.740209866079</v>
      </c>
      <c r="D42" s="29">
        <f t="shared" si="2"/>
        <v>1.4568807810795585</v>
      </c>
      <c r="E42" s="29">
        <f t="shared" si="1"/>
        <v>0.9274253539704933</v>
      </c>
    </row>
    <row r="43" spans="1:5" x14ac:dyDescent="0.2">
      <c r="A43" s="10">
        <v>35000</v>
      </c>
      <c r="B43" s="23">
        <f>A43*'Summary Statistics'!$B$11-'Summary Statistics'!$C$11</f>
        <v>24692.112383551379</v>
      </c>
      <c r="C43" s="23">
        <f>SQRT((A43*'Summary Statistics'!$B$12)^2+'Summary Statistics'!$C$12^2-2*A43*'Summary Statistics'!$B$23*'Summary Statistics'!$B$12*'Summary Statistics'!$C$12)</f>
        <v>16902.138146424597</v>
      </c>
      <c r="D43" s="29">
        <f t="shared" si="2"/>
        <v>1.4608869108536211</v>
      </c>
      <c r="E43" s="29">
        <f t="shared" si="1"/>
        <v>0.92797676036420818</v>
      </c>
    </row>
    <row r="44" spans="1:5" x14ac:dyDescent="0.2">
      <c r="A44" s="10">
        <v>36000</v>
      </c>
      <c r="B44" s="23">
        <f>A44*'Summary Statistics'!$B$11-'Summary Statistics'!$C$11</f>
        <v>25474.275871278274</v>
      </c>
      <c r="C44" s="23">
        <f>SQRT((A44*'Summary Statistics'!$B$12)^2+'Summary Statistics'!$C$12^2-2*A44*'Summary Statistics'!$B$23*'Summary Statistics'!$B$12*'Summary Statistics'!$C$12)</f>
        <v>17392.607586730814</v>
      </c>
      <c r="D44" s="29">
        <f t="shared" si="2"/>
        <v>1.4646611064066746</v>
      </c>
      <c r="E44" s="29">
        <f t="shared" si="1"/>
        <v>0.92849329935882752</v>
      </c>
    </row>
    <row r="45" spans="1:5" x14ac:dyDescent="0.2">
      <c r="A45" s="10">
        <v>37000</v>
      </c>
      <c r="B45" s="23">
        <f>A45*'Summary Statistics'!$B$11-'Summary Statistics'!$C$11</f>
        <v>26256.439359005162</v>
      </c>
      <c r="C45" s="23">
        <f>SQRT((A45*'Summary Statistics'!$B$12)^2+'Summary Statistics'!$C$12^2-2*A45*'Summary Statistics'!$B$23*'Summary Statistics'!$B$12*'Summary Statistics'!$C$12)</f>
        <v>17883.142647523924</v>
      </c>
      <c r="D45" s="29">
        <f t="shared" si="2"/>
        <v>1.4682228888131468</v>
      </c>
      <c r="E45" s="29">
        <f t="shared" si="1"/>
        <v>0.92897815557392482</v>
      </c>
    </row>
    <row r="46" spans="1:5" x14ac:dyDescent="0.2">
      <c r="A46" s="10">
        <v>38000</v>
      </c>
      <c r="B46" s="23">
        <f>A46*'Summary Statistics'!$B$11-'Summary Statistics'!$C$11</f>
        <v>27038.602846732058</v>
      </c>
      <c r="C46" s="23">
        <f>SQRT((A46*'Summary Statistics'!$B$12)^2+'Summary Statistics'!$C$12^2-2*A46*'Summary Statistics'!$B$23*'Summary Statistics'!$B$12*'Summary Statistics'!$C$12)</f>
        <v>18373.738073072389</v>
      </c>
      <c r="D46" s="29">
        <f t="shared" si="2"/>
        <v>1.471589653624074</v>
      </c>
      <c r="E46" s="29">
        <f t="shared" si="1"/>
        <v>0.92943413940803188</v>
      </c>
    </row>
    <row r="47" spans="1:5" x14ac:dyDescent="0.2">
      <c r="A47" s="10">
        <v>39000</v>
      </c>
      <c r="B47" s="23">
        <f>A47*'Summary Statistics'!$B$11-'Summary Statistics'!$C$11</f>
        <v>27820.766334458945</v>
      </c>
      <c r="C47" s="23">
        <f>SQRT((A47*'Summary Statistics'!$B$12)^2+'Summary Statistics'!$C$12^2-2*A47*'Summary Statistics'!$B$23*'Summary Statistics'!$B$12*'Summary Statistics'!$C$12)</f>
        <v>18864.389153761349</v>
      </c>
      <c r="D47" s="29">
        <f t="shared" si="2"/>
        <v>1.4747769518374145</v>
      </c>
      <c r="E47" s="29">
        <f t="shared" si="1"/>
        <v>0.92986374017232565</v>
      </c>
    </row>
    <row r="48" spans="1:5" x14ac:dyDescent="0.2">
      <c r="A48" s="10">
        <v>40000</v>
      </c>
      <c r="B48" s="23">
        <f>A48*'Summary Statistics'!$B$11-'Summary Statistics'!$C$11</f>
        <v>28602.929822185841</v>
      </c>
      <c r="C48" s="23">
        <f>SQRT((A48*'Summary Statistics'!$B$12)^2+'Summary Statistics'!$C$12^2-2*A48*'Summary Statistics'!$B$23*'Summary Statistics'!$B$12*'Summary Statistics'!$C$12)</f>
        <v>19355.091657022087</v>
      </c>
      <c r="D48" s="29">
        <f t="shared" si="2"/>
        <v>1.4777987275409574</v>
      </c>
      <c r="E48" s="29">
        <f t="shared" si="1"/>
        <v>0.93026917045990998</v>
      </c>
    </row>
    <row r="49" spans="1:5" x14ac:dyDescent="0.2">
      <c r="A49" s="10">
        <v>41000</v>
      </c>
      <c r="B49" s="23">
        <f>A49*'Summary Statistics'!$B$11-'Summary Statistics'!$C$11</f>
        <v>29385.093309912729</v>
      </c>
      <c r="C49" s="23">
        <f>SQRT((A49*'Summary Statistics'!$B$12)^2+'Summary Statistics'!$C$12^2-2*A49*'Summary Statistics'!$B$23*'Summary Statistics'!$B$12*'Summary Statistics'!$C$12)</f>
        <v>19845.84176847637</v>
      </c>
      <c r="D49" s="29">
        <f t="shared" si="2"/>
        <v>1.4806675198120718</v>
      </c>
      <c r="E49" s="29">
        <f t="shared" si="1"/>
        <v>0.93065240338577837</v>
      </c>
    </row>
    <row r="50" spans="1:5" x14ac:dyDescent="0.2">
      <c r="A50" s="10">
        <v>42000</v>
      </c>
      <c r="B50" s="23">
        <f>A50*'Summary Statistics'!$B$11-'Summary Statistics'!$C$11</f>
        <v>30167.256797639617</v>
      </c>
      <c r="C50" s="23">
        <f>SQRT((A50*'Summary Statistics'!$B$12)^2+'Summary Statistics'!$C$12^2-2*A50*'Summary Statistics'!$B$23*'Summary Statistics'!$B$12*'Summary Statistics'!$C$12)</f>
        <v>20336.636041577149</v>
      </c>
      <c r="D50" s="29">
        <f t="shared" si="2"/>
        <v>1.4833946349811393</v>
      </c>
      <c r="E50" s="29">
        <f t="shared" si="1"/>
        <v>0.93101520399417703</v>
      </c>
    </row>
    <row r="51" spans="1:5" x14ac:dyDescent="0.2">
      <c r="A51" s="10">
        <v>43000</v>
      </c>
      <c r="B51" s="23">
        <f>A51*'Summary Statistics'!$B$11-'Summary Statistics'!$C$11</f>
        <v>30949.420285366512</v>
      </c>
      <c r="C51" s="23">
        <f>SQRT((A51*'Summary Statistics'!$B$12)^2+'Summary Statistics'!$C$12^2-2*A51*'Summary Statistics'!$B$23*'Summary Statistics'!$B$12*'Summary Statistics'!$C$12)</f>
        <v>20827.471354349433</v>
      </c>
      <c r="D51" s="29">
        <f t="shared" si="2"/>
        <v>1.4859902942035879</v>
      </c>
      <c r="E51" s="29">
        <f t="shared" si="1"/>
        <v>0.93135915586824913</v>
      </c>
    </row>
    <row r="52" spans="1:5" x14ac:dyDescent="0.2">
      <c r="A52" s="10">
        <v>44000</v>
      </c>
      <c r="B52" s="23">
        <f>A52*'Summary Statistics'!$B$11-'Summary Statistics'!$C$11</f>
        <v>31731.5837730934</v>
      </c>
      <c r="C52" s="23">
        <f>SQRT((A52*'Summary Statistics'!$B$12)^2+'Summary Statistics'!$C$12^2-2*A52*'Summary Statistics'!$B$23*'Summary Statistics'!$B$12*'Summary Statistics'!$C$12)</f>
        <v>21318.344872091173</v>
      </c>
      <c r="D52" s="29">
        <f t="shared" si="2"/>
        <v>1.4884637603660629</v>
      </c>
      <c r="E52" s="29">
        <f t="shared" si="1"/>
        <v>0.93168568377285388</v>
      </c>
    </row>
    <row r="53" spans="1:5" x14ac:dyDescent="0.2">
      <c r="A53" s="10">
        <v>45000</v>
      </c>
      <c r="B53" s="23">
        <f>A53*'Summary Statistics'!$B$11-'Summary Statistics'!$C$11</f>
        <v>32513.747260820295</v>
      </c>
      <c r="C53" s="23">
        <f>SQRT((A53*'Summary Statistics'!$B$12)^2+'Summary Statistics'!$C$12^2-2*A53*'Summary Statistics'!$B$23*'Summary Statistics'!$B$12*'Summary Statistics'!$C$12)</f>
        <v>21809.254015098355</v>
      </c>
      <c r="D53" s="29">
        <f t="shared" si="2"/>
        <v>1.4908234476205062</v>
      </c>
      <c r="E53" s="29">
        <f t="shared" si="1"/>
        <v>0.93199607300147314</v>
      </c>
    </row>
    <row r="54" spans="1:5" x14ac:dyDescent="0.2">
      <c r="A54" s="10">
        <v>46000</v>
      </c>
      <c r="B54" s="23">
        <f>A54*'Summary Statistics'!$B$11-'Summary Statistics'!$C$11</f>
        <v>33295.910748547183</v>
      </c>
      <c r="C54" s="23">
        <f>SQRT((A54*'Summary Statistics'!$B$12)^2+'Summary Statistics'!$C$12^2-2*A54*'Summary Statistics'!$B$23*'Summary Statistics'!$B$12*'Summary Statistics'!$C$12)</f>
        <v>22300.196430642707</v>
      </c>
      <c r="D54" s="29">
        <f t="shared" si="2"/>
        <v>1.4930770162542273</v>
      </c>
      <c r="E54" s="29">
        <f t="shared" si="1"/>
        <v>0.93229148597188205</v>
      </c>
    </row>
    <row r="55" spans="1:5" x14ac:dyDescent="0.2">
      <c r="A55" s="10">
        <v>47000</v>
      </c>
      <c r="B55" s="23">
        <f>A55*'Summary Statistics'!$B$11-'Summary Statistics'!$C$11</f>
        <v>34078.074236274078</v>
      </c>
      <c r="C55" s="23">
        <f>SQRT((A55*'Summary Statistics'!$B$12)^2+'Summary Statistics'!$C$12^2-2*A55*'Summary Statistics'!$B$23*'Summary Statistics'!$B$12*'Summary Statistics'!$C$12)</f>
        <v>22791.169968562688</v>
      </c>
      <c r="D55" s="29">
        <f t="shared" si="2"/>
        <v>1.4952314551328492</v>
      </c>
      <c r="E55" s="29">
        <f t="shared" si="1"/>
        <v>0.93257297651506055</v>
      </c>
    </row>
    <row r="56" spans="1:5" x14ac:dyDescent="0.2">
      <c r="A56" s="10">
        <v>48000</v>
      </c>
      <c r="B56" s="23">
        <f>A56*'Summary Statistics'!$B$11-'Summary Statistics'!$C$11</f>
        <v>34860.237724000966</v>
      </c>
      <c r="C56" s="23">
        <f>SQRT((A56*'Summary Statistics'!$B$12)^2+'Summary Statistics'!$C$12^2-2*A56*'Summary Statistics'!$B$23*'Summary Statistics'!$B$12*'Summary Statistics'!$C$12)</f>
        <v>23282.172659936099</v>
      </c>
      <c r="D56" s="29">
        <f t="shared" si="2"/>
        <v>1.4972931535718903</v>
      </c>
      <c r="E56" s="29">
        <f t="shared" si="1"/>
        <v>0.93284150222183382</v>
      </c>
    </row>
    <row r="57" spans="1:5" x14ac:dyDescent="0.2">
      <c r="A57" s="10">
        <v>49000</v>
      </c>
      <c r="B57" s="23">
        <f>A57*'Summary Statistics'!$B$11-'Summary Statistics'!$C$11</f>
        <v>35642.401211727862</v>
      </c>
      <c r="C57" s="23">
        <f>SQRT((A57*'Summary Statistics'!$B$12)^2+'Summary Statistics'!$C$12^2-2*A57*'Summary Statistics'!$B$23*'Summary Statistics'!$B$12*'Summary Statistics'!$C$12)</f>
        <v>23773.20269838997</v>
      </c>
      <c r="D57" s="29">
        <f t="shared" si="2"/>
        <v>1.4992679641831232</v>
      </c>
      <c r="E57" s="29">
        <f t="shared" si="1"/>
        <v>0.93309793514754491</v>
      </c>
    </row>
    <row r="58" spans="1:5" x14ac:dyDescent="0.2">
      <c r="A58" s="10">
        <v>50000</v>
      </c>
      <c r="B58" s="23">
        <f>A58*'Summary Statistics'!$B$11-'Summary Statistics'!$C$11</f>
        <v>36424.56469945475</v>
      </c>
      <c r="C58" s="23">
        <f>SQRT((A58*'Summary Statistics'!$B$12)^2+'Summary Statistics'!$C$12^2-2*A58*'Summary Statistics'!$B$23*'Summary Statistics'!$B$12*'Summary Statistics'!$C$12)</f>
        <v>24264.258423675237</v>
      </c>
      <c r="D58" s="29">
        <f t="shared" si="2"/>
        <v>1.5011612579890099</v>
      </c>
      <c r="E58" s="29">
        <f t="shared" si="1"/>
        <v>0.93334307112327941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Raw data</vt:lpstr>
      <vt:lpstr>Summary Statistics</vt:lpstr>
      <vt:lpstr>Bootstrapping</vt:lpstr>
      <vt:lpstr>Parametric</vt:lpstr>
      <vt:lpstr>CE plane</vt:lpstr>
      <vt:lpstr>ICER Histogram</vt:lpstr>
      <vt:lpstr>CEA curve</vt:lpstr>
      <vt:lpstr>Net Ben Histogram</vt:lpstr>
      <vt:lpstr>control</vt:lpstr>
      <vt:lpstr>Rc_</vt:lpstr>
      <vt:lpstr>treatment</vt:lpstr>
    </vt:vector>
  </TitlesOfParts>
  <Company>No.6 Barrett Street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Briggs &amp; Joanna Swaffield</dc:creator>
  <cp:lastModifiedBy>Iryna Schlackow</cp:lastModifiedBy>
  <dcterms:created xsi:type="dcterms:W3CDTF">1998-02-28T13:08:27Z</dcterms:created>
  <dcterms:modified xsi:type="dcterms:W3CDTF">2016-06-10T13:07:20Z</dcterms:modified>
</cp:coreProperties>
</file>