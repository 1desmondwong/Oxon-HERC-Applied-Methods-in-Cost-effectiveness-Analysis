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desm\Desktop\HERC\Session 3 - Resources and costs\"/>
    </mc:Choice>
  </mc:AlternateContent>
  <xr:revisionPtr revIDLastSave="0" documentId="13_ncr:1_{B3EEB5B1-FE8C-4B1B-92A1-6CF4E0869C1C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Raw Data" sheetId="1" r:id="rId1"/>
    <sheet name="Summary Statistics" sheetId="2" r:id="rId2"/>
    <sheet name="Bootstrapping" sheetId="3" r:id="rId3"/>
    <sheet name="Histogram" sheetId="7" r:id="rId4"/>
    <sheet name="Confidence Interval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3" l="1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7" i="3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E63" i="3"/>
  <c r="F63" i="3" s="1"/>
  <c r="E64" i="3"/>
  <c r="F64" i="3" s="1"/>
  <c r="E65" i="3"/>
  <c r="F65" i="3" s="1"/>
  <c r="E66" i="3"/>
  <c r="F66" i="3" s="1"/>
  <c r="E67" i="3"/>
  <c r="F67" i="3" s="1"/>
  <c r="E68" i="3"/>
  <c r="F68" i="3" s="1"/>
  <c r="E69" i="3"/>
  <c r="F69" i="3" s="1"/>
  <c r="E70" i="3"/>
  <c r="F70" i="3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E78" i="3"/>
  <c r="F78" i="3" s="1"/>
  <c r="E79" i="3"/>
  <c r="F79" i="3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E92" i="3"/>
  <c r="F92" i="3" s="1"/>
  <c r="E93" i="3"/>
  <c r="F93" i="3" s="1"/>
  <c r="E94" i="3"/>
  <c r="F94" i="3" s="1"/>
  <c r="E95" i="3"/>
  <c r="F95" i="3" s="1"/>
  <c r="E96" i="3"/>
  <c r="F96" i="3" s="1"/>
  <c r="E97" i="3"/>
  <c r="F97" i="3" s="1"/>
  <c r="E98" i="3"/>
  <c r="F98" i="3" s="1"/>
  <c r="E99" i="3"/>
  <c r="F99" i="3" s="1"/>
  <c r="E100" i="3"/>
  <c r="F100" i="3" s="1"/>
  <c r="E101" i="3"/>
  <c r="F101" i="3" s="1"/>
  <c r="E102" i="3"/>
  <c r="F102" i="3" s="1"/>
  <c r="E103" i="3"/>
  <c r="F103" i="3" s="1"/>
  <c r="E104" i="3"/>
  <c r="F104" i="3" s="1"/>
  <c r="E105" i="3"/>
  <c r="F105" i="3" s="1"/>
  <c r="E106" i="3"/>
  <c r="F106" i="3" s="1"/>
  <c r="E7" i="3"/>
  <c r="F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7" i="3"/>
  <c r="B7" i="3" s="1"/>
  <c r="B20" i="2"/>
  <c r="B19" i="2"/>
  <c r="B16" i="2"/>
  <c r="B15" i="2"/>
  <c r="R13" i="3" l="1"/>
  <c r="R8" i="3"/>
  <c r="R9" i="3"/>
  <c r="R10" i="3"/>
  <c r="R11" i="3"/>
  <c r="R12" i="3"/>
  <c r="R7" i="3"/>
  <c r="D109" i="3"/>
  <c r="B109" i="3"/>
  <c r="B14" i="2" l="1"/>
  <c r="B13" i="2"/>
  <c r="E8" i="2"/>
  <c r="B8" i="2"/>
  <c r="E9" i="2"/>
  <c r="B9" i="2"/>
  <c r="E7" i="2"/>
  <c r="B7" i="2"/>
  <c r="E6" i="2"/>
  <c r="B6" i="2"/>
  <c r="E5" i="2"/>
  <c r="B5" i="2"/>
  <c r="F3" i="4"/>
  <c r="F2" i="4"/>
</calcChain>
</file>

<file path=xl/sharedStrings.xml><?xml version="1.0" encoding="utf-8"?>
<sst xmlns="http://schemas.openxmlformats.org/spreadsheetml/2006/main" count="59" uniqueCount="40">
  <si>
    <t>Raw Data</t>
  </si>
  <si>
    <t>Control Group</t>
  </si>
  <si>
    <t>Treatment Group</t>
  </si>
  <si>
    <t>Patient</t>
  </si>
  <si>
    <t>Cost</t>
  </si>
  <si>
    <t>Summary Statistics</t>
  </si>
  <si>
    <t>mean</t>
  </si>
  <si>
    <t>standard deviation</t>
  </si>
  <si>
    <t>standard error</t>
  </si>
  <si>
    <t>Difference</t>
  </si>
  <si>
    <t>lower 95% limit</t>
  </si>
  <si>
    <t>upper 95% limit</t>
  </si>
  <si>
    <t>Bootstrap Results</t>
  </si>
  <si>
    <t>The bootstrap resamples:</t>
  </si>
  <si>
    <t>means:</t>
  </si>
  <si>
    <t>Bootstrapped means for the:</t>
  </si>
  <si>
    <t xml:space="preserve">Bootstrap </t>
  </si>
  <si>
    <t>Control group</t>
  </si>
  <si>
    <t>Differences</t>
  </si>
  <si>
    <t>replication</t>
  </si>
  <si>
    <t>Standard deviation</t>
  </si>
  <si>
    <t>Median</t>
  </si>
  <si>
    <t xml:space="preserve">2.5th percentile </t>
  </si>
  <si>
    <t>97.5th percentile</t>
  </si>
  <si>
    <t>min</t>
  </si>
  <si>
    <t>max</t>
  </si>
  <si>
    <t>Summary for the mean difference in costs</t>
  </si>
  <si>
    <t>Bin Range</t>
  </si>
  <si>
    <t>Bootstrap cost difference in ascending order</t>
  </si>
  <si>
    <t>Ranked</t>
  </si>
  <si>
    <t>Lower 95% confidence interval</t>
  </si>
  <si>
    <t>Upper 95% confidence interval</t>
  </si>
  <si>
    <t>skew</t>
  </si>
  <si>
    <t>t value</t>
  </si>
  <si>
    <t>p value</t>
  </si>
  <si>
    <t>n</t>
  </si>
  <si>
    <t>t-test</t>
  </si>
  <si>
    <t>Bin</t>
  </si>
  <si>
    <t>More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</si>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</sst>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[$£-809]#,##0"/>
    <numFmt numFmtId="167" formatCode="&quot;£&quot;#,##0"/>
    <numFmt numFmtId="168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96795556505021"/>
      </right>
      <top style="thin">
        <color theme="0" tint="-0.14990691854609822"/>
      </top>
      <bottom style="thin">
        <color theme="0" tint="-0.149967955565050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0" xfId="0" applyNumberFormat="1" applyFont="1" applyFill="1" applyBorder="1" applyAlignment="1"/>
    <xf numFmtId="0" fontId="5" fillId="0" borderId="0" xfId="0" applyFont="1" applyAlignment="1">
      <alignment horizontal="right"/>
    </xf>
    <xf numFmtId="167" fontId="0" fillId="0" borderId="0" xfId="0" applyNumberFormat="1"/>
    <xf numFmtId="167" fontId="0" fillId="0" borderId="0" xfId="2" applyNumberFormat="1" applyFont="1"/>
    <xf numFmtId="165" fontId="3" fillId="0" borderId="0" xfId="1" applyFont="1"/>
    <xf numFmtId="167" fontId="3" fillId="0" borderId="0" xfId="0" applyNumberFormat="1" applyFont="1"/>
    <xf numFmtId="165" fontId="4" fillId="0" borderId="0" xfId="1" applyFont="1"/>
    <xf numFmtId="167" fontId="4" fillId="0" borderId="0" xfId="0" applyNumberFormat="1" applyFont="1"/>
    <xf numFmtId="165" fontId="6" fillId="0" borderId="0" xfId="1" applyFont="1"/>
    <xf numFmtId="167" fontId="6" fillId="0" borderId="0" xfId="0" applyNumberFormat="1" applyFont="1"/>
    <xf numFmtId="0" fontId="6" fillId="0" borderId="0" xfId="0" applyFont="1"/>
    <xf numFmtId="167" fontId="5" fillId="0" borderId="0" xfId="0" applyNumberFormat="1" applyFont="1"/>
    <xf numFmtId="0" fontId="6" fillId="0" borderId="0" xfId="0" applyFont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167" fontId="0" fillId="0" borderId="0" xfId="0" applyNumberFormat="1" applyFill="1" applyBorder="1" applyAlignment="1"/>
    <xf numFmtId="166" fontId="0" fillId="2" borderId="1" xfId="0" applyNumberFormat="1" applyFill="1" applyBorder="1"/>
    <xf numFmtId="0" fontId="0" fillId="2" borderId="3" xfId="0" applyFill="1" applyBorder="1"/>
    <xf numFmtId="167" fontId="0" fillId="2" borderId="4" xfId="0" applyNumberFormat="1" applyFill="1" applyBorder="1"/>
    <xf numFmtId="0" fontId="0" fillId="2" borderId="2" xfId="0" applyFill="1" applyBorder="1"/>
    <xf numFmtId="167" fontId="0" fillId="2" borderId="2" xfId="0" applyNumberFormat="1" applyFill="1" applyBorder="1"/>
    <xf numFmtId="166" fontId="6" fillId="2" borderId="1" xfId="1" applyNumberFormat="1" applyFont="1" applyFill="1" applyBorder="1"/>
    <xf numFmtId="0" fontId="2" fillId="0" borderId="0" xfId="0" applyFont="1"/>
    <xf numFmtId="0" fontId="7" fillId="0" borderId="0" xfId="0" applyFont="1" applyAlignment="1">
      <alignment wrapText="1"/>
    </xf>
    <xf numFmtId="167" fontId="0" fillId="2" borderId="0" xfId="0" applyNumberFormat="1" applyFill="1"/>
    <xf numFmtId="0" fontId="0" fillId="2" borderId="0" xfId="0" applyFill="1"/>
    <xf numFmtId="167" fontId="0" fillId="2" borderId="5" xfId="0" applyNumberFormat="1" applyFill="1" applyBorder="1"/>
    <xf numFmtId="168" fontId="0" fillId="2" borderId="1" xfId="0" applyNumberFormat="1" applyFill="1" applyBorder="1"/>
    <xf numFmtId="0" fontId="5" fillId="0" borderId="0" xfId="0" applyFont="1" applyFill="1" applyBorder="1" applyAlignment="1">
      <alignment horizontal="right"/>
    </xf>
    <xf numFmtId="3" fontId="0" fillId="2" borderId="1" xfId="0" applyNumberFormat="1" applyFill="1" applyBorder="1"/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166" fontId="0" fillId="0" borderId="1" xfId="0" applyNumberFormat="1" applyFill="1" applyBorder="1"/>
    <xf numFmtId="0" fontId="0" fillId="0" borderId="6" xfId="0" applyFill="1" applyBorder="1" applyAlignment="1"/>
    <xf numFmtId="0" fontId="9" fillId="0" borderId="7" xfId="0" applyFont="1" applyFill="1" applyBorder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Histogram of mean</a:t>
            </a:r>
            <a:r>
              <a:rPr lang="en-GB" baseline="0"/>
              <a:t> cost differences between groups</a:t>
            </a:r>
            <a:endParaRPr lang="en-GB"/>
          </a:p>
        </c:rich>
      </c:tx>
      <c:layout>
        <c:manualLayout>
          <c:xMode val="edge"/>
          <c:yMode val="edge"/>
          <c:x val="0.26156136070010477"/>
          <c:y val="5.25144671154408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Bootstrapping!$R$17:$R$58</c:f>
              <c:strCache>
                <c:ptCount val="42"/>
                <c:pt idx="0">
                  <c:v>-£2,000</c:v>
                </c:pt>
                <c:pt idx="1">
                  <c:v>-£1,800</c:v>
                </c:pt>
                <c:pt idx="2">
                  <c:v>-£1,600</c:v>
                </c:pt>
                <c:pt idx="3">
                  <c:v>-£1,400</c:v>
                </c:pt>
                <c:pt idx="4">
                  <c:v>-£1,200</c:v>
                </c:pt>
                <c:pt idx="5">
                  <c:v>-£1,000</c:v>
                </c:pt>
                <c:pt idx="6">
                  <c:v>-£800</c:v>
                </c:pt>
                <c:pt idx="7">
                  <c:v>-£600</c:v>
                </c:pt>
                <c:pt idx="8">
                  <c:v>-£400</c:v>
                </c:pt>
                <c:pt idx="9">
                  <c:v>-£200</c:v>
                </c:pt>
                <c:pt idx="10">
                  <c:v>£0</c:v>
                </c:pt>
                <c:pt idx="11">
                  <c:v>£200</c:v>
                </c:pt>
                <c:pt idx="12">
                  <c:v>£400</c:v>
                </c:pt>
                <c:pt idx="13">
                  <c:v>£600</c:v>
                </c:pt>
                <c:pt idx="14">
                  <c:v>£800</c:v>
                </c:pt>
                <c:pt idx="15">
                  <c:v>£1,000</c:v>
                </c:pt>
                <c:pt idx="16">
                  <c:v>£1,200</c:v>
                </c:pt>
                <c:pt idx="17">
                  <c:v>£1,400</c:v>
                </c:pt>
                <c:pt idx="18">
                  <c:v>£1,600</c:v>
                </c:pt>
                <c:pt idx="19">
                  <c:v>£1,800</c:v>
                </c:pt>
                <c:pt idx="20">
                  <c:v>£2,000</c:v>
                </c:pt>
                <c:pt idx="21">
                  <c:v>£2,200</c:v>
                </c:pt>
                <c:pt idx="22">
                  <c:v>£2,400</c:v>
                </c:pt>
                <c:pt idx="23">
                  <c:v>£2,600</c:v>
                </c:pt>
                <c:pt idx="24">
                  <c:v>£2,800</c:v>
                </c:pt>
                <c:pt idx="25">
                  <c:v>£3,000</c:v>
                </c:pt>
                <c:pt idx="26">
                  <c:v>£3,200</c:v>
                </c:pt>
                <c:pt idx="27">
                  <c:v>£3,400</c:v>
                </c:pt>
                <c:pt idx="28">
                  <c:v>£3,600</c:v>
                </c:pt>
                <c:pt idx="29">
                  <c:v>£3,800</c:v>
                </c:pt>
                <c:pt idx="30">
                  <c:v>£4,000</c:v>
                </c:pt>
                <c:pt idx="31">
                  <c:v>£4,200</c:v>
                </c:pt>
                <c:pt idx="32">
                  <c:v>£4,400</c:v>
                </c:pt>
                <c:pt idx="33">
                  <c:v>£4,600</c:v>
                </c:pt>
                <c:pt idx="34">
                  <c:v>£4,800</c:v>
                </c:pt>
                <c:pt idx="35">
                  <c:v>£5,000</c:v>
                </c:pt>
                <c:pt idx="36">
                  <c:v>£5,200</c:v>
                </c:pt>
                <c:pt idx="37">
                  <c:v>£5,400</c:v>
                </c:pt>
                <c:pt idx="38">
                  <c:v>£5,600</c:v>
                </c:pt>
                <c:pt idx="39">
                  <c:v>£5,800</c:v>
                </c:pt>
                <c:pt idx="40">
                  <c:v>£6,000</c:v>
                </c:pt>
                <c:pt idx="41">
                  <c:v>More</c:v>
                </c:pt>
              </c:strCache>
            </c:strRef>
          </c:cat>
          <c:val>
            <c:numRef>
              <c:f>Bootstrapping!$S$17:$S$58</c:f>
              <c:numCache>
                <c:formatCode>General</c:formatCode>
                <c:ptCount val="4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1</c:v>
                </c:pt>
                <c:pt idx="10">
                  <c:v>8</c:v>
                </c:pt>
                <c:pt idx="11">
                  <c:v>7</c:v>
                </c:pt>
                <c:pt idx="12">
                  <c:v>15</c:v>
                </c:pt>
                <c:pt idx="13">
                  <c:v>19</c:v>
                </c:pt>
                <c:pt idx="14">
                  <c:v>12</c:v>
                </c:pt>
                <c:pt idx="15">
                  <c:v>23</c:v>
                </c:pt>
                <c:pt idx="16">
                  <c:v>22</c:v>
                </c:pt>
                <c:pt idx="17">
                  <c:v>30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61</c:v>
                </c:pt>
                <c:pt idx="22">
                  <c:v>48</c:v>
                </c:pt>
                <c:pt idx="23">
                  <c:v>61</c:v>
                </c:pt>
                <c:pt idx="24">
                  <c:v>72</c:v>
                </c:pt>
                <c:pt idx="25">
                  <c:v>67</c:v>
                </c:pt>
                <c:pt idx="26">
                  <c:v>72</c:v>
                </c:pt>
                <c:pt idx="27">
                  <c:v>44</c:v>
                </c:pt>
                <c:pt idx="28">
                  <c:v>54</c:v>
                </c:pt>
                <c:pt idx="29">
                  <c:v>70</c:v>
                </c:pt>
                <c:pt idx="30">
                  <c:v>50</c:v>
                </c:pt>
                <c:pt idx="31">
                  <c:v>48</c:v>
                </c:pt>
                <c:pt idx="32">
                  <c:v>36</c:v>
                </c:pt>
                <c:pt idx="33">
                  <c:v>28</c:v>
                </c:pt>
                <c:pt idx="34">
                  <c:v>18</c:v>
                </c:pt>
                <c:pt idx="35">
                  <c:v>9</c:v>
                </c:pt>
                <c:pt idx="36">
                  <c:v>4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1-43BD-A364-E47FB20F8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16716288"/>
        <c:axId val="116717824"/>
      </c:barChart>
      <c:catAx>
        <c:axId val="11671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16717824"/>
        <c:crosses val="autoZero"/>
        <c:auto val="1"/>
        <c:lblAlgn val="ctr"/>
        <c:lblOffset val="100"/>
        <c:noMultiLvlLbl val="0"/>
      </c:catAx>
      <c:valAx>
        <c:axId val="116717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/>
                </a:pPr>
                <a:r>
                  <a:rPr lang="en-GB" sz="1800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71628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1"/>
  <sheetViews>
    <sheetView zoomScale="11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1</xdr:row>
      <xdr:rowOff>19050</xdr:rowOff>
    </xdr:from>
    <xdr:to>
      <xdr:col>14</xdr:col>
      <xdr:colOff>523875</xdr:colOff>
      <xdr:row>9</xdr:row>
      <xdr:rowOff>104775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676775" y="247650"/>
          <a:ext cx="4772025" cy="1619250"/>
        </a:xfrm>
        <a:prstGeom prst="rect">
          <a:avLst/>
        </a:prstGeom>
        <a:solidFill>
          <a:srgbClr val="C0C0C0"/>
        </a:solidFill>
        <a:ln w="57150" cmpd="thickThin">
          <a:solidFill>
            <a:srgbClr val="00008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rtl="0"/>
          <a:r>
            <a:rPr lang="en-GB" sz="1400" b="1" i="0" baseline="0">
              <a:latin typeface="+mn-lt"/>
              <a:ea typeface="+mn-ea"/>
              <a:cs typeface="+mn-cs"/>
            </a:rPr>
            <a:t>This sheet uses information from the Costs and Outcomes exercises, and gives the discounted total costs in our clinical trial comparing a Treatment Group with a Control Group.  The trial recruited 100 patients in each arm, and the cost for each of the patients in each of the arms is listed.</a:t>
          </a: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4"/>
  <sheetViews>
    <sheetView topLeftCell="A67" workbookViewId="0">
      <selection activeCell="P22" sqref="P22"/>
    </sheetView>
  </sheetViews>
  <sheetFormatPr defaultRowHeight="15" x14ac:dyDescent="0.25"/>
  <cols>
    <col min="3" max="3" width="12.5703125" bestFit="1" customWidth="1"/>
    <col min="6" max="6" width="11.5703125" bestFit="1" customWidth="1"/>
  </cols>
  <sheetData>
    <row r="1" spans="1:7" ht="18" x14ac:dyDescent="0.25">
      <c r="A1" s="1" t="s">
        <v>0</v>
      </c>
      <c r="B1" s="1"/>
      <c r="C1" s="1"/>
      <c r="D1" s="1"/>
      <c r="E1" s="1"/>
      <c r="F1" s="1"/>
      <c r="G1" s="1"/>
    </row>
    <row r="3" spans="1:7" ht="15.75" x14ac:dyDescent="0.25">
      <c r="B3" s="34" t="s">
        <v>1</v>
      </c>
      <c r="C3" s="35"/>
      <c r="E3" s="36" t="s">
        <v>2</v>
      </c>
      <c r="F3" s="37"/>
    </row>
    <row r="4" spans="1:7" x14ac:dyDescent="0.25">
      <c r="B4" s="3" t="s">
        <v>3</v>
      </c>
      <c r="C4" s="3" t="s">
        <v>4</v>
      </c>
      <c r="E4" s="3" t="s">
        <v>3</v>
      </c>
      <c r="F4" s="3" t="s">
        <v>4</v>
      </c>
    </row>
    <row r="5" spans="1:7" x14ac:dyDescent="0.25">
      <c r="B5">
        <v>1</v>
      </c>
      <c r="C5" s="6">
        <v>3642</v>
      </c>
      <c r="E5">
        <v>101</v>
      </c>
      <c r="F5" s="7">
        <v>7674</v>
      </c>
    </row>
    <row r="6" spans="1:7" x14ac:dyDescent="0.25">
      <c r="B6">
        <v>2</v>
      </c>
      <c r="C6" s="6">
        <v>12122</v>
      </c>
      <c r="E6">
        <v>102</v>
      </c>
      <c r="F6" s="7">
        <v>7707</v>
      </c>
    </row>
    <row r="7" spans="1:7" x14ac:dyDescent="0.25">
      <c r="B7">
        <v>3</v>
      </c>
      <c r="C7" s="6">
        <v>5786</v>
      </c>
      <c r="E7">
        <v>103</v>
      </c>
      <c r="F7" s="7">
        <v>6531</v>
      </c>
    </row>
    <row r="8" spans="1:7" x14ac:dyDescent="0.25">
      <c r="B8">
        <v>4</v>
      </c>
      <c r="C8" s="6">
        <v>7900</v>
      </c>
      <c r="E8">
        <v>104</v>
      </c>
      <c r="F8" s="7">
        <v>18329</v>
      </c>
    </row>
    <row r="9" spans="1:7" x14ac:dyDescent="0.25">
      <c r="B9">
        <v>5</v>
      </c>
      <c r="C9" s="6">
        <v>13883</v>
      </c>
      <c r="E9">
        <v>105</v>
      </c>
      <c r="F9" s="7">
        <v>5949</v>
      </c>
    </row>
    <row r="10" spans="1:7" x14ac:dyDescent="0.25">
      <c r="B10">
        <v>6</v>
      </c>
      <c r="C10" s="6">
        <v>13345</v>
      </c>
      <c r="E10">
        <v>106</v>
      </c>
      <c r="F10" s="7">
        <v>6030</v>
      </c>
    </row>
    <row r="11" spans="1:7" x14ac:dyDescent="0.25">
      <c r="B11">
        <v>7</v>
      </c>
      <c r="C11" s="6">
        <v>5327</v>
      </c>
      <c r="E11">
        <v>107</v>
      </c>
      <c r="F11" s="7">
        <v>6136</v>
      </c>
    </row>
    <row r="12" spans="1:7" x14ac:dyDescent="0.25">
      <c r="B12">
        <v>8</v>
      </c>
      <c r="C12" s="6">
        <v>4005</v>
      </c>
      <c r="E12">
        <v>108</v>
      </c>
      <c r="F12" s="7">
        <v>6292</v>
      </c>
    </row>
    <row r="13" spans="1:7" x14ac:dyDescent="0.25">
      <c r="B13">
        <v>9</v>
      </c>
      <c r="C13" s="6">
        <v>6014</v>
      </c>
      <c r="E13">
        <v>109</v>
      </c>
      <c r="F13" s="7">
        <v>13826</v>
      </c>
    </row>
    <row r="14" spans="1:7" x14ac:dyDescent="0.25">
      <c r="B14">
        <v>10</v>
      </c>
      <c r="C14" s="6">
        <v>9322</v>
      </c>
      <c r="E14">
        <v>110</v>
      </c>
      <c r="F14" s="7">
        <v>7568</v>
      </c>
    </row>
    <row r="15" spans="1:7" x14ac:dyDescent="0.25">
      <c r="B15">
        <v>11</v>
      </c>
      <c r="C15" s="6">
        <v>3230</v>
      </c>
      <c r="E15">
        <v>111</v>
      </c>
      <c r="F15" s="7">
        <v>7055</v>
      </c>
    </row>
    <row r="16" spans="1:7" x14ac:dyDescent="0.25">
      <c r="B16">
        <v>12</v>
      </c>
      <c r="C16" s="6">
        <v>2868</v>
      </c>
      <c r="E16">
        <v>112</v>
      </c>
      <c r="F16" s="7">
        <v>6913</v>
      </c>
    </row>
    <row r="17" spans="2:6" x14ac:dyDescent="0.25">
      <c r="B17">
        <v>13</v>
      </c>
      <c r="C17" s="6">
        <v>5452</v>
      </c>
      <c r="E17">
        <v>113</v>
      </c>
      <c r="F17" s="7">
        <v>12882</v>
      </c>
    </row>
    <row r="18" spans="2:6" x14ac:dyDescent="0.25">
      <c r="B18">
        <v>14</v>
      </c>
      <c r="C18" s="6">
        <v>7685</v>
      </c>
      <c r="E18">
        <v>114</v>
      </c>
      <c r="F18" s="7">
        <v>13840</v>
      </c>
    </row>
    <row r="19" spans="2:6" x14ac:dyDescent="0.25">
      <c r="B19">
        <v>15</v>
      </c>
      <c r="C19" s="6">
        <v>3229</v>
      </c>
      <c r="E19">
        <v>115</v>
      </c>
      <c r="F19" s="7">
        <v>15783</v>
      </c>
    </row>
    <row r="20" spans="2:6" x14ac:dyDescent="0.25">
      <c r="B20">
        <v>16</v>
      </c>
      <c r="C20" s="6">
        <v>4521</v>
      </c>
      <c r="E20">
        <v>116</v>
      </c>
      <c r="F20" s="7">
        <v>5259</v>
      </c>
    </row>
    <row r="21" spans="2:6" x14ac:dyDescent="0.25">
      <c r="B21">
        <v>17</v>
      </c>
      <c r="C21" s="6">
        <v>1547</v>
      </c>
      <c r="E21">
        <v>117</v>
      </c>
      <c r="F21" s="7">
        <v>9842</v>
      </c>
    </row>
    <row r="22" spans="2:6" x14ac:dyDescent="0.25">
      <c r="B22">
        <v>18</v>
      </c>
      <c r="C22" s="6">
        <v>2880</v>
      </c>
      <c r="E22">
        <v>118</v>
      </c>
      <c r="F22" s="7">
        <v>15933</v>
      </c>
    </row>
    <row r="23" spans="2:6" x14ac:dyDescent="0.25">
      <c r="B23">
        <v>19</v>
      </c>
      <c r="C23" s="6">
        <v>3546</v>
      </c>
      <c r="E23">
        <v>119</v>
      </c>
      <c r="F23" s="7">
        <v>17970</v>
      </c>
    </row>
    <row r="24" spans="2:6" x14ac:dyDescent="0.25">
      <c r="B24">
        <v>20</v>
      </c>
      <c r="C24" s="6">
        <v>5647</v>
      </c>
      <c r="E24">
        <v>120</v>
      </c>
      <c r="F24" s="7">
        <v>20972</v>
      </c>
    </row>
    <row r="25" spans="2:6" x14ac:dyDescent="0.25">
      <c r="B25">
        <v>21</v>
      </c>
      <c r="C25" s="6">
        <v>5738</v>
      </c>
      <c r="E25">
        <v>121</v>
      </c>
      <c r="F25" s="7">
        <v>5379</v>
      </c>
    </row>
    <row r="26" spans="2:6" x14ac:dyDescent="0.25">
      <c r="B26">
        <v>22</v>
      </c>
      <c r="C26" s="6">
        <v>1482</v>
      </c>
      <c r="E26">
        <v>122</v>
      </c>
      <c r="F26" s="7">
        <v>9871</v>
      </c>
    </row>
    <row r="27" spans="2:6" x14ac:dyDescent="0.25">
      <c r="B27">
        <v>23</v>
      </c>
      <c r="C27" s="6">
        <v>3009</v>
      </c>
      <c r="E27">
        <v>123</v>
      </c>
      <c r="F27" s="7">
        <v>12814</v>
      </c>
    </row>
    <row r="28" spans="2:6" x14ac:dyDescent="0.25">
      <c r="B28">
        <v>24</v>
      </c>
      <c r="C28" s="6">
        <v>7932</v>
      </c>
      <c r="E28">
        <v>124</v>
      </c>
      <c r="F28" s="7">
        <v>2255</v>
      </c>
    </row>
    <row r="29" spans="2:6" x14ac:dyDescent="0.25">
      <c r="B29">
        <v>25</v>
      </c>
      <c r="C29" s="6">
        <v>16030</v>
      </c>
      <c r="E29">
        <v>125</v>
      </c>
      <c r="F29" s="7">
        <v>6267</v>
      </c>
    </row>
    <row r="30" spans="2:6" x14ac:dyDescent="0.25">
      <c r="B30">
        <v>26</v>
      </c>
      <c r="C30" s="6">
        <v>3218</v>
      </c>
      <c r="E30">
        <v>126</v>
      </c>
      <c r="F30" s="7">
        <v>16389</v>
      </c>
    </row>
    <row r="31" spans="2:6" x14ac:dyDescent="0.25">
      <c r="B31">
        <v>27</v>
      </c>
      <c r="C31" s="6">
        <v>3219</v>
      </c>
      <c r="E31">
        <v>127</v>
      </c>
      <c r="F31" s="7">
        <v>9939</v>
      </c>
    </row>
    <row r="32" spans="2:6" x14ac:dyDescent="0.25">
      <c r="B32">
        <v>28</v>
      </c>
      <c r="C32" s="6">
        <v>6239</v>
      </c>
      <c r="E32">
        <v>128</v>
      </c>
      <c r="F32" s="7">
        <v>13425</v>
      </c>
    </row>
    <row r="33" spans="2:6" x14ac:dyDescent="0.25">
      <c r="B33">
        <v>29</v>
      </c>
      <c r="C33" s="6">
        <v>5240</v>
      </c>
      <c r="E33">
        <v>129</v>
      </c>
      <c r="F33" s="7">
        <v>7051</v>
      </c>
    </row>
    <row r="34" spans="2:6" x14ac:dyDescent="0.25">
      <c r="B34">
        <v>30</v>
      </c>
      <c r="C34" s="6">
        <v>3169</v>
      </c>
      <c r="E34">
        <v>130</v>
      </c>
      <c r="F34" s="7">
        <v>6601</v>
      </c>
    </row>
    <row r="35" spans="2:6" x14ac:dyDescent="0.25">
      <c r="B35">
        <v>31</v>
      </c>
      <c r="C35" s="6">
        <v>6942</v>
      </c>
      <c r="E35">
        <v>131</v>
      </c>
      <c r="F35" s="7">
        <v>9044</v>
      </c>
    </row>
    <row r="36" spans="2:6" x14ac:dyDescent="0.25">
      <c r="B36">
        <v>32</v>
      </c>
      <c r="C36" s="6">
        <v>1198</v>
      </c>
      <c r="E36">
        <v>132</v>
      </c>
      <c r="F36" s="7">
        <v>14671</v>
      </c>
    </row>
    <row r="37" spans="2:6" x14ac:dyDescent="0.25">
      <c r="B37">
        <v>33</v>
      </c>
      <c r="C37" s="6">
        <v>5209</v>
      </c>
      <c r="E37">
        <v>133</v>
      </c>
      <c r="F37" s="7">
        <v>13961</v>
      </c>
    </row>
    <row r="38" spans="2:6" x14ac:dyDescent="0.25">
      <c r="B38">
        <v>34</v>
      </c>
      <c r="C38" s="6">
        <v>6911</v>
      </c>
      <c r="E38">
        <v>134</v>
      </c>
      <c r="F38" s="7">
        <v>10219</v>
      </c>
    </row>
    <row r="39" spans="2:6" x14ac:dyDescent="0.25">
      <c r="B39">
        <v>35</v>
      </c>
      <c r="C39" s="6">
        <v>2782</v>
      </c>
      <c r="E39">
        <v>135</v>
      </c>
      <c r="F39" s="7">
        <v>11035</v>
      </c>
    </row>
    <row r="40" spans="2:6" x14ac:dyDescent="0.25">
      <c r="B40">
        <v>36</v>
      </c>
      <c r="C40" s="6">
        <v>7571</v>
      </c>
      <c r="E40">
        <v>136</v>
      </c>
      <c r="F40" s="7">
        <v>6629</v>
      </c>
    </row>
    <row r="41" spans="2:6" x14ac:dyDescent="0.25">
      <c r="B41">
        <v>37</v>
      </c>
      <c r="C41" s="6">
        <v>5546</v>
      </c>
      <c r="E41">
        <v>137</v>
      </c>
      <c r="F41" s="7">
        <v>3030</v>
      </c>
    </row>
    <row r="42" spans="2:6" x14ac:dyDescent="0.25">
      <c r="B42">
        <v>38</v>
      </c>
      <c r="C42" s="6">
        <v>3995</v>
      </c>
      <c r="E42">
        <v>138</v>
      </c>
      <c r="F42" s="7">
        <v>13091</v>
      </c>
    </row>
    <row r="43" spans="2:6" x14ac:dyDescent="0.25">
      <c r="B43">
        <v>39</v>
      </c>
      <c r="C43" s="6">
        <v>11384</v>
      </c>
      <c r="E43">
        <v>139</v>
      </c>
      <c r="F43" s="7">
        <v>36910</v>
      </c>
    </row>
    <row r="44" spans="2:6" x14ac:dyDescent="0.25">
      <c r="B44">
        <v>40</v>
      </c>
      <c r="C44" s="6">
        <v>2514</v>
      </c>
      <c r="E44">
        <v>140</v>
      </c>
      <c r="F44" s="7">
        <v>6377</v>
      </c>
    </row>
    <row r="45" spans="2:6" x14ac:dyDescent="0.25">
      <c r="B45">
        <v>41</v>
      </c>
      <c r="C45" s="6">
        <v>14327</v>
      </c>
      <c r="E45">
        <v>141</v>
      </c>
      <c r="F45" s="7">
        <v>10257</v>
      </c>
    </row>
    <row r="46" spans="2:6" x14ac:dyDescent="0.25">
      <c r="B46">
        <v>42</v>
      </c>
      <c r="C46" s="6">
        <v>7826</v>
      </c>
      <c r="E46">
        <v>142</v>
      </c>
      <c r="F46" s="7">
        <v>8969</v>
      </c>
    </row>
    <row r="47" spans="2:6" x14ac:dyDescent="0.25">
      <c r="B47">
        <v>43</v>
      </c>
      <c r="C47" s="6">
        <v>2863</v>
      </c>
      <c r="E47">
        <v>143</v>
      </c>
      <c r="F47" s="7">
        <v>13869</v>
      </c>
    </row>
    <row r="48" spans="2:6" x14ac:dyDescent="0.25">
      <c r="B48">
        <v>44</v>
      </c>
      <c r="C48" s="6">
        <v>602</v>
      </c>
      <c r="E48">
        <v>144</v>
      </c>
      <c r="F48" s="7">
        <v>12466</v>
      </c>
    </row>
    <row r="49" spans="2:6" x14ac:dyDescent="0.25">
      <c r="B49">
        <v>45</v>
      </c>
      <c r="C49" s="6">
        <v>5607</v>
      </c>
      <c r="E49">
        <v>145</v>
      </c>
      <c r="F49" s="7">
        <v>9557</v>
      </c>
    </row>
    <row r="50" spans="2:6" x14ac:dyDescent="0.25">
      <c r="B50">
        <v>46</v>
      </c>
      <c r="C50" s="6">
        <v>2916</v>
      </c>
      <c r="E50">
        <v>146</v>
      </c>
      <c r="F50" s="7">
        <v>5981</v>
      </c>
    </row>
    <row r="51" spans="2:6" x14ac:dyDescent="0.25">
      <c r="B51">
        <v>47</v>
      </c>
      <c r="C51" s="6">
        <v>4134</v>
      </c>
      <c r="E51">
        <v>147</v>
      </c>
      <c r="F51" s="7">
        <v>12653</v>
      </c>
    </row>
    <row r="52" spans="2:6" x14ac:dyDescent="0.25">
      <c r="B52">
        <v>48</v>
      </c>
      <c r="C52" s="6">
        <v>5666</v>
      </c>
      <c r="E52">
        <v>148</v>
      </c>
      <c r="F52" s="7">
        <v>2775</v>
      </c>
    </row>
    <row r="53" spans="2:6" x14ac:dyDescent="0.25">
      <c r="B53">
        <v>49</v>
      </c>
      <c r="C53" s="6">
        <v>348</v>
      </c>
      <c r="E53">
        <v>149</v>
      </c>
      <c r="F53" s="7">
        <v>11829</v>
      </c>
    </row>
    <row r="54" spans="2:6" x14ac:dyDescent="0.25">
      <c r="B54">
        <v>50</v>
      </c>
      <c r="C54" s="6">
        <v>5199</v>
      </c>
      <c r="E54">
        <v>150</v>
      </c>
      <c r="F54" s="7">
        <v>9379</v>
      </c>
    </row>
    <row r="55" spans="2:6" x14ac:dyDescent="0.25">
      <c r="B55">
        <v>51</v>
      </c>
      <c r="C55" s="6">
        <v>12358</v>
      </c>
      <c r="E55">
        <v>151</v>
      </c>
      <c r="F55" s="7">
        <v>12547</v>
      </c>
    </row>
    <row r="56" spans="2:6" x14ac:dyDescent="0.25">
      <c r="B56">
        <v>52</v>
      </c>
      <c r="C56" s="6">
        <v>3874</v>
      </c>
      <c r="E56">
        <v>152</v>
      </c>
      <c r="F56" s="7">
        <v>7874</v>
      </c>
    </row>
    <row r="57" spans="2:6" x14ac:dyDescent="0.25">
      <c r="B57">
        <v>53</v>
      </c>
      <c r="C57" s="6">
        <v>1228</v>
      </c>
      <c r="E57">
        <v>153</v>
      </c>
      <c r="F57" s="7">
        <v>20578</v>
      </c>
    </row>
    <row r="58" spans="2:6" x14ac:dyDescent="0.25">
      <c r="B58">
        <v>54</v>
      </c>
      <c r="C58" s="6">
        <v>4426</v>
      </c>
      <c r="E58">
        <v>154</v>
      </c>
      <c r="F58" s="7">
        <v>14355</v>
      </c>
    </row>
    <row r="59" spans="2:6" x14ac:dyDescent="0.25">
      <c r="B59">
        <v>55</v>
      </c>
      <c r="C59" s="6">
        <v>8149</v>
      </c>
      <c r="E59">
        <v>155</v>
      </c>
      <c r="F59" s="7">
        <v>10451</v>
      </c>
    </row>
    <row r="60" spans="2:6" x14ac:dyDescent="0.25">
      <c r="B60">
        <v>56</v>
      </c>
      <c r="C60" s="6">
        <v>5569</v>
      </c>
      <c r="E60">
        <v>156</v>
      </c>
      <c r="F60" s="7">
        <v>6689</v>
      </c>
    </row>
    <row r="61" spans="2:6" x14ac:dyDescent="0.25">
      <c r="B61">
        <v>57</v>
      </c>
      <c r="C61" s="6">
        <v>19104</v>
      </c>
      <c r="E61">
        <v>157</v>
      </c>
      <c r="F61" s="7">
        <v>6678</v>
      </c>
    </row>
    <row r="62" spans="2:6" x14ac:dyDescent="0.25">
      <c r="B62">
        <v>58</v>
      </c>
      <c r="C62" s="6">
        <v>5369</v>
      </c>
      <c r="E62">
        <v>158</v>
      </c>
      <c r="F62" s="7">
        <v>9898</v>
      </c>
    </row>
    <row r="63" spans="2:6" x14ac:dyDescent="0.25">
      <c r="B63">
        <v>59</v>
      </c>
      <c r="C63" s="6">
        <v>9441</v>
      </c>
      <c r="E63">
        <v>159</v>
      </c>
      <c r="F63" s="7">
        <v>9994</v>
      </c>
    </row>
    <row r="64" spans="2:6" x14ac:dyDescent="0.25">
      <c r="B64">
        <v>60</v>
      </c>
      <c r="C64" s="6">
        <v>5474</v>
      </c>
      <c r="E64">
        <v>160</v>
      </c>
      <c r="F64" s="7">
        <v>8414</v>
      </c>
    </row>
    <row r="65" spans="2:6" x14ac:dyDescent="0.25">
      <c r="B65">
        <v>61</v>
      </c>
      <c r="C65" s="6">
        <v>4568</v>
      </c>
      <c r="E65">
        <v>161</v>
      </c>
      <c r="F65" s="7">
        <v>5348</v>
      </c>
    </row>
    <row r="66" spans="2:6" x14ac:dyDescent="0.25">
      <c r="B66">
        <v>62</v>
      </c>
      <c r="C66" s="6">
        <v>4486</v>
      </c>
      <c r="E66">
        <v>162</v>
      </c>
      <c r="F66" s="7">
        <v>8758</v>
      </c>
    </row>
    <row r="67" spans="2:6" x14ac:dyDescent="0.25">
      <c r="B67">
        <v>63</v>
      </c>
      <c r="C67" s="6">
        <v>5914</v>
      </c>
      <c r="E67">
        <v>163</v>
      </c>
      <c r="F67" s="7">
        <v>7873</v>
      </c>
    </row>
    <row r="68" spans="2:6" x14ac:dyDescent="0.25">
      <c r="B68">
        <v>64</v>
      </c>
      <c r="C68" s="6">
        <v>14028</v>
      </c>
      <c r="E68">
        <v>164</v>
      </c>
      <c r="F68" s="7">
        <v>13098</v>
      </c>
    </row>
    <row r="69" spans="2:6" x14ac:dyDescent="0.25">
      <c r="B69">
        <v>65</v>
      </c>
      <c r="C69" s="6">
        <v>4841</v>
      </c>
      <c r="E69">
        <v>165</v>
      </c>
      <c r="F69" s="7">
        <v>13338</v>
      </c>
    </row>
    <row r="70" spans="2:6" x14ac:dyDescent="0.25">
      <c r="B70">
        <v>66</v>
      </c>
      <c r="C70" s="6">
        <v>3986</v>
      </c>
      <c r="E70">
        <v>166</v>
      </c>
      <c r="F70" s="7">
        <v>12919</v>
      </c>
    </row>
    <row r="71" spans="2:6" x14ac:dyDescent="0.25">
      <c r="B71">
        <v>67</v>
      </c>
      <c r="C71" s="6">
        <v>6671</v>
      </c>
      <c r="E71">
        <v>167</v>
      </c>
      <c r="F71" s="7">
        <v>6747</v>
      </c>
    </row>
    <row r="72" spans="2:6" x14ac:dyDescent="0.25">
      <c r="B72">
        <v>68</v>
      </c>
      <c r="C72" s="6">
        <v>5033</v>
      </c>
      <c r="E72">
        <v>168</v>
      </c>
      <c r="F72" s="7">
        <v>4850</v>
      </c>
    </row>
    <row r="73" spans="2:6" x14ac:dyDescent="0.25">
      <c r="B73">
        <v>69</v>
      </c>
      <c r="C73" s="6">
        <v>9305</v>
      </c>
      <c r="E73">
        <v>169</v>
      </c>
      <c r="F73" s="7">
        <v>10236</v>
      </c>
    </row>
    <row r="74" spans="2:6" x14ac:dyDescent="0.25">
      <c r="B74">
        <v>70</v>
      </c>
      <c r="C74" s="6">
        <v>3069</v>
      </c>
      <c r="E74">
        <v>170</v>
      </c>
      <c r="F74" s="7">
        <v>8228</v>
      </c>
    </row>
    <row r="75" spans="2:6" x14ac:dyDescent="0.25">
      <c r="B75">
        <v>71</v>
      </c>
      <c r="C75" s="6">
        <v>5517</v>
      </c>
      <c r="E75">
        <v>171</v>
      </c>
      <c r="F75" s="7">
        <v>13769</v>
      </c>
    </row>
    <row r="76" spans="2:6" x14ac:dyDescent="0.25">
      <c r="B76">
        <v>72</v>
      </c>
      <c r="C76" s="6">
        <v>6183</v>
      </c>
      <c r="E76">
        <v>172</v>
      </c>
      <c r="F76" s="7">
        <v>14346</v>
      </c>
    </row>
    <row r="77" spans="2:6" x14ac:dyDescent="0.25">
      <c r="B77">
        <v>73</v>
      </c>
      <c r="C77" s="6">
        <v>4768</v>
      </c>
      <c r="E77">
        <v>173</v>
      </c>
      <c r="F77" s="7">
        <v>9669</v>
      </c>
    </row>
    <row r="78" spans="2:6" x14ac:dyDescent="0.25">
      <c r="B78">
        <v>74</v>
      </c>
      <c r="C78" s="6">
        <v>3149</v>
      </c>
      <c r="E78">
        <v>174</v>
      </c>
      <c r="F78" s="7">
        <v>12539</v>
      </c>
    </row>
    <row r="79" spans="2:6" x14ac:dyDescent="0.25">
      <c r="B79">
        <v>75</v>
      </c>
      <c r="C79" s="6">
        <v>3357</v>
      </c>
      <c r="E79">
        <v>175</v>
      </c>
      <c r="F79" s="7">
        <v>7339</v>
      </c>
    </row>
    <row r="80" spans="2:6" x14ac:dyDescent="0.25">
      <c r="B80">
        <v>76</v>
      </c>
      <c r="C80" s="6">
        <v>1971</v>
      </c>
      <c r="E80">
        <v>176</v>
      </c>
      <c r="F80" s="7">
        <v>4931</v>
      </c>
    </row>
    <row r="81" spans="2:6" x14ac:dyDescent="0.25">
      <c r="B81">
        <v>77</v>
      </c>
      <c r="C81" s="6">
        <v>7635</v>
      </c>
      <c r="E81">
        <v>177</v>
      </c>
      <c r="F81" s="7">
        <v>11004</v>
      </c>
    </row>
    <row r="82" spans="2:6" x14ac:dyDescent="0.25">
      <c r="B82">
        <v>78</v>
      </c>
      <c r="C82" s="6">
        <v>2981</v>
      </c>
      <c r="E82">
        <v>178</v>
      </c>
      <c r="F82" s="7">
        <v>7312</v>
      </c>
    </row>
    <row r="83" spans="2:6" x14ac:dyDescent="0.25">
      <c r="B83">
        <v>79</v>
      </c>
      <c r="C83" s="6">
        <v>11110</v>
      </c>
      <c r="E83">
        <v>179</v>
      </c>
      <c r="F83" s="7">
        <v>8540</v>
      </c>
    </row>
    <row r="84" spans="2:6" x14ac:dyDescent="0.25">
      <c r="B84">
        <v>80</v>
      </c>
      <c r="C84" s="6">
        <v>5023</v>
      </c>
      <c r="E84">
        <v>180</v>
      </c>
      <c r="F84" s="7">
        <v>5155</v>
      </c>
    </row>
    <row r="85" spans="2:6" x14ac:dyDescent="0.25">
      <c r="B85">
        <v>81</v>
      </c>
      <c r="C85" s="6">
        <v>9764</v>
      </c>
      <c r="E85">
        <v>181</v>
      </c>
      <c r="F85" s="7">
        <v>5706</v>
      </c>
    </row>
    <row r="86" spans="2:6" x14ac:dyDescent="0.25">
      <c r="B86">
        <v>82</v>
      </c>
      <c r="C86" s="6">
        <v>1678</v>
      </c>
      <c r="E86">
        <v>182</v>
      </c>
      <c r="F86" s="7">
        <v>6730</v>
      </c>
    </row>
    <row r="87" spans="2:6" x14ac:dyDescent="0.25">
      <c r="B87">
        <v>83</v>
      </c>
      <c r="C87" s="6">
        <v>7454</v>
      </c>
      <c r="E87">
        <v>183</v>
      </c>
      <c r="F87" s="7">
        <v>5057</v>
      </c>
    </row>
    <row r="88" spans="2:6" x14ac:dyDescent="0.25">
      <c r="B88">
        <v>84</v>
      </c>
      <c r="C88" s="6">
        <v>7425</v>
      </c>
      <c r="E88">
        <v>184</v>
      </c>
      <c r="F88" s="7">
        <v>14160</v>
      </c>
    </row>
    <row r="89" spans="2:6" x14ac:dyDescent="0.25">
      <c r="B89">
        <v>85</v>
      </c>
      <c r="C89" s="6">
        <v>9028</v>
      </c>
      <c r="E89">
        <v>185</v>
      </c>
      <c r="F89" s="7">
        <v>6600</v>
      </c>
    </row>
    <row r="90" spans="2:6" x14ac:dyDescent="0.25">
      <c r="B90">
        <v>86</v>
      </c>
      <c r="C90" s="6">
        <v>8744</v>
      </c>
      <c r="E90">
        <v>186</v>
      </c>
      <c r="F90" s="7">
        <v>4935</v>
      </c>
    </row>
    <row r="91" spans="2:6" x14ac:dyDescent="0.25">
      <c r="B91">
        <v>87</v>
      </c>
      <c r="C91" s="6">
        <v>9354</v>
      </c>
      <c r="E91">
        <v>187</v>
      </c>
      <c r="F91" s="7">
        <v>8045</v>
      </c>
    </row>
    <row r="92" spans="2:6" x14ac:dyDescent="0.25">
      <c r="B92">
        <v>88</v>
      </c>
      <c r="C92" s="6">
        <v>3964</v>
      </c>
      <c r="E92">
        <v>188</v>
      </c>
      <c r="F92" s="7">
        <v>8471</v>
      </c>
    </row>
    <row r="93" spans="2:6" x14ac:dyDescent="0.25">
      <c r="B93">
        <v>89</v>
      </c>
      <c r="C93" s="6">
        <v>7359</v>
      </c>
      <c r="E93">
        <v>189</v>
      </c>
      <c r="F93" s="7">
        <v>7607</v>
      </c>
    </row>
    <row r="94" spans="2:6" x14ac:dyDescent="0.25">
      <c r="B94">
        <v>90</v>
      </c>
      <c r="C94" s="6">
        <v>2838</v>
      </c>
      <c r="E94">
        <v>190</v>
      </c>
      <c r="F94" s="7">
        <v>7263</v>
      </c>
    </row>
    <row r="95" spans="2:6" x14ac:dyDescent="0.25">
      <c r="B95">
        <v>91</v>
      </c>
      <c r="C95" s="6">
        <v>115200</v>
      </c>
      <c r="E95">
        <v>191</v>
      </c>
      <c r="F95" s="7">
        <v>6438</v>
      </c>
    </row>
    <row r="96" spans="2:6" x14ac:dyDescent="0.25">
      <c r="B96">
        <v>92</v>
      </c>
      <c r="C96" s="6">
        <v>14708</v>
      </c>
      <c r="E96">
        <v>192</v>
      </c>
      <c r="F96" s="7">
        <v>6326</v>
      </c>
    </row>
    <row r="97" spans="2:6" x14ac:dyDescent="0.25">
      <c r="B97">
        <v>93</v>
      </c>
      <c r="C97" s="6">
        <v>6599</v>
      </c>
      <c r="E97">
        <v>193</v>
      </c>
      <c r="F97" s="7">
        <v>8332</v>
      </c>
    </row>
    <row r="98" spans="2:6" x14ac:dyDescent="0.25">
      <c r="B98">
        <v>94</v>
      </c>
      <c r="C98" s="6">
        <v>7500</v>
      </c>
      <c r="E98">
        <v>194</v>
      </c>
      <c r="F98" s="7">
        <v>6867</v>
      </c>
    </row>
    <row r="99" spans="2:6" x14ac:dyDescent="0.25">
      <c r="B99">
        <v>95</v>
      </c>
      <c r="C99" s="6">
        <v>937</v>
      </c>
      <c r="E99">
        <v>195</v>
      </c>
      <c r="F99" s="7">
        <v>8633</v>
      </c>
    </row>
    <row r="100" spans="2:6" x14ac:dyDescent="0.25">
      <c r="B100">
        <v>96</v>
      </c>
      <c r="C100" s="6">
        <v>5197</v>
      </c>
      <c r="E100">
        <v>196</v>
      </c>
      <c r="F100" s="7">
        <v>13351</v>
      </c>
    </row>
    <row r="101" spans="2:6" x14ac:dyDescent="0.25">
      <c r="B101">
        <v>97</v>
      </c>
      <c r="C101" s="6">
        <v>6232</v>
      </c>
      <c r="E101">
        <v>197</v>
      </c>
      <c r="F101" s="7">
        <v>10863</v>
      </c>
    </row>
    <row r="102" spans="2:6" x14ac:dyDescent="0.25">
      <c r="B102">
        <v>98</v>
      </c>
      <c r="C102" s="6">
        <v>8692</v>
      </c>
      <c r="E102">
        <v>198</v>
      </c>
      <c r="F102" s="7">
        <v>8811</v>
      </c>
    </row>
    <row r="103" spans="2:6" x14ac:dyDescent="0.25">
      <c r="B103">
        <v>99</v>
      </c>
      <c r="C103" s="6">
        <v>4142</v>
      </c>
      <c r="E103">
        <v>199</v>
      </c>
      <c r="F103" s="7">
        <v>14065</v>
      </c>
    </row>
    <row r="104" spans="2:6" x14ac:dyDescent="0.25">
      <c r="B104">
        <v>100</v>
      </c>
      <c r="C104" s="6">
        <v>3620</v>
      </c>
      <c r="E104">
        <v>200</v>
      </c>
      <c r="F104" s="7">
        <v>1231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0"/>
  <sheetViews>
    <sheetView workbookViewId="0">
      <selection activeCell="D17" sqref="D17"/>
    </sheetView>
  </sheetViews>
  <sheetFormatPr defaultRowHeight="15" x14ac:dyDescent="0.25"/>
  <cols>
    <col min="1" max="1" width="27.42578125" bestFit="1" customWidth="1"/>
  </cols>
  <sheetData>
    <row r="1" spans="1:5" ht="18" x14ac:dyDescent="0.25">
      <c r="A1" s="4" t="s">
        <v>5</v>
      </c>
    </row>
    <row r="3" spans="1:5" ht="15.75" x14ac:dyDescent="0.25">
      <c r="B3" s="2" t="s">
        <v>1</v>
      </c>
      <c r="E3" s="2" t="s">
        <v>2</v>
      </c>
    </row>
    <row r="4" spans="1:5" x14ac:dyDescent="0.25">
      <c r="B4" s="3"/>
      <c r="E4" s="3"/>
    </row>
    <row r="5" spans="1:5" x14ac:dyDescent="0.25">
      <c r="A5" s="5" t="s">
        <v>35</v>
      </c>
      <c r="B5" s="33">
        <f>COUNT('Raw Data'!B5:B104)</f>
        <v>100</v>
      </c>
      <c r="E5" s="33">
        <f>COUNT('Raw Data'!E5:E104)</f>
        <v>100</v>
      </c>
    </row>
    <row r="6" spans="1:5" x14ac:dyDescent="0.25">
      <c r="A6" s="5" t="s">
        <v>6</v>
      </c>
      <c r="B6" s="20">
        <f>AVERAGE('Raw Data'!C5:C104)</f>
        <v>7097.89</v>
      </c>
      <c r="E6" s="20">
        <f>AVERAGE('Raw Data'!F5:F104)</f>
        <v>9781.52</v>
      </c>
    </row>
    <row r="7" spans="1:5" x14ac:dyDescent="0.25">
      <c r="A7" s="5" t="s">
        <v>7</v>
      </c>
      <c r="B7" s="20">
        <f>STDEV('Raw Data'!C5:C104)</f>
        <v>11492.59926722718</v>
      </c>
      <c r="E7" s="20">
        <f>STDEV('Raw Data'!F5:F104)</f>
        <v>4771.4258514789481</v>
      </c>
    </row>
    <row r="8" spans="1:5" x14ac:dyDescent="0.25">
      <c r="A8" s="5" t="s">
        <v>8</v>
      </c>
      <c r="B8" s="20">
        <f>B7/SQRT(B5)</f>
        <v>1149.2599267227181</v>
      </c>
      <c r="C8" s="39"/>
      <c r="D8" s="39"/>
      <c r="E8" s="20">
        <f t="shared" ref="E8" si="0">E7/SQRT(E5)</f>
        <v>477.14258514789481</v>
      </c>
    </row>
    <row r="9" spans="1:5" x14ac:dyDescent="0.25">
      <c r="A9" s="5" t="s">
        <v>32</v>
      </c>
      <c r="B9" s="31">
        <f>SKEW('Raw Data'!C5:C104)</f>
        <v>8.585463528188864</v>
      </c>
      <c r="E9" s="31">
        <f>SKEW('Raw Data'!F5:F104)</f>
        <v>2.1141865940730433</v>
      </c>
    </row>
    <row r="10" spans="1:5" x14ac:dyDescent="0.25">
      <c r="A10" s="5"/>
    </row>
    <row r="11" spans="1:5" ht="15.75" x14ac:dyDescent="0.25">
      <c r="B11" s="2" t="s">
        <v>9</v>
      </c>
    </row>
    <row r="12" spans="1:5" x14ac:dyDescent="0.25">
      <c r="B12" s="3"/>
    </row>
    <row r="13" spans="1:5" x14ac:dyDescent="0.25">
      <c r="A13" s="5" t="s">
        <v>6</v>
      </c>
      <c r="B13" s="20">
        <f>E6-B6</f>
        <v>2683.63</v>
      </c>
    </row>
    <row r="14" spans="1:5" x14ac:dyDescent="0.25">
      <c r="A14" s="5" t="s">
        <v>8</v>
      </c>
      <c r="B14" s="20">
        <f>SQRT(B8^2+E8^2)</f>
        <v>1244.3727037075039</v>
      </c>
    </row>
    <row r="15" spans="1:5" x14ac:dyDescent="0.25">
      <c r="A15" s="5" t="s">
        <v>10</v>
      </c>
      <c r="B15" s="20">
        <f>B13-NORMINV(0.975,0,1)*B14</f>
        <v>244.70431738856132</v>
      </c>
    </row>
    <row r="16" spans="1:5" x14ac:dyDescent="0.25">
      <c r="A16" s="5" t="s">
        <v>11</v>
      </c>
      <c r="B16" s="20">
        <f>B13+NORMINV(0.975,0,1)*B14</f>
        <v>5122.5556826114389</v>
      </c>
    </row>
    <row r="18" spans="1:2" ht="15.75" x14ac:dyDescent="0.25">
      <c r="B18" s="38" t="s">
        <v>36</v>
      </c>
    </row>
    <row r="19" spans="1:2" x14ac:dyDescent="0.25">
      <c r="A19" s="32" t="s">
        <v>33</v>
      </c>
      <c r="B19" s="31">
        <f>B13/B14</f>
        <v>2.1566127190064117</v>
      </c>
    </row>
    <row r="20" spans="1:2" x14ac:dyDescent="0.25">
      <c r="A20" s="32" t="s">
        <v>34</v>
      </c>
      <c r="B20" s="31">
        <f>TDIST(ABS(B19),(B5+E5)-2,2)</f>
        <v>3.2241269709915678E-2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006"/>
  <sheetViews>
    <sheetView workbookViewId="0">
      <selection activeCell="O7" sqref="O7:O1006"/>
    </sheetView>
  </sheetViews>
  <sheetFormatPr defaultRowHeight="15" x14ac:dyDescent="0.25"/>
  <cols>
    <col min="2" max="2" width="10.140625" bestFit="1" customWidth="1"/>
    <col min="10" max="10" width="2.7109375" customWidth="1"/>
    <col min="11" max="11" width="10.140625" bestFit="1" customWidth="1"/>
    <col min="12" max="12" width="5.140625" customWidth="1"/>
    <col min="13" max="13" width="10.140625" bestFit="1" customWidth="1"/>
    <col min="14" max="14" width="7.140625" customWidth="1"/>
    <col min="17" max="17" width="11.7109375" customWidth="1"/>
    <col min="18" max="18" width="9.85546875" bestFit="1" customWidth="1"/>
  </cols>
  <sheetData>
    <row r="1" spans="1:19" ht="18" x14ac:dyDescent="0.25">
      <c r="A1" s="1" t="s">
        <v>12</v>
      </c>
      <c r="B1" s="8"/>
      <c r="C1" s="9"/>
      <c r="D1" s="1"/>
      <c r="E1" s="1"/>
      <c r="F1" s="8"/>
      <c r="G1" s="9"/>
    </row>
    <row r="2" spans="1:19" ht="15.75" x14ac:dyDescent="0.25">
      <c r="A2" s="2"/>
      <c r="B2" s="10"/>
      <c r="C2" s="11"/>
      <c r="D2" s="2"/>
      <c r="E2" s="2"/>
      <c r="F2" s="10"/>
      <c r="G2" s="11"/>
    </row>
    <row r="3" spans="1:19" ht="15.75" x14ac:dyDescent="0.25">
      <c r="A3" s="2" t="s">
        <v>13</v>
      </c>
      <c r="B3" s="12"/>
      <c r="C3" s="13"/>
      <c r="D3" s="14"/>
      <c r="E3" s="14"/>
      <c r="F3" s="12"/>
      <c r="G3" s="13"/>
      <c r="I3" s="2" t="s">
        <v>15</v>
      </c>
      <c r="J3" s="2"/>
      <c r="K3" s="12"/>
      <c r="L3" s="13"/>
      <c r="M3" s="12"/>
      <c r="N3" s="2"/>
      <c r="O3" s="2"/>
      <c r="P3" s="2"/>
    </row>
    <row r="4" spans="1:19" ht="15.75" x14ac:dyDescent="0.25">
      <c r="A4" s="14"/>
      <c r="B4" s="12"/>
      <c r="C4" s="13"/>
      <c r="D4" s="14"/>
      <c r="E4" s="14"/>
      <c r="F4" s="12"/>
      <c r="G4" s="13"/>
      <c r="I4" s="2"/>
      <c r="J4" s="2"/>
      <c r="K4" s="12"/>
      <c r="L4" s="13"/>
      <c r="M4" s="12"/>
      <c r="N4" s="14"/>
      <c r="O4" s="14"/>
      <c r="P4" s="14"/>
    </row>
    <row r="5" spans="1:19" ht="15.75" x14ac:dyDescent="0.25">
      <c r="A5" s="2" t="s">
        <v>1</v>
      </c>
      <c r="B5" s="12"/>
      <c r="C5" s="13"/>
      <c r="D5" s="14"/>
      <c r="E5" s="2" t="s">
        <v>2</v>
      </c>
      <c r="F5" s="12"/>
      <c r="G5" s="13"/>
      <c r="I5" s="3" t="s">
        <v>16</v>
      </c>
      <c r="J5" s="3"/>
      <c r="K5" s="3" t="s">
        <v>17</v>
      </c>
      <c r="L5" s="13"/>
      <c r="M5" s="3" t="s">
        <v>2</v>
      </c>
      <c r="N5" s="3"/>
      <c r="O5" s="3" t="s">
        <v>18</v>
      </c>
      <c r="Q5" s="3" t="s">
        <v>26</v>
      </c>
      <c r="R5" s="14"/>
    </row>
    <row r="6" spans="1:19" x14ac:dyDescent="0.25">
      <c r="A6" s="3" t="s">
        <v>3</v>
      </c>
      <c r="B6" s="15" t="s">
        <v>4</v>
      </c>
      <c r="D6" s="14"/>
      <c r="E6" s="3" t="s">
        <v>3</v>
      </c>
      <c r="F6" s="15" t="s">
        <v>4</v>
      </c>
      <c r="I6" s="3" t="s">
        <v>19</v>
      </c>
      <c r="J6" s="3"/>
      <c r="K6" s="15" t="s">
        <v>4</v>
      </c>
      <c r="L6" s="15"/>
      <c r="M6" s="15" t="s">
        <v>4</v>
      </c>
      <c r="N6" s="3"/>
      <c r="O6" s="3" t="s">
        <v>4</v>
      </c>
      <c r="Q6" s="14"/>
      <c r="R6" s="14"/>
    </row>
    <row r="7" spans="1:19" x14ac:dyDescent="0.25">
      <c r="A7" s="21">
        <f ca="1">INT(RAND()*(100)+1)</f>
        <v>9</v>
      </c>
      <c r="B7" s="22">
        <f ca="1">VLOOKUP(A7,'Raw Data'!$B$5:$C$104,2,FALSE)</f>
        <v>6014</v>
      </c>
      <c r="E7" s="23">
        <f ca="1">INT(RAND()*(100)+101)</f>
        <v>199</v>
      </c>
      <c r="F7" s="24">
        <f ca="1">VLOOKUP(E7,'Raw Data'!$E$5:$F$104,2, FALSE)</f>
        <v>14065</v>
      </c>
      <c r="I7" s="14">
        <v>1</v>
      </c>
      <c r="K7" s="6">
        <v>7592.55</v>
      </c>
      <c r="L7" s="6"/>
      <c r="M7" s="6">
        <v>9457.73</v>
      </c>
      <c r="O7" s="24">
        <f>M7-K7</f>
        <v>1865.1799999999994</v>
      </c>
      <c r="Q7" s="16" t="s">
        <v>6</v>
      </c>
      <c r="R7" s="25">
        <f>AVERAGE(O7:O1006)</f>
        <v>2701.0841099999989</v>
      </c>
    </row>
    <row r="8" spans="1:19" x14ac:dyDescent="0.25">
      <c r="A8" s="21">
        <f t="shared" ref="A8:A71" ca="1" si="0">INT(RAND()*(100)+1)</f>
        <v>13</v>
      </c>
      <c r="B8" s="22">
        <f ca="1">VLOOKUP(A8,'Raw Data'!$B$5:$C$104,2,FALSE)</f>
        <v>5452</v>
      </c>
      <c r="E8" s="23">
        <f t="shared" ref="E8:E71" ca="1" si="1">INT(RAND()*(100)+101)</f>
        <v>117</v>
      </c>
      <c r="F8" s="24">
        <f ca="1">VLOOKUP(E8,'Raw Data'!$E$5:$F$104,2, FALSE)</f>
        <v>9842</v>
      </c>
      <c r="I8" s="14">
        <v>2</v>
      </c>
      <c r="K8" s="6">
        <v>8538.1</v>
      </c>
      <c r="L8" s="6"/>
      <c r="M8" s="6">
        <v>10052.26</v>
      </c>
      <c r="O8" s="24">
        <f t="shared" ref="O8:O71" si="2">M8-K8</f>
        <v>1514.1599999999999</v>
      </c>
      <c r="Q8" s="16" t="s">
        <v>20</v>
      </c>
      <c r="R8" s="25">
        <f>STDEV(O7:O1006)</f>
        <v>1234.989518916193</v>
      </c>
    </row>
    <row r="9" spans="1:19" x14ac:dyDescent="0.25">
      <c r="A9" s="21">
        <f t="shared" ca="1" si="0"/>
        <v>50</v>
      </c>
      <c r="B9" s="22">
        <f ca="1">VLOOKUP(A9,'Raw Data'!$B$5:$C$104,2,FALSE)</f>
        <v>5199</v>
      </c>
      <c r="E9" s="23">
        <f t="shared" ca="1" si="1"/>
        <v>188</v>
      </c>
      <c r="F9" s="24">
        <f ca="1">VLOOKUP(E9,'Raw Data'!$E$5:$F$104,2, FALSE)</f>
        <v>8471</v>
      </c>
      <c r="I9" s="14">
        <v>3</v>
      </c>
      <c r="K9" s="6">
        <v>8580.24</v>
      </c>
      <c r="L9" s="6"/>
      <c r="M9" s="6">
        <v>9769.1200000000008</v>
      </c>
      <c r="O9" s="24">
        <f t="shared" si="2"/>
        <v>1188.880000000001</v>
      </c>
      <c r="Q9" s="16" t="s">
        <v>21</v>
      </c>
      <c r="R9" s="25">
        <f>MEDIAN(O7:O1006)</f>
        <v>2816.7100000000005</v>
      </c>
    </row>
    <row r="10" spans="1:19" x14ac:dyDescent="0.25">
      <c r="A10" s="21">
        <f t="shared" ca="1" si="0"/>
        <v>24</v>
      </c>
      <c r="B10" s="22">
        <f ca="1">VLOOKUP(A10,'Raw Data'!$B$5:$C$104,2,FALSE)</f>
        <v>7932</v>
      </c>
      <c r="E10" s="23">
        <f t="shared" ca="1" si="1"/>
        <v>189</v>
      </c>
      <c r="F10" s="24">
        <f ca="1">VLOOKUP(E10,'Raw Data'!$E$5:$F$104,2, FALSE)</f>
        <v>7607</v>
      </c>
      <c r="I10" s="14">
        <v>4</v>
      </c>
      <c r="K10" s="6">
        <v>8572.48</v>
      </c>
      <c r="L10" s="6"/>
      <c r="M10" s="6">
        <v>9761.57</v>
      </c>
      <c r="O10" s="24">
        <f t="shared" si="2"/>
        <v>1189.0900000000001</v>
      </c>
      <c r="Q10" s="16" t="s">
        <v>22</v>
      </c>
      <c r="R10" s="25">
        <f>PERCENTILE($O$7:$O$1006, 0.025)</f>
        <v>75.137750000001375</v>
      </c>
    </row>
    <row r="11" spans="1:19" x14ac:dyDescent="0.25">
      <c r="A11" s="21">
        <f t="shared" ca="1" si="0"/>
        <v>48</v>
      </c>
      <c r="B11" s="22">
        <f ca="1">VLOOKUP(A11,'Raw Data'!$B$5:$C$104,2,FALSE)</f>
        <v>5666</v>
      </c>
      <c r="E11" s="23">
        <f t="shared" ca="1" si="1"/>
        <v>159</v>
      </c>
      <c r="F11" s="24">
        <f ca="1">VLOOKUP(E11,'Raw Data'!$E$5:$F$104,2, FALSE)</f>
        <v>9994</v>
      </c>
      <c r="I11" s="14">
        <v>5</v>
      </c>
      <c r="K11" s="6">
        <v>6109.98</v>
      </c>
      <c r="L11" s="6"/>
      <c r="M11" s="6">
        <v>9173.9</v>
      </c>
      <c r="O11" s="24">
        <f t="shared" si="2"/>
        <v>3063.92</v>
      </c>
      <c r="Q11" s="16" t="s">
        <v>23</v>
      </c>
      <c r="R11" s="25">
        <f>PERCENTILE($O$7:$O$1006,0.975)</f>
        <v>4701.1682499999997</v>
      </c>
    </row>
    <row r="12" spans="1:19" x14ac:dyDescent="0.25">
      <c r="A12" s="21">
        <f t="shared" ca="1" si="0"/>
        <v>82</v>
      </c>
      <c r="B12" s="22">
        <f ca="1">VLOOKUP(A12,'Raw Data'!$B$5:$C$104,2,FALSE)</f>
        <v>1678</v>
      </c>
      <c r="E12" s="23">
        <f t="shared" ca="1" si="1"/>
        <v>118</v>
      </c>
      <c r="F12" s="24">
        <f ca="1">VLOOKUP(E12,'Raw Data'!$E$5:$F$104,2, FALSE)</f>
        <v>15933</v>
      </c>
      <c r="I12" s="14">
        <v>6</v>
      </c>
      <c r="K12" s="6">
        <v>8840.4500000000007</v>
      </c>
      <c r="L12" s="6"/>
      <c r="M12" s="6">
        <v>9277.18</v>
      </c>
      <c r="O12" s="24">
        <f t="shared" si="2"/>
        <v>436.72999999999956</v>
      </c>
      <c r="Q12" s="16" t="s">
        <v>24</v>
      </c>
      <c r="R12" s="25">
        <f>MIN($O$7:$O$1006,0.975)</f>
        <v>-2273.5700000000015</v>
      </c>
    </row>
    <row r="13" spans="1:19" x14ac:dyDescent="0.25">
      <c r="A13" s="21">
        <f t="shared" ca="1" si="0"/>
        <v>81</v>
      </c>
      <c r="B13" s="22">
        <f ca="1">VLOOKUP(A13,'Raw Data'!$B$5:$C$104,2,FALSE)</f>
        <v>9764</v>
      </c>
      <c r="E13" s="23">
        <f t="shared" ca="1" si="1"/>
        <v>159</v>
      </c>
      <c r="F13" s="24">
        <f ca="1">VLOOKUP(E13,'Raw Data'!$E$5:$F$104,2, FALSE)</f>
        <v>9994</v>
      </c>
      <c r="I13" s="14">
        <v>7</v>
      </c>
      <c r="K13" s="6">
        <v>6967.96</v>
      </c>
      <c r="L13" s="6"/>
      <c r="M13" s="6">
        <v>9848.8700000000008</v>
      </c>
      <c r="O13" s="24">
        <f t="shared" si="2"/>
        <v>2880.9100000000008</v>
      </c>
      <c r="Q13" s="16" t="s">
        <v>25</v>
      </c>
      <c r="R13" s="25">
        <f>MAX($O$7:$O$1006,0.975)</f>
        <v>5646.44</v>
      </c>
    </row>
    <row r="14" spans="1:19" x14ac:dyDescent="0.25">
      <c r="A14" s="21">
        <f t="shared" ca="1" si="0"/>
        <v>76</v>
      </c>
      <c r="B14" s="22">
        <f ca="1">VLOOKUP(A14,'Raw Data'!$B$5:$C$104,2,FALSE)</f>
        <v>1971</v>
      </c>
      <c r="E14" s="23">
        <f t="shared" ca="1" si="1"/>
        <v>140</v>
      </c>
      <c r="F14" s="24">
        <f ca="1">VLOOKUP(E14,'Raw Data'!$E$5:$F$104,2, FALSE)</f>
        <v>6377</v>
      </c>
      <c r="I14" s="14">
        <v>8</v>
      </c>
      <c r="K14" s="6">
        <v>7213.57</v>
      </c>
      <c r="L14" s="6"/>
      <c r="M14" s="6">
        <v>9922.59</v>
      </c>
      <c r="O14" s="24">
        <f t="shared" si="2"/>
        <v>2709.0200000000004</v>
      </c>
    </row>
    <row r="15" spans="1:19" ht="15.75" thickBot="1" x14ac:dyDescent="0.3">
      <c r="A15" s="21">
        <f t="shared" ca="1" si="0"/>
        <v>71</v>
      </c>
      <c r="B15" s="22">
        <f ca="1">VLOOKUP(A15,'Raw Data'!$B$5:$C$104,2,FALSE)</f>
        <v>5517</v>
      </c>
      <c r="E15" s="23">
        <f t="shared" ca="1" si="1"/>
        <v>194</v>
      </c>
      <c r="F15" s="24">
        <f ca="1">VLOOKUP(E15,'Raw Data'!$E$5:$F$104,2, FALSE)</f>
        <v>6867</v>
      </c>
      <c r="I15" s="14">
        <v>9</v>
      </c>
      <c r="K15" s="6">
        <v>6993.39</v>
      </c>
      <c r="L15" s="6"/>
      <c r="M15" s="6">
        <v>10574.73</v>
      </c>
      <c r="O15" s="24">
        <f t="shared" si="2"/>
        <v>3581.3399999999992</v>
      </c>
    </row>
    <row r="16" spans="1:19" x14ac:dyDescent="0.25">
      <c r="A16" s="21">
        <f t="shared" ca="1" si="0"/>
        <v>46</v>
      </c>
      <c r="B16" s="22">
        <f ca="1">VLOOKUP(A16,'Raw Data'!$B$5:$C$104,2,FALSE)</f>
        <v>2916</v>
      </c>
      <c r="E16" s="23">
        <f t="shared" ca="1" si="1"/>
        <v>106</v>
      </c>
      <c r="F16" s="24">
        <f ca="1">VLOOKUP(E16,'Raw Data'!$E$5:$F$104,2, FALSE)</f>
        <v>6030</v>
      </c>
      <c r="I16" s="14">
        <v>10</v>
      </c>
      <c r="K16" s="6">
        <v>5849.09</v>
      </c>
      <c r="L16" s="6"/>
      <c r="M16" s="6">
        <v>10340.81</v>
      </c>
      <c r="O16" s="24">
        <f t="shared" si="2"/>
        <v>4491.7199999999993</v>
      </c>
      <c r="Q16" s="3" t="s">
        <v>27</v>
      </c>
      <c r="R16" s="41" t="s">
        <v>37</v>
      </c>
      <c r="S16" s="41" t="s">
        <v>39</v>
      </c>
    </row>
    <row r="17" spans="1:20" x14ac:dyDescent="0.25">
      <c r="A17" s="21">
        <f t="shared" ca="1" si="0"/>
        <v>30</v>
      </c>
      <c r="B17" s="22">
        <f ca="1">VLOOKUP(A17,'Raw Data'!$B$5:$C$104,2,FALSE)</f>
        <v>3169</v>
      </c>
      <c r="E17" s="23">
        <f t="shared" ca="1" si="1"/>
        <v>175</v>
      </c>
      <c r="F17" s="24">
        <f ca="1">VLOOKUP(E17,'Raw Data'!$E$5:$F$104,2, FALSE)</f>
        <v>7339</v>
      </c>
      <c r="I17" s="14">
        <v>11</v>
      </c>
      <c r="K17" s="6">
        <v>7128.62</v>
      </c>
      <c r="L17" s="6"/>
      <c r="M17" s="6">
        <v>9758.34</v>
      </c>
      <c r="O17" s="24">
        <f t="shared" si="2"/>
        <v>2629.7200000000003</v>
      </c>
      <c r="Q17" s="6">
        <v>-2000</v>
      </c>
      <c r="R17" s="19">
        <v>-2000</v>
      </c>
      <c r="S17" s="18">
        <v>2</v>
      </c>
      <c r="T17" s="6"/>
    </row>
    <row r="18" spans="1:20" x14ac:dyDescent="0.25">
      <c r="A18" s="21">
        <f t="shared" ca="1" si="0"/>
        <v>36</v>
      </c>
      <c r="B18" s="22">
        <f ca="1">VLOOKUP(A18,'Raw Data'!$B$5:$C$104,2,FALSE)</f>
        <v>7571</v>
      </c>
      <c r="E18" s="23">
        <f t="shared" ca="1" si="1"/>
        <v>197</v>
      </c>
      <c r="F18" s="24">
        <f ca="1">VLOOKUP(E18,'Raw Data'!$E$5:$F$104,2, FALSE)</f>
        <v>10863</v>
      </c>
      <c r="I18" s="14">
        <v>12</v>
      </c>
      <c r="K18" s="6">
        <v>5975.3</v>
      </c>
      <c r="L18" s="6"/>
      <c r="M18" s="6">
        <v>9627.01</v>
      </c>
      <c r="O18" s="24">
        <f t="shared" si="2"/>
        <v>3651.71</v>
      </c>
      <c r="Q18" s="6">
        <v>-1800</v>
      </c>
      <c r="R18" s="19">
        <v>-1800</v>
      </c>
      <c r="S18" s="18">
        <v>1</v>
      </c>
      <c r="T18" s="6"/>
    </row>
    <row r="19" spans="1:20" x14ac:dyDescent="0.25">
      <c r="A19" s="21">
        <f t="shared" ca="1" si="0"/>
        <v>77</v>
      </c>
      <c r="B19" s="22">
        <f ca="1">VLOOKUP(A19,'Raw Data'!$B$5:$C$104,2,FALSE)</f>
        <v>7635</v>
      </c>
      <c r="E19" s="23">
        <f t="shared" ca="1" si="1"/>
        <v>181</v>
      </c>
      <c r="F19" s="24">
        <f ca="1">VLOOKUP(E19,'Raw Data'!$E$5:$F$104,2, FALSE)</f>
        <v>5706</v>
      </c>
      <c r="I19" s="14">
        <v>13</v>
      </c>
      <c r="K19" s="6">
        <v>9538.5</v>
      </c>
      <c r="L19" s="6"/>
      <c r="M19" s="6">
        <v>9424.75</v>
      </c>
      <c r="O19" s="24">
        <f t="shared" si="2"/>
        <v>-113.75</v>
      </c>
      <c r="Q19" s="6">
        <v>-1600</v>
      </c>
      <c r="R19" s="19">
        <v>-1600</v>
      </c>
      <c r="S19" s="18">
        <v>1</v>
      </c>
      <c r="T19" s="6"/>
    </row>
    <row r="20" spans="1:20" x14ac:dyDescent="0.25">
      <c r="A20" s="21">
        <f t="shared" ca="1" si="0"/>
        <v>79</v>
      </c>
      <c r="B20" s="22">
        <f ca="1">VLOOKUP(A20,'Raw Data'!$B$5:$C$104,2,FALSE)</f>
        <v>11110</v>
      </c>
      <c r="E20" s="23">
        <f t="shared" ca="1" si="1"/>
        <v>109</v>
      </c>
      <c r="F20" s="24">
        <f ca="1">VLOOKUP(E20,'Raw Data'!$E$5:$F$104,2, FALSE)</f>
        <v>13826</v>
      </c>
      <c r="I20" s="14">
        <v>14</v>
      </c>
      <c r="K20" s="6">
        <v>6835.21</v>
      </c>
      <c r="L20" s="6"/>
      <c r="M20" s="6">
        <v>9771.2199999999993</v>
      </c>
      <c r="O20" s="24">
        <f t="shared" si="2"/>
        <v>2936.0099999999993</v>
      </c>
      <c r="Q20" s="6">
        <v>-1400</v>
      </c>
      <c r="R20" s="19">
        <v>-1400</v>
      </c>
      <c r="S20" s="18">
        <v>0</v>
      </c>
      <c r="T20" s="6"/>
    </row>
    <row r="21" spans="1:20" x14ac:dyDescent="0.25">
      <c r="A21" s="21">
        <f t="shared" ca="1" si="0"/>
        <v>45</v>
      </c>
      <c r="B21" s="22">
        <f ca="1">VLOOKUP(A21,'Raw Data'!$B$5:$C$104,2,FALSE)</f>
        <v>5607</v>
      </c>
      <c r="E21" s="23">
        <f t="shared" ca="1" si="1"/>
        <v>181</v>
      </c>
      <c r="F21" s="24">
        <f ca="1">VLOOKUP(E21,'Raw Data'!$E$5:$F$104,2, FALSE)</f>
        <v>5706</v>
      </c>
      <c r="I21" s="14">
        <v>15</v>
      </c>
      <c r="K21" s="6">
        <v>7075.41</v>
      </c>
      <c r="L21" s="6"/>
      <c r="M21" s="6">
        <v>10110.56</v>
      </c>
      <c r="O21" s="24">
        <f t="shared" si="2"/>
        <v>3035.1499999999996</v>
      </c>
      <c r="Q21" s="6">
        <v>-1200</v>
      </c>
      <c r="R21" s="19">
        <v>-1200</v>
      </c>
      <c r="S21" s="18">
        <v>0</v>
      </c>
      <c r="T21" s="6"/>
    </row>
    <row r="22" spans="1:20" x14ac:dyDescent="0.25">
      <c r="A22" s="21">
        <f t="shared" ca="1" si="0"/>
        <v>86</v>
      </c>
      <c r="B22" s="22">
        <f ca="1">VLOOKUP(A22,'Raw Data'!$B$5:$C$104,2,FALSE)</f>
        <v>8744</v>
      </c>
      <c r="E22" s="23">
        <f t="shared" ca="1" si="1"/>
        <v>160</v>
      </c>
      <c r="F22" s="24">
        <f ca="1">VLOOKUP(E22,'Raw Data'!$E$5:$F$104,2, FALSE)</f>
        <v>8414</v>
      </c>
      <c r="I22" s="14">
        <v>16</v>
      </c>
      <c r="K22" s="6">
        <v>8943.82</v>
      </c>
      <c r="L22" s="6"/>
      <c r="M22" s="6">
        <v>10543.56</v>
      </c>
      <c r="O22" s="24">
        <f t="shared" si="2"/>
        <v>1599.7399999999998</v>
      </c>
      <c r="Q22" s="6">
        <v>-1000</v>
      </c>
      <c r="R22" s="19">
        <v>-1000</v>
      </c>
      <c r="S22" s="18">
        <v>2</v>
      </c>
      <c r="T22" s="6"/>
    </row>
    <row r="23" spans="1:20" x14ac:dyDescent="0.25">
      <c r="A23" s="21">
        <f t="shared" ca="1" si="0"/>
        <v>60</v>
      </c>
      <c r="B23" s="22">
        <f ca="1">VLOOKUP(A23,'Raw Data'!$B$5:$C$104,2,FALSE)</f>
        <v>5474</v>
      </c>
      <c r="E23" s="23">
        <f t="shared" ca="1" si="1"/>
        <v>167</v>
      </c>
      <c r="F23" s="24">
        <f ca="1">VLOOKUP(E23,'Raw Data'!$E$5:$F$104,2, FALSE)</f>
        <v>6747</v>
      </c>
      <c r="I23" s="14">
        <v>17</v>
      </c>
      <c r="K23" s="6">
        <v>7707.22</v>
      </c>
      <c r="L23" s="6"/>
      <c r="M23" s="6">
        <v>10123.36</v>
      </c>
      <c r="O23" s="24">
        <f t="shared" si="2"/>
        <v>2416.1400000000003</v>
      </c>
      <c r="Q23" s="6">
        <v>-800</v>
      </c>
      <c r="R23" s="19">
        <v>-800</v>
      </c>
      <c r="S23" s="18">
        <v>0</v>
      </c>
      <c r="T23" s="6"/>
    </row>
    <row r="24" spans="1:20" x14ac:dyDescent="0.25">
      <c r="A24" s="21">
        <f t="shared" ca="1" si="0"/>
        <v>61</v>
      </c>
      <c r="B24" s="22">
        <f ca="1">VLOOKUP(A24,'Raw Data'!$B$5:$C$104,2,FALSE)</f>
        <v>4568</v>
      </c>
      <c r="E24" s="23">
        <f t="shared" ca="1" si="1"/>
        <v>135</v>
      </c>
      <c r="F24" s="24">
        <f ca="1">VLOOKUP(E24,'Raw Data'!$E$5:$F$104,2, FALSE)</f>
        <v>11035</v>
      </c>
      <c r="I24" s="14">
        <v>18</v>
      </c>
      <c r="K24" s="6">
        <v>7194.14</v>
      </c>
      <c r="L24" s="6"/>
      <c r="M24" s="6">
        <v>10238.89</v>
      </c>
      <c r="O24" s="24">
        <f t="shared" si="2"/>
        <v>3044.7499999999991</v>
      </c>
      <c r="Q24" s="6">
        <v>-600</v>
      </c>
      <c r="R24" s="19">
        <v>-600</v>
      </c>
      <c r="S24" s="18">
        <v>5</v>
      </c>
      <c r="T24" s="6"/>
    </row>
    <row r="25" spans="1:20" x14ac:dyDescent="0.25">
      <c r="A25" s="21">
        <f t="shared" ca="1" si="0"/>
        <v>9</v>
      </c>
      <c r="B25" s="22">
        <f ca="1">VLOOKUP(A25,'Raw Data'!$B$5:$C$104,2,FALSE)</f>
        <v>6014</v>
      </c>
      <c r="E25" s="23">
        <f t="shared" ca="1" si="1"/>
        <v>151</v>
      </c>
      <c r="F25" s="24">
        <f ca="1">VLOOKUP(E25,'Raw Data'!$E$5:$F$104,2, FALSE)</f>
        <v>12547</v>
      </c>
      <c r="I25" s="14">
        <v>19</v>
      </c>
      <c r="K25" s="6">
        <v>6586.12</v>
      </c>
      <c r="L25" s="6"/>
      <c r="M25" s="6">
        <v>10049.61</v>
      </c>
      <c r="O25" s="24">
        <f t="shared" si="2"/>
        <v>3463.4900000000007</v>
      </c>
      <c r="Q25" s="6">
        <v>-400</v>
      </c>
      <c r="R25" s="19">
        <v>-400</v>
      </c>
      <c r="S25" s="18">
        <v>5</v>
      </c>
      <c r="T25" s="6"/>
    </row>
    <row r="26" spans="1:20" x14ac:dyDescent="0.25">
      <c r="A26" s="21">
        <f t="shared" ca="1" si="0"/>
        <v>24</v>
      </c>
      <c r="B26" s="22">
        <f ca="1">VLOOKUP(A26,'Raw Data'!$B$5:$C$104,2,FALSE)</f>
        <v>7932</v>
      </c>
      <c r="E26" s="23">
        <f t="shared" ca="1" si="1"/>
        <v>188</v>
      </c>
      <c r="F26" s="24">
        <f ca="1">VLOOKUP(E26,'Raw Data'!$E$5:$F$104,2, FALSE)</f>
        <v>8471</v>
      </c>
      <c r="I26" s="14">
        <v>20</v>
      </c>
      <c r="K26" s="6">
        <v>6735.21</v>
      </c>
      <c r="L26" s="6"/>
      <c r="M26" s="6">
        <v>10578.88</v>
      </c>
      <c r="O26" s="24">
        <f t="shared" si="2"/>
        <v>3843.6699999999992</v>
      </c>
      <c r="Q26" s="6">
        <v>-200</v>
      </c>
      <c r="R26" s="19">
        <v>-200</v>
      </c>
      <c r="S26" s="18">
        <v>1</v>
      </c>
      <c r="T26" s="6"/>
    </row>
    <row r="27" spans="1:20" x14ac:dyDescent="0.25">
      <c r="A27" s="21">
        <f t="shared" ca="1" si="0"/>
        <v>58</v>
      </c>
      <c r="B27" s="22">
        <f ca="1">VLOOKUP(A27,'Raw Data'!$B$5:$C$104,2,FALSE)</f>
        <v>5369</v>
      </c>
      <c r="E27" s="23">
        <f t="shared" ca="1" si="1"/>
        <v>141</v>
      </c>
      <c r="F27" s="24">
        <f ca="1">VLOOKUP(E27,'Raw Data'!$E$5:$F$104,2, FALSE)</f>
        <v>10257</v>
      </c>
      <c r="I27" s="14">
        <v>21</v>
      </c>
      <c r="K27" s="6">
        <v>7933.24</v>
      </c>
      <c r="L27" s="6"/>
      <c r="M27" s="6">
        <v>9484.7000000000007</v>
      </c>
      <c r="O27" s="24">
        <f t="shared" si="2"/>
        <v>1551.4600000000009</v>
      </c>
      <c r="Q27" s="6">
        <v>0</v>
      </c>
      <c r="R27" s="19">
        <v>0</v>
      </c>
      <c r="S27" s="18">
        <v>8</v>
      </c>
      <c r="T27" s="6"/>
    </row>
    <row r="28" spans="1:20" x14ac:dyDescent="0.25">
      <c r="A28" s="21">
        <f t="shared" ca="1" si="0"/>
        <v>58</v>
      </c>
      <c r="B28" s="22">
        <f ca="1">VLOOKUP(A28,'Raw Data'!$B$5:$C$104,2,FALSE)</f>
        <v>5369</v>
      </c>
      <c r="E28" s="23">
        <f t="shared" ca="1" si="1"/>
        <v>166</v>
      </c>
      <c r="F28" s="24">
        <f ca="1">VLOOKUP(E28,'Raw Data'!$E$5:$F$104,2, FALSE)</f>
        <v>12919</v>
      </c>
      <c r="I28" s="14">
        <v>22</v>
      </c>
      <c r="K28" s="6">
        <v>9233.2800000000007</v>
      </c>
      <c r="L28" s="6"/>
      <c r="M28" s="6">
        <v>9428.31</v>
      </c>
      <c r="O28" s="24">
        <f t="shared" si="2"/>
        <v>195.02999999999884</v>
      </c>
      <c r="Q28" s="6">
        <v>200</v>
      </c>
      <c r="R28" s="19">
        <v>200</v>
      </c>
      <c r="S28" s="18">
        <v>7</v>
      </c>
      <c r="T28" s="6"/>
    </row>
    <row r="29" spans="1:20" x14ac:dyDescent="0.25">
      <c r="A29" s="21">
        <f t="shared" ca="1" si="0"/>
        <v>59</v>
      </c>
      <c r="B29" s="22">
        <f ca="1">VLOOKUP(A29,'Raw Data'!$B$5:$C$104,2,FALSE)</f>
        <v>9441</v>
      </c>
      <c r="E29" s="23">
        <f t="shared" ca="1" si="1"/>
        <v>142</v>
      </c>
      <c r="F29" s="24">
        <f ca="1">VLOOKUP(E29,'Raw Data'!$E$5:$F$104,2, FALSE)</f>
        <v>8969</v>
      </c>
      <c r="I29" s="14">
        <v>23</v>
      </c>
      <c r="K29" s="6">
        <v>9534.1200000000008</v>
      </c>
      <c r="L29" s="6"/>
      <c r="M29" s="6">
        <v>9459.08</v>
      </c>
      <c r="O29" s="24">
        <f t="shared" si="2"/>
        <v>-75.040000000000873</v>
      </c>
      <c r="Q29" s="6">
        <v>400</v>
      </c>
      <c r="R29" s="19">
        <v>400</v>
      </c>
      <c r="S29" s="18">
        <v>15</v>
      </c>
      <c r="T29" s="6"/>
    </row>
    <row r="30" spans="1:20" x14ac:dyDescent="0.25">
      <c r="A30" s="21">
        <f t="shared" ca="1" si="0"/>
        <v>73</v>
      </c>
      <c r="B30" s="22">
        <f ca="1">VLOOKUP(A30,'Raw Data'!$B$5:$C$104,2,FALSE)</f>
        <v>4768</v>
      </c>
      <c r="E30" s="23">
        <f t="shared" ca="1" si="1"/>
        <v>154</v>
      </c>
      <c r="F30" s="24">
        <f ca="1">VLOOKUP(E30,'Raw Data'!$E$5:$F$104,2, FALSE)</f>
        <v>14355</v>
      </c>
      <c r="I30" s="14">
        <v>24</v>
      </c>
      <c r="K30" s="6">
        <v>8081.54</v>
      </c>
      <c r="L30" s="6"/>
      <c r="M30" s="6">
        <v>10318.44</v>
      </c>
      <c r="O30" s="24">
        <f t="shared" si="2"/>
        <v>2236.9000000000005</v>
      </c>
      <c r="Q30" s="6">
        <v>600</v>
      </c>
      <c r="R30" s="19">
        <v>600</v>
      </c>
      <c r="S30" s="18">
        <v>19</v>
      </c>
      <c r="T30" s="6"/>
    </row>
    <row r="31" spans="1:20" x14ac:dyDescent="0.25">
      <c r="A31" s="21">
        <f t="shared" ca="1" si="0"/>
        <v>94</v>
      </c>
      <c r="B31" s="22">
        <f ca="1">VLOOKUP(A31,'Raw Data'!$B$5:$C$104,2,FALSE)</f>
        <v>7500</v>
      </c>
      <c r="E31" s="23">
        <f t="shared" ca="1" si="1"/>
        <v>197</v>
      </c>
      <c r="F31" s="24">
        <f ca="1">VLOOKUP(E31,'Raw Data'!$E$5:$F$104,2, FALSE)</f>
        <v>10863</v>
      </c>
      <c r="I31" s="14">
        <v>25</v>
      </c>
      <c r="K31" s="6">
        <v>5974.77</v>
      </c>
      <c r="L31" s="6"/>
      <c r="M31" s="6">
        <v>10117.39</v>
      </c>
      <c r="O31" s="24">
        <f t="shared" si="2"/>
        <v>4142.619999999999</v>
      </c>
      <c r="Q31" s="6">
        <v>800</v>
      </c>
      <c r="R31" s="19">
        <v>800</v>
      </c>
      <c r="S31" s="18">
        <v>12</v>
      </c>
      <c r="T31" s="6"/>
    </row>
    <row r="32" spans="1:20" x14ac:dyDescent="0.25">
      <c r="A32" s="21">
        <f t="shared" ca="1" si="0"/>
        <v>11</v>
      </c>
      <c r="B32" s="22">
        <f ca="1">VLOOKUP(A32,'Raw Data'!$B$5:$C$104,2,FALSE)</f>
        <v>3230</v>
      </c>
      <c r="E32" s="23">
        <f t="shared" ca="1" si="1"/>
        <v>171</v>
      </c>
      <c r="F32" s="24">
        <f ca="1">VLOOKUP(E32,'Raw Data'!$E$5:$F$104,2, FALSE)</f>
        <v>13769</v>
      </c>
      <c r="I32" s="14">
        <v>26</v>
      </c>
      <c r="K32" s="6">
        <v>5793.77</v>
      </c>
      <c r="L32" s="6"/>
      <c r="M32" s="6">
        <v>9774.33</v>
      </c>
      <c r="O32" s="24">
        <f t="shared" si="2"/>
        <v>3980.5599999999995</v>
      </c>
      <c r="Q32" s="6">
        <v>1000</v>
      </c>
      <c r="R32" s="19">
        <v>1000</v>
      </c>
      <c r="S32" s="18">
        <v>23</v>
      </c>
      <c r="T32" s="6"/>
    </row>
    <row r="33" spans="1:20" x14ac:dyDescent="0.25">
      <c r="A33" s="21">
        <f t="shared" ca="1" si="0"/>
        <v>97</v>
      </c>
      <c r="B33" s="22">
        <f ca="1">VLOOKUP(A33,'Raw Data'!$B$5:$C$104,2,FALSE)</f>
        <v>6232</v>
      </c>
      <c r="E33" s="23">
        <f t="shared" ca="1" si="1"/>
        <v>133</v>
      </c>
      <c r="F33" s="24">
        <f ca="1">VLOOKUP(E33,'Raw Data'!$E$5:$F$104,2, FALSE)</f>
        <v>13961</v>
      </c>
      <c r="I33" s="14">
        <v>27</v>
      </c>
      <c r="K33" s="6">
        <v>8632.33</v>
      </c>
      <c r="L33" s="6"/>
      <c r="M33" s="6">
        <v>9540.4699999999993</v>
      </c>
      <c r="O33" s="24">
        <f t="shared" si="2"/>
        <v>908.13999999999942</v>
      </c>
      <c r="Q33" s="6">
        <v>1200</v>
      </c>
      <c r="R33" s="19">
        <v>1200</v>
      </c>
      <c r="S33" s="18">
        <v>22</v>
      </c>
      <c r="T33" s="6"/>
    </row>
    <row r="34" spans="1:20" x14ac:dyDescent="0.25">
      <c r="A34" s="21">
        <f t="shared" ca="1" si="0"/>
        <v>12</v>
      </c>
      <c r="B34" s="22">
        <f ca="1">VLOOKUP(A34,'Raw Data'!$B$5:$C$104,2,FALSE)</f>
        <v>2868</v>
      </c>
      <c r="E34" s="23">
        <f t="shared" ca="1" si="1"/>
        <v>116</v>
      </c>
      <c r="F34" s="24">
        <f ca="1">VLOOKUP(E34,'Raw Data'!$E$5:$F$104,2, FALSE)</f>
        <v>5259</v>
      </c>
      <c r="I34" s="14">
        <v>28</v>
      </c>
      <c r="K34" s="6">
        <v>8265.41</v>
      </c>
      <c r="L34" s="6"/>
      <c r="M34" s="6">
        <v>9277.0400000000009</v>
      </c>
      <c r="O34" s="24">
        <f t="shared" si="2"/>
        <v>1011.630000000001</v>
      </c>
      <c r="Q34" s="6">
        <v>1400</v>
      </c>
      <c r="R34" s="19">
        <v>1400</v>
      </c>
      <c r="S34" s="18">
        <v>30</v>
      </c>
      <c r="T34" s="6"/>
    </row>
    <row r="35" spans="1:20" x14ac:dyDescent="0.25">
      <c r="A35" s="21">
        <f t="shared" ca="1" si="0"/>
        <v>41</v>
      </c>
      <c r="B35" s="22">
        <f ca="1">VLOOKUP(A35,'Raw Data'!$B$5:$C$104,2,FALSE)</f>
        <v>14327</v>
      </c>
      <c r="E35" s="23">
        <f t="shared" ca="1" si="1"/>
        <v>151</v>
      </c>
      <c r="F35" s="24">
        <f ca="1">VLOOKUP(E35,'Raw Data'!$E$5:$F$104,2, FALSE)</f>
        <v>12547</v>
      </c>
      <c r="I35" s="14">
        <v>29</v>
      </c>
      <c r="K35" s="6">
        <v>7662.73</v>
      </c>
      <c r="L35" s="6"/>
      <c r="M35" s="6">
        <v>10594.2</v>
      </c>
      <c r="O35" s="24">
        <f t="shared" si="2"/>
        <v>2931.4700000000012</v>
      </c>
      <c r="Q35" s="6">
        <v>1600</v>
      </c>
      <c r="R35" s="19">
        <v>1600</v>
      </c>
      <c r="S35" s="18">
        <v>33</v>
      </c>
      <c r="T35" s="6"/>
    </row>
    <row r="36" spans="1:20" x14ac:dyDescent="0.25">
      <c r="A36" s="21">
        <f t="shared" ca="1" si="0"/>
        <v>17</v>
      </c>
      <c r="B36" s="22">
        <f ca="1">VLOOKUP(A36,'Raw Data'!$B$5:$C$104,2,FALSE)</f>
        <v>1547</v>
      </c>
      <c r="E36" s="23">
        <f t="shared" ca="1" si="1"/>
        <v>155</v>
      </c>
      <c r="F36" s="24">
        <f ca="1">VLOOKUP(E36,'Raw Data'!$E$5:$F$104,2, FALSE)</f>
        <v>10451</v>
      </c>
      <c r="I36" s="14">
        <v>30</v>
      </c>
      <c r="K36" s="6">
        <v>6019.34</v>
      </c>
      <c r="L36" s="6"/>
      <c r="M36" s="6">
        <v>10782.13</v>
      </c>
      <c r="O36" s="24">
        <f t="shared" si="2"/>
        <v>4762.7899999999991</v>
      </c>
      <c r="Q36" s="6">
        <v>1800</v>
      </c>
      <c r="R36" s="19">
        <v>1800</v>
      </c>
      <c r="S36" s="18">
        <v>34</v>
      </c>
      <c r="T36" s="6"/>
    </row>
    <row r="37" spans="1:20" x14ac:dyDescent="0.25">
      <c r="A37" s="21">
        <f t="shared" ca="1" si="0"/>
        <v>48</v>
      </c>
      <c r="B37" s="22">
        <f ca="1">VLOOKUP(A37,'Raw Data'!$B$5:$C$104,2,FALSE)</f>
        <v>5666</v>
      </c>
      <c r="E37" s="23">
        <f t="shared" ca="1" si="1"/>
        <v>126</v>
      </c>
      <c r="F37" s="24">
        <f ca="1">VLOOKUP(E37,'Raw Data'!$E$5:$F$104,2, FALSE)</f>
        <v>16389</v>
      </c>
      <c r="I37" s="14">
        <v>31</v>
      </c>
      <c r="K37" s="6">
        <v>6117.79</v>
      </c>
      <c r="L37" s="6"/>
      <c r="M37" s="6">
        <v>9186.83</v>
      </c>
      <c r="O37" s="24">
        <f t="shared" si="2"/>
        <v>3069.04</v>
      </c>
      <c r="Q37" s="6">
        <v>2000</v>
      </c>
      <c r="R37" s="19">
        <v>2000</v>
      </c>
      <c r="S37" s="18">
        <v>35</v>
      </c>
      <c r="T37" s="6"/>
    </row>
    <row r="38" spans="1:20" x14ac:dyDescent="0.25">
      <c r="A38" s="21">
        <f t="shared" ca="1" si="0"/>
        <v>20</v>
      </c>
      <c r="B38" s="22">
        <f ca="1">VLOOKUP(A38,'Raw Data'!$B$5:$C$104,2,FALSE)</f>
        <v>5647</v>
      </c>
      <c r="E38" s="23">
        <f t="shared" ca="1" si="1"/>
        <v>180</v>
      </c>
      <c r="F38" s="24">
        <f ca="1">VLOOKUP(E38,'Raw Data'!$E$5:$F$104,2, FALSE)</f>
        <v>5155</v>
      </c>
      <c r="I38" s="14">
        <v>32</v>
      </c>
      <c r="K38" s="6">
        <v>7030.84</v>
      </c>
      <c r="L38" s="6"/>
      <c r="M38" s="6">
        <v>9635.5300000000007</v>
      </c>
      <c r="O38" s="24">
        <f t="shared" si="2"/>
        <v>2604.6900000000005</v>
      </c>
      <c r="Q38" s="6">
        <v>2200</v>
      </c>
      <c r="R38" s="19">
        <v>2200</v>
      </c>
      <c r="S38" s="18">
        <v>61</v>
      </c>
      <c r="T38" s="6"/>
    </row>
    <row r="39" spans="1:20" x14ac:dyDescent="0.25">
      <c r="A39" s="21">
        <f t="shared" ca="1" si="0"/>
        <v>89</v>
      </c>
      <c r="B39" s="22">
        <f ca="1">VLOOKUP(A39,'Raw Data'!$B$5:$C$104,2,FALSE)</f>
        <v>7359</v>
      </c>
      <c r="E39" s="23">
        <f t="shared" ca="1" si="1"/>
        <v>164</v>
      </c>
      <c r="F39" s="24">
        <f ca="1">VLOOKUP(E39,'Raw Data'!$E$5:$F$104,2, FALSE)</f>
        <v>13098</v>
      </c>
      <c r="I39" s="14">
        <v>33</v>
      </c>
      <c r="K39" s="6">
        <v>8334.0499999999993</v>
      </c>
      <c r="L39" s="6"/>
      <c r="M39" s="6">
        <v>10402.700000000001</v>
      </c>
      <c r="O39" s="24">
        <f t="shared" si="2"/>
        <v>2068.6500000000015</v>
      </c>
      <c r="Q39" s="6">
        <v>2400</v>
      </c>
      <c r="R39" s="19">
        <v>2400</v>
      </c>
      <c r="S39" s="18">
        <v>48</v>
      </c>
      <c r="T39" s="6"/>
    </row>
    <row r="40" spans="1:20" x14ac:dyDescent="0.25">
      <c r="A40" s="21">
        <f t="shared" ca="1" si="0"/>
        <v>7</v>
      </c>
      <c r="B40" s="22">
        <f ca="1">VLOOKUP(A40,'Raw Data'!$B$5:$C$104,2,FALSE)</f>
        <v>5327</v>
      </c>
      <c r="E40" s="23">
        <f t="shared" ca="1" si="1"/>
        <v>143</v>
      </c>
      <c r="F40" s="24">
        <f ca="1">VLOOKUP(E40,'Raw Data'!$E$5:$F$104,2, FALSE)</f>
        <v>13869</v>
      </c>
      <c r="I40" s="14">
        <v>34</v>
      </c>
      <c r="K40" s="6">
        <v>7004.79</v>
      </c>
      <c r="L40" s="6"/>
      <c r="M40" s="6">
        <v>9670.9599999999991</v>
      </c>
      <c r="O40" s="24">
        <f t="shared" si="2"/>
        <v>2666.1699999999992</v>
      </c>
      <c r="Q40" s="6">
        <v>2600</v>
      </c>
      <c r="R40" s="19">
        <v>2600</v>
      </c>
      <c r="S40" s="18">
        <v>61</v>
      </c>
      <c r="T40" s="6"/>
    </row>
    <row r="41" spans="1:20" x14ac:dyDescent="0.25">
      <c r="A41" s="21">
        <f t="shared" ca="1" si="0"/>
        <v>7</v>
      </c>
      <c r="B41" s="22">
        <f ca="1">VLOOKUP(A41,'Raw Data'!$B$5:$C$104,2,FALSE)</f>
        <v>5327</v>
      </c>
      <c r="E41" s="23">
        <f t="shared" ca="1" si="1"/>
        <v>188</v>
      </c>
      <c r="F41" s="24">
        <f ca="1">VLOOKUP(E41,'Raw Data'!$E$5:$F$104,2, FALSE)</f>
        <v>8471</v>
      </c>
      <c r="I41" s="14">
        <v>35</v>
      </c>
      <c r="K41" s="6">
        <v>8942.61</v>
      </c>
      <c r="L41" s="6"/>
      <c r="M41" s="6">
        <v>9272.5400000000009</v>
      </c>
      <c r="O41" s="24">
        <f t="shared" si="2"/>
        <v>329.93000000000029</v>
      </c>
      <c r="Q41" s="6">
        <v>2800</v>
      </c>
      <c r="R41" s="19">
        <v>2800</v>
      </c>
      <c r="S41" s="18">
        <v>72</v>
      </c>
      <c r="T41" s="6"/>
    </row>
    <row r="42" spans="1:20" x14ac:dyDescent="0.25">
      <c r="A42" s="21">
        <f t="shared" ca="1" si="0"/>
        <v>21</v>
      </c>
      <c r="B42" s="22">
        <f ca="1">VLOOKUP(A42,'Raw Data'!$B$5:$C$104,2,FALSE)</f>
        <v>5738</v>
      </c>
      <c r="E42" s="23">
        <f t="shared" ca="1" si="1"/>
        <v>115</v>
      </c>
      <c r="F42" s="24">
        <f ca="1">VLOOKUP(E42,'Raw Data'!$E$5:$F$104,2, FALSE)</f>
        <v>15783</v>
      </c>
      <c r="I42" s="14">
        <v>36</v>
      </c>
      <c r="K42" s="6">
        <v>6644.95</v>
      </c>
      <c r="L42" s="6"/>
      <c r="M42" s="6">
        <v>9711.02</v>
      </c>
      <c r="O42" s="24">
        <f t="shared" si="2"/>
        <v>3066.0700000000006</v>
      </c>
      <c r="Q42" s="6">
        <v>3000</v>
      </c>
      <c r="R42" s="19">
        <v>3000</v>
      </c>
      <c r="S42" s="18">
        <v>67</v>
      </c>
      <c r="T42" s="6"/>
    </row>
    <row r="43" spans="1:20" x14ac:dyDescent="0.25">
      <c r="A43" s="21">
        <f t="shared" ca="1" si="0"/>
        <v>78</v>
      </c>
      <c r="B43" s="22">
        <f ca="1">VLOOKUP(A43,'Raw Data'!$B$5:$C$104,2,FALSE)</f>
        <v>2981</v>
      </c>
      <c r="E43" s="23">
        <f t="shared" ca="1" si="1"/>
        <v>120</v>
      </c>
      <c r="F43" s="24">
        <f ca="1">VLOOKUP(E43,'Raw Data'!$E$5:$F$104,2, FALSE)</f>
        <v>20972</v>
      </c>
      <c r="I43" s="14">
        <v>37</v>
      </c>
      <c r="K43" s="6">
        <v>7662.48</v>
      </c>
      <c r="L43" s="6"/>
      <c r="M43" s="6">
        <v>9399.61</v>
      </c>
      <c r="O43" s="24">
        <f t="shared" si="2"/>
        <v>1737.130000000001</v>
      </c>
      <c r="Q43" s="6">
        <v>3200</v>
      </c>
      <c r="R43" s="19">
        <v>3200</v>
      </c>
      <c r="S43" s="18">
        <v>72</v>
      </c>
      <c r="T43" s="6"/>
    </row>
    <row r="44" spans="1:20" x14ac:dyDescent="0.25">
      <c r="A44" s="21">
        <f t="shared" ca="1" si="0"/>
        <v>86</v>
      </c>
      <c r="B44" s="22">
        <f ca="1">VLOOKUP(A44,'Raw Data'!$B$5:$C$104,2,FALSE)</f>
        <v>8744</v>
      </c>
      <c r="E44" s="23">
        <f t="shared" ca="1" si="1"/>
        <v>158</v>
      </c>
      <c r="F44" s="24">
        <f ca="1">VLOOKUP(E44,'Raw Data'!$E$5:$F$104,2, FALSE)</f>
        <v>9898</v>
      </c>
      <c r="I44" s="14">
        <v>38</v>
      </c>
      <c r="K44" s="6">
        <v>7166.6</v>
      </c>
      <c r="L44" s="6"/>
      <c r="M44" s="6">
        <v>9555.3700000000008</v>
      </c>
      <c r="O44" s="24">
        <f t="shared" si="2"/>
        <v>2388.7700000000004</v>
      </c>
      <c r="Q44" s="6">
        <v>3400</v>
      </c>
      <c r="R44" s="19">
        <v>3400</v>
      </c>
      <c r="S44" s="18">
        <v>44</v>
      </c>
      <c r="T44" s="6"/>
    </row>
    <row r="45" spans="1:20" x14ac:dyDescent="0.25">
      <c r="A45" s="21">
        <f t="shared" ca="1" si="0"/>
        <v>52</v>
      </c>
      <c r="B45" s="22">
        <f ca="1">VLOOKUP(A45,'Raw Data'!$B$5:$C$104,2,FALSE)</f>
        <v>3874</v>
      </c>
      <c r="E45" s="23">
        <f t="shared" ca="1" si="1"/>
        <v>119</v>
      </c>
      <c r="F45" s="24">
        <f ca="1">VLOOKUP(E45,'Raw Data'!$E$5:$F$104,2, FALSE)</f>
        <v>17970</v>
      </c>
      <c r="I45" s="14">
        <v>39</v>
      </c>
      <c r="K45" s="6">
        <v>6742.36</v>
      </c>
      <c r="L45" s="6"/>
      <c r="M45" s="6">
        <v>9411.49</v>
      </c>
      <c r="O45" s="24">
        <f t="shared" si="2"/>
        <v>2669.13</v>
      </c>
      <c r="Q45" s="6">
        <v>3600</v>
      </c>
      <c r="R45" s="19">
        <v>3600</v>
      </c>
      <c r="S45" s="18">
        <v>54</v>
      </c>
      <c r="T45" s="6"/>
    </row>
    <row r="46" spans="1:20" x14ac:dyDescent="0.25">
      <c r="A46" s="21">
        <f t="shared" ca="1" si="0"/>
        <v>11</v>
      </c>
      <c r="B46" s="22">
        <f ca="1">VLOOKUP(A46,'Raw Data'!$B$5:$C$104,2,FALSE)</f>
        <v>3230</v>
      </c>
      <c r="E46" s="23">
        <f t="shared" ca="1" si="1"/>
        <v>161</v>
      </c>
      <c r="F46" s="24">
        <f ca="1">VLOOKUP(E46,'Raw Data'!$E$5:$F$104,2, FALSE)</f>
        <v>5348</v>
      </c>
      <c r="I46" s="14">
        <v>40</v>
      </c>
      <c r="K46" s="6">
        <v>6213.06</v>
      </c>
      <c r="L46" s="6"/>
      <c r="M46" s="6">
        <v>10825.01</v>
      </c>
      <c r="O46" s="24">
        <f t="shared" si="2"/>
        <v>4611.95</v>
      </c>
      <c r="Q46" s="6">
        <v>3800</v>
      </c>
      <c r="R46" s="19">
        <v>3800</v>
      </c>
      <c r="S46" s="18">
        <v>70</v>
      </c>
      <c r="T46" s="6"/>
    </row>
    <row r="47" spans="1:20" x14ac:dyDescent="0.25">
      <c r="A47" s="21">
        <f t="shared" ca="1" si="0"/>
        <v>64</v>
      </c>
      <c r="B47" s="22">
        <f ca="1">VLOOKUP(A47,'Raw Data'!$B$5:$C$104,2,FALSE)</f>
        <v>14028</v>
      </c>
      <c r="E47" s="23">
        <f t="shared" ca="1" si="1"/>
        <v>153</v>
      </c>
      <c r="F47" s="24">
        <f ca="1">VLOOKUP(E47,'Raw Data'!$E$5:$F$104,2, FALSE)</f>
        <v>20578</v>
      </c>
      <c r="I47" s="14">
        <v>41</v>
      </c>
      <c r="K47" s="6">
        <v>6843.98</v>
      </c>
      <c r="L47" s="6"/>
      <c r="M47" s="6">
        <v>9665.7000000000007</v>
      </c>
      <c r="O47" s="24">
        <f t="shared" si="2"/>
        <v>2821.7200000000012</v>
      </c>
      <c r="Q47" s="6">
        <v>4000</v>
      </c>
      <c r="R47" s="19">
        <v>4000</v>
      </c>
      <c r="S47" s="18">
        <v>50</v>
      </c>
      <c r="T47" s="6"/>
    </row>
    <row r="48" spans="1:20" x14ac:dyDescent="0.25">
      <c r="A48" s="21">
        <f t="shared" ca="1" si="0"/>
        <v>20</v>
      </c>
      <c r="B48" s="22">
        <f ca="1">VLOOKUP(A48,'Raw Data'!$B$5:$C$104,2,FALSE)</f>
        <v>5647</v>
      </c>
      <c r="E48" s="23">
        <f t="shared" ca="1" si="1"/>
        <v>142</v>
      </c>
      <c r="F48" s="24">
        <f ca="1">VLOOKUP(E48,'Raw Data'!$E$5:$F$104,2, FALSE)</f>
        <v>8969</v>
      </c>
      <c r="I48" s="14">
        <v>42</v>
      </c>
      <c r="K48" s="6">
        <v>6126.86</v>
      </c>
      <c r="L48" s="6"/>
      <c r="M48" s="6">
        <v>9508.25</v>
      </c>
      <c r="O48" s="24">
        <f t="shared" si="2"/>
        <v>3381.3900000000003</v>
      </c>
      <c r="Q48" s="6">
        <v>4200</v>
      </c>
      <c r="R48" s="19">
        <v>4200</v>
      </c>
      <c r="S48" s="18">
        <v>48</v>
      </c>
      <c r="T48" s="6"/>
    </row>
    <row r="49" spans="1:20" x14ac:dyDescent="0.25">
      <c r="A49" s="21">
        <f t="shared" ca="1" si="0"/>
        <v>83</v>
      </c>
      <c r="B49" s="22">
        <f ca="1">VLOOKUP(A49,'Raw Data'!$B$5:$C$104,2,FALSE)</f>
        <v>7454</v>
      </c>
      <c r="E49" s="23">
        <f t="shared" ca="1" si="1"/>
        <v>198</v>
      </c>
      <c r="F49" s="24">
        <f ca="1">VLOOKUP(E49,'Raw Data'!$E$5:$F$104,2, FALSE)</f>
        <v>8811</v>
      </c>
      <c r="I49" s="14">
        <v>43</v>
      </c>
      <c r="K49" s="6">
        <v>5533.13</v>
      </c>
      <c r="L49" s="6"/>
      <c r="M49" s="6">
        <v>9811.01</v>
      </c>
      <c r="O49" s="24">
        <f t="shared" si="2"/>
        <v>4277.88</v>
      </c>
      <c r="Q49" s="6">
        <v>4400</v>
      </c>
      <c r="R49" s="19">
        <v>4400</v>
      </c>
      <c r="S49" s="18">
        <v>36</v>
      </c>
      <c r="T49" s="6"/>
    </row>
    <row r="50" spans="1:20" x14ac:dyDescent="0.25">
      <c r="A50" s="21">
        <f t="shared" ca="1" si="0"/>
        <v>30</v>
      </c>
      <c r="B50" s="22">
        <f ca="1">VLOOKUP(A50,'Raw Data'!$B$5:$C$104,2,FALSE)</f>
        <v>3169</v>
      </c>
      <c r="E50" s="23">
        <f t="shared" ca="1" si="1"/>
        <v>188</v>
      </c>
      <c r="F50" s="24">
        <f ca="1">VLOOKUP(E50,'Raw Data'!$E$5:$F$104,2, FALSE)</f>
        <v>8471</v>
      </c>
      <c r="I50" s="14">
        <v>44</v>
      </c>
      <c r="K50" s="6">
        <v>6442.34</v>
      </c>
      <c r="L50" s="6"/>
      <c r="M50" s="6">
        <v>9463.5300000000007</v>
      </c>
      <c r="O50" s="24">
        <f t="shared" si="2"/>
        <v>3021.1900000000005</v>
      </c>
      <c r="Q50" s="6">
        <v>4600</v>
      </c>
      <c r="R50" s="19">
        <v>4600</v>
      </c>
      <c r="S50" s="18">
        <v>28</v>
      </c>
      <c r="T50" s="6"/>
    </row>
    <row r="51" spans="1:20" x14ac:dyDescent="0.25">
      <c r="A51" s="21">
        <f t="shared" ca="1" si="0"/>
        <v>26</v>
      </c>
      <c r="B51" s="22">
        <f ca="1">VLOOKUP(A51,'Raw Data'!$B$5:$C$104,2,FALSE)</f>
        <v>3218</v>
      </c>
      <c r="E51" s="23">
        <f t="shared" ca="1" si="1"/>
        <v>181</v>
      </c>
      <c r="F51" s="24">
        <f ca="1">VLOOKUP(E51,'Raw Data'!$E$5:$F$104,2, FALSE)</f>
        <v>5706</v>
      </c>
      <c r="I51" s="14">
        <v>45</v>
      </c>
      <c r="K51" s="6">
        <v>8444.92</v>
      </c>
      <c r="L51" s="6"/>
      <c r="M51" s="6">
        <v>9141.92</v>
      </c>
      <c r="O51" s="24">
        <f t="shared" si="2"/>
        <v>697</v>
      </c>
      <c r="Q51" s="6">
        <v>4800</v>
      </c>
      <c r="R51" s="19">
        <v>4800</v>
      </c>
      <c r="S51" s="18">
        <v>18</v>
      </c>
      <c r="T51" s="6"/>
    </row>
    <row r="52" spans="1:20" x14ac:dyDescent="0.25">
      <c r="A52" s="21">
        <f t="shared" ca="1" si="0"/>
        <v>69</v>
      </c>
      <c r="B52" s="22">
        <f ca="1">VLOOKUP(A52,'Raw Data'!$B$5:$C$104,2,FALSE)</f>
        <v>9305</v>
      </c>
      <c r="E52" s="23">
        <f t="shared" ca="1" si="1"/>
        <v>134</v>
      </c>
      <c r="F52" s="24">
        <f ca="1">VLOOKUP(E52,'Raw Data'!$E$5:$F$104,2, FALSE)</f>
        <v>10219</v>
      </c>
      <c r="I52" s="14">
        <v>46</v>
      </c>
      <c r="K52" s="6">
        <v>7774.7</v>
      </c>
      <c r="L52" s="6"/>
      <c r="M52" s="6">
        <v>10478.700000000001</v>
      </c>
      <c r="O52" s="24">
        <f t="shared" si="2"/>
        <v>2704.0000000000009</v>
      </c>
      <c r="Q52" s="6">
        <v>5000</v>
      </c>
      <c r="R52" s="19">
        <v>5000</v>
      </c>
      <c r="S52" s="18">
        <v>9</v>
      </c>
      <c r="T52" s="6"/>
    </row>
    <row r="53" spans="1:20" x14ac:dyDescent="0.25">
      <c r="A53" s="21">
        <f t="shared" ca="1" si="0"/>
        <v>17</v>
      </c>
      <c r="B53" s="22">
        <f ca="1">VLOOKUP(A53,'Raw Data'!$B$5:$C$104,2,FALSE)</f>
        <v>1547</v>
      </c>
      <c r="E53" s="23">
        <f t="shared" ca="1" si="1"/>
        <v>107</v>
      </c>
      <c r="F53" s="24">
        <f ca="1">VLOOKUP(E53,'Raw Data'!$E$5:$F$104,2, FALSE)</f>
        <v>6136</v>
      </c>
      <c r="I53" s="14">
        <v>47</v>
      </c>
      <c r="K53" s="6">
        <v>5917.18</v>
      </c>
      <c r="L53" s="6"/>
      <c r="M53" s="6">
        <v>8925.83</v>
      </c>
      <c r="O53" s="24">
        <f t="shared" si="2"/>
        <v>3008.6499999999996</v>
      </c>
      <c r="Q53" s="6">
        <v>5200</v>
      </c>
      <c r="R53" s="19">
        <v>5200</v>
      </c>
      <c r="S53" s="18">
        <v>4</v>
      </c>
      <c r="T53" s="6"/>
    </row>
    <row r="54" spans="1:20" x14ac:dyDescent="0.25">
      <c r="A54" s="21">
        <f t="shared" ca="1" si="0"/>
        <v>23</v>
      </c>
      <c r="B54" s="22">
        <f ca="1">VLOOKUP(A54,'Raw Data'!$B$5:$C$104,2,FALSE)</f>
        <v>3009</v>
      </c>
      <c r="E54" s="23">
        <f t="shared" ca="1" si="1"/>
        <v>163</v>
      </c>
      <c r="F54" s="24">
        <f ca="1">VLOOKUP(E54,'Raw Data'!$E$5:$F$104,2, FALSE)</f>
        <v>7873</v>
      </c>
      <c r="I54" s="14">
        <v>48</v>
      </c>
      <c r="K54" s="6">
        <v>7689.25</v>
      </c>
      <c r="L54" s="6"/>
      <c r="M54" s="6">
        <v>9298.48</v>
      </c>
      <c r="O54" s="24">
        <f t="shared" si="2"/>
        <v>1609.2299999999996</v>
      </c>
      <c r="Q54" s="6">
        <v>5400</v>
      </c>
      <c r="R54" s="19">
        <v>5400</v>
      </c>
      <c r="S54" s="18">
        <v>1</v>
      </c>
      <c r="T54" s="6"/>
    </row>
    <row r="55" spans="1:20" x14ac:dyDescent="0.25">
      <c r="A55" s="21">
        <f t="shared" ca="1" si="0"/>
        <v>49</v>
      </c>
      <c r="B55" s="22">
        <f ca="1">VLOOKUP(A55,'Raw Data'!$B$5:$C$104,2,FALSE)</f>
        <v>348</v>
      </c>
      <c r="E55" s="23">
        <f t="shared" ca="1" si="1"/>
        <v>114</v>
      </c>
      <c r="F55" s="24">
        <f ca="1">VLOOKUP(E55,'Raw Data'!$E$5:$F$104,2, FALSE)</f>
        <v>13840</v>
      </c>
      <c r="I55" s="14">
        <v>49</v>
      </c>
      <c r="K55" s="6">
        <v>8542.8799999999992</v>
      </c>
      <c r="L55" s="6"/>
      <c r="M55" s="6">
        <v>10688.02</v>
      </c>
      <c r="O55" s="24">
        <f t="shared" si="2"/>
        <v>2145.1400000000012</v>
      </c>
      <c r="Q55" s="6">
        <v>5600</v>
      </c>
      <c r="R55" s="19">
        <v>5600</v>
      </c>
      <c r="S55" s="18">
        <v>1</v>
      </c>
      <c r="T55" s="6"/>
    </row>
    <row r="56" spans="1:20" x14ac:dyDescent="0.25">
      <c r="A56" s="21">
        <f t="shared" ca="1" si="0"/>
        <v>87</v>
      </c>
      <c r="B56" s="22">
        <f ca="1">VLOOKUP(A56,'Raw Data'!$B$5:$C$104,2,FALSE)</f>
        <v>9354</v>
      </c>
      <c r="E56" s="23">
        <f t="shared" ca="1" si="1"/>
        <v>179</v>
      </c>
      <c r="F56" s="24">
        <f ca="1">VLOOKUP(E56,'Raw Data'!$E$5:$F$104,2, FALSE)</f>
        <v>8540</v>
      </c>
      <c r="I56" s="14">
        <v>50</v>
      </c>
      <c r="K56" s="6">
        <v>6935.68</v>
      </c>
      <c r="L56" s="6"/>
      <c r="M56" s="6">
        <v>10063.700000000001</v>
      </c>
      <c r="O56" s="24">
        <f t="shared" si="2"/>
        <v>3128.0200000000004</v>
      </c>
      <c r="Q56" s="6">
        <v>5800</v>
      </c>
      <c r="R56" s="19">
        <v>5800</v>
      </c>
      <c r="S56" s="18">
        <v>1</v>
      </c>
      <c r="T56" s="6"/>
    </row>
    <row r="57" spans="1:20" x14ac:dyDescent="0.25">
      <c r="A57" s="21">
        <f t="shared" ca="1" si="0"/>
        <v>74</v>
      </c>
      <c r="B57" s="22">
        <f ca="1">VLOOKUP(A57,'Raw Data'!$B$5:$C$104,2,FALSE)</f>
        <v>3149</v>
      </c>
      <c r="E57" s="23">
        <f t="shared" ca="1" si="1"/>
        <v>174</v>
      </c>
      <c r="F57" s="24">
        <f ca="1">VLOOKUP(E57,'Raw Data'!$E$5:$F$104,2, FALSE)</f>
        <v>12539</v>
      </c>
      <c r="I57" s="14">
        <v>51</v>
      </c>
      <c r="K57" s="6">
        <v>6980.44</v>
      </c>
      <c r="L57" s="6"/>
      <c r="M57" s="6">
        <v>9412.09</v>
      </c>
      <c r="O57" s="24">
        <f t="shared" si="2"/>
        <v>2431.6500000000005</v>
      </c>
      <c r="Q57" s="6">
        <v>6000</v>
      </c>
      <c r="R57" s="19">
        <v>6000</v>
      </c>
      <c r="S57" s="18">
        <v>0</v>
      </c>
      <c r="T57" s="6"/>
    </row>
    <row r="58" spans="1:20" ht="15.75" thickBot="1" x14ac:dyDescent="0.3">
      <c r="A58" s="21">
        <f t="shared" ca="1" si="0"/>
        <v>94</v>
      </c>
      <c r="B58" s="22">
        <f ca="1">VLOOKUP(A58,'Raw Data'!$B$5:$C$104,2,FALSE)</f>
        <v>7500</v>
      </c>
      <c r="E58" s="23">
        <f t="shared" ca="1" si="1"/>
        <v>137</v>
      </c>
      <c r="F58" s="24">
        <f ca="1">VLOOKUP(E58,'Raw Data'!$E$5:$F$104,2, FALSE)</f>
        <v>3030</v>
      </c>
      <c r="I58" s="14">
        <v>52</v>
      </c>
      <c r="K58" s="6">
        <v>5690.1</v>
      </c>
      <c r="L58" s="6"/>
      <c r="M58" s="6">
        <v>9731.89</v>
      </c>
      <c r="O58" s="24">
        <f t="shared" si="2"/>
        <v>4041.7899999999991</v>
      </c>
      <c r="Q58" s="6"/>
      <c r="R58" s="40" t="s">
        <v>38</v>
      </c>
      <c r="S58" s="40">
        <v>0</v>
      </c>
      <c r="T58" s="6"/>
    </row>
    <row r="59" spans="1:20" x14ac:dyDescent="0.25">
      <c r="A59" s="21">
        <f t="shared" ca="1" si="0"/>
        <v>68</v>
      </c>
      <c r="B59" s="22">
        <f ca="1">VLOOKUP(A59,'Raw Data'!$B$5:$C$104,2,FALSE)</f>
        <v>5033</v>
      </c>
      <c r="E59" s="23">
        <f t="shared" ca="1" si="1"/>
        <v>192</v>
      </c>
      <c r="F59" s="24">
        <f ca="1">VLOOKUP(E59,'Raw Data'!$E$5:$F$104,2, FALSE)</f>
        <v>6326</v>
      </c>
      <c r="I59" s="14">
        <v>53</v>
      </c>
      <c r="K59" s="6">
        <v>8850.24</v>
      </c>
      <c r="L59" s="6"/>
      <c r="M59" s="6">
        <v>9510.64</v>
      </c>
      <c r="O59" s="24">
        <f t="shared" si="2"/>
        <v>660.39999999999964</v>
      </c>
      <c r="Q59" s="6"/>
      <c r="R59" s="19"/>
      <c r="S59" s="18"/>
    </row>
    <row r="60" spans="1:20" x14ac:dyDescent="0.25">
      <c r="A60" s="21">
        <f t="shared" ca="1" si="0"/>
        <v>71</v>
      </c>
      <c r="B60" s="22">
        <f ca="1">VLOOKUP(A60,'Raw Data'!$B$5:$C$104,2,FALSE)</f>
        <v>5517</v>
      </c>
      <c r="E60" s="23">
        <f t="shared" ca="1" si="1"/>
        <v>112</v>
      </c>
      <c r="F60" s="24">
        <f ca="1">VLOOKUP(E60,'Raw Data'!$E$5:$F$104,2, FALSE)</f>
        <v>6913</v>
      </c>
      <c r="I60" s="14">
        <v>54</v>
      </c>
      <c r="K60" s="6">
        <v>7592.68</v>
      </c>
      <c r="L60" s="6"/>
      <c r="M60" s="6">
        <v>9205.67</v>
      </c>
      <c r="O60" s="24">
        <f t="shared" si="2"/>
        <v>1612.9899999999998</v>
      </c>
      <c r="Q60" s="6"/>
      <c r="R60" s="19"/>
      <c r="S60" s="18"/>
    </row>
    <row r="61" spans="1:20" x14ac:dyDescent="0.25">
      <c r="A61" s="21">
        <f t="shared" ca="1" si="0"/>
        <v>17</v>
      </c>
      <c r="B61" s="22">
        <f ca="1">VLOOKUP(A61,'Raw Data'!$B$5:$C$104,2,FALSE)</f>
        <v>1547</v>
      </c>
      <c r="E61" s="23">
        <f t="shared" ca="1" si="1"/>
        <v>180</v>
      </c>
      <c r="F61" s="24">
        <f ca="1">VLOOKUP(E61,'Raw Data'!$E$5:$F$104,2, FALSE)</f>
        <v>5155</v>
      </c>
      <c r="I61" s="14">
        <v>55</v>
      </c>
      <c r="K61" s="6">
        <v>6566.15</v>
      </c>
      <c r="L61" s="6"/>
      <c r="M61" s="6">
        <v>9742.61</v>
      </c>
      <c r="O61" s="24">
        <f t="shared" si="2"/>
        <v>3176.4600000000009</v>
      </c>
      <c r="Q61" s="6"/>
      <c r="R61" s="19"/>
      <c r="S61" s="18"/>
    </row>
    <row r="62" spans="1:20" x14ac:dyDescent="0.25">
      <c r="A62" s="21">
        <f t="shared" ca="1" si="0"/>
        <v>47</v>
      </c>
      <c r="B62" s="22">
        <f ca="1">VLOOKUP(A62,'Raw Data'!$B$5:$C$104,2,FALSE)</f>
        <v>4134</v>
      </c>
      <c r="E62" s="23">
        <f t="shared" ca="1" si="1"/>
        <v>177</v>
      </c>
      <c r="F62" s="24">
        <f ca="1">VLOOKUP(E62,'Raw Data'!$E$5:$F$104,2, FALSE)</f>
        <v>11004</v>
      </c>
      <c r="I62" s="14">
        <v>56</v>
      </c>
      <c r="K62" s="6">
        <v>6421.65</v>
      </c>
      <c r="L62" s="6"/>
      <c r="M62" s="6">
        <v>9542.61</v>
      </c>
      <c r="O62" s="24">
        <f t="shared" si="2"/>
        <v>3120.9600000000009</v>
      </c>
      <c r="Q62" s="6"/>
      <c r="R62" s="19"/>
      <c r="S62" s="18"/>
    </row>
    <row r="63" spans="1:20" x14ac:dyDescent="0.25">
      <c r="A63" s="21">
        <f t="shared" ca="1" si="0"/>
        <v>42</v>
      </c>
      <c r="B63" s="22">
        <f ca="1">VLOOKUP(A63,'Raw Data'!$B$5:$C$104,2,FALSE)</f>
        <v>7826</v>
      </c>
      <c r="E63" s="23">
        <f t="shared" ca="1" si="1"/>
        <v>127</v>
      </c>
      <c r="F63" s="24">
        <f ca="1">VLOOKUP(E63,'Raw Data'!$E$5:$F$104,2, FALSE)</f>
        <v>9939</v>
      </c>
      <c r="I63" s="14">
        <v>57</v>
      </c>
      <c r="K63" s="6">
        <v>6214.7</v>
      </c>
      <c r="L63" s="6"/>
      <c r="M63" s="6">
        <v>10041.93</v>
      </c>
      <c r="O63" s="24">
        <f t="shared" si="2"/>
        <v>3827.2300000000005</v>
      </c>
      <c r="Q63" s="6"/>
      <c r="R63" s="19"/>
      <c r="S63" s="18"/>
    </row>
    <row r="64" spans="1:20" x14ac:dyDescent="0.25">
      <c r="A64" s="21">
        <f t="shared" ca="1" si="0"/>
        <v>95</v>
      </c>
      <c r="B64" s="22">
        <f ca="1">VLOOKUP(A64,'Raw Data'!$B$5:$C$104,2,FALSE)</f>
        <v>937</v>
      </c>
      <c r="E64" s="23">
        <f t="shared" ca="1" si="1"/>
        <v>150</v>
      </c>
      <c r="F64" s="24">
        <f ca="1">VLOOKUP(E64,'Raw Data'!$E$5:$F$104,2, FALSE)</f>
        <v>9379</v>
      </c>
      <c r="I64" s="14">
        <v>58</v>
      </c>
      <c r="K64" s="6">
        <v>5495.9</v>
      </c>
      <c r="L64" s="6"/>
      <c r="M64" s="6">
        <v>9904.39</v>
      </c>
      <c r="O64" s="24">
        <f t="shared" si="2"/>
        <v>4408.49</v>
      </c>
      <c r="Q64" s="6"/>
      <c r="R64" s="19"/>
      <c r="S64" s="18"/>
    </row>
    <row r="65" spans="1:20" x14ac:dyDescent="0.25">
      <c r="A65" s="21">
        <f t="shared" ca="1" si="0"/>
        <v>51</v>
      </c>
      <c r="B65" s="22">
        <f ca="1">VLOOKUP(A65,'Raw Data'!$B$5:$C$104,2,FALSE)</f>
        <v>12358</v>
      </c>
      <c r="E65" s="23">
        <f t="shared" ca="1" si="1"/>
        <v>176</v>
      </c>
      <c r="F65" s="24">
        <f ca="1">VLOOKUP(E65,'Raw Data'!$E$5:$F$104,2, FALSE)</f>
        <v>4931</v>
      </c>
      <c r="I65" s="14">
        <v>59</v>
      </c>
      <c r="K65" s="6">
        <v>6727.09</v>
      </c>
      <c r="L65" s="6"/>
      <c r="M65" s="6">
        <v>10736.41</v>
      </c>
      <c r="O65" s="24">
        <f t="shared" si="2"/>
        <v>4009.3199999999997</v>
      </c>
      <c r="Q65" s="6"/>
      <c r="R65" s="19"/>
      <c r="S65" s="18"/>
    </row>
    <row r="66" spans="1:20" x14ac:dyDescent="0.25">
      <c r="A66" s="21">
        <f t="shared" ca="1" si="0"/>
        <v>23</v>
      </c>
      <c r="B66" s="22">
        <f ca="1">VLOOKUP(A66,'Raw Data'!$B$5:$C$104,2,FALSE)</f>
        <v>3009</v>
      </c>
      <c r="E66" s="23">
        <f t="shared" ca="1" si="1"/>
        <v>140</v>
      </c>
      <c r="F66" s="24">
        <f ca="1">VLOOKUP(E66,'Raw Data'!$E$5:$F$104,2, FALSE)</f>
        <v>6377</v>
      </c>
      <c r="I66" s="14">
        <v>60</v>
      </c>
      <c r="K66" s="6">
        <v>6718.8</v>
      </c>
      <c r="L66" s="6"/>
      <c r="M66" s="6">
        <v>9630.19</v>
      </c>
      <c r="O66" s="24">
        <f t="shared" si="2"/>
        <v>2911.3900000000003</v>
      </c>
      <c r="Q66" s="6"/>
      <c r="R66" s="19"/>
      <c r="S66" s="18"/>
    </row>
    <row r="67" spans="1:20" x14ac:dyDescent="0.25">
      <c r="A67" s="21">
        <f t="shared" ca="1" si="0"/>
        <v>100</v>
      </c>
      <c r="B67" s="22">
        <f ca="1">VLOOKUP(A67,'Raw Data'!$B$5:$C$104,2,FALSE)</f>
        <v>3620</v>
      </c>
      <c r="E67" s="23">
        <f t="shared" ca="1" si="1"/>
        <v>166</v>
      </c>
      <c r="F67" s="24">
        <f ca="1">VLOOKUP(E67,'Raw Data'!$E$5:$F$104,2, FALSE)</f>
        <v>12919</v>
      </c>
      <c r="I67" s="14">
        <v>61</v>
      </c>
      <c r="K67" s="6">
        <v>5845.82</v>
      </c>
      <c r="L67" s="6"/>
      <c r="M67" s="6">
        <v>9518.49</v>
      </c>
      <c r="O67" s="24">
        <f t="shared" si="2"/>
        <v>3672.67</v>
      </c>
      <c r="Q67" s="6"/>
      <c r="R67" s="19"/>
      <c r="S67" s="18"/>
    </row>
    <row r="68" spans="1:20" x14ac:dyDescent="0.25">
      <c r="A68" s="21">
        <f t="shared" ca="1" si="0"/>
        <v>80</v>
      </c>
      <c r="B68" s="22">
        <f ca="1">VLOOKUP(A68,'Raw Data'!$B$5:$C$104,2,FALSE)</f>
        <v>5023</v>
      </c>
      <c r="E68" s="23">
        <f t="shared" ca="1" si="1"/>
        <v>153</v>
      </c>
      <c r="F68" s="24">
        <f ca="1">VLOOKUP(E68,'Raw Data'!$E$5:$F$104,2, FALSE)</f>
        <v>20578</v>
      </c>
      <c r="I68" s="14">
        <v>62</v>
      </c>
      <c r="K68" s="6">
        <v>6702.16</v>
      </c>
      <c r="L68" s="6"/>
      <c r="M68" s="6">
        <v>9643.6200000000008</v>
      </c>
      <c r="O68" s="24">
        <f t="shared" si="2"/>
        <v>2941.4600000000009</v>
      </c>
      <c r="R68" s="17"/>
      <c r="S68" s="17"/>
      <c r="T68" s="17"/>
    </row>
    <row r="69" spans="1:20" x14ac:dyDescent="0.25">
      <c r="A69" s="21">
        <f t="shared" ca="1" si="0"/>
        <v>69</v>
      </c>
      <c r="B69" s="22">
        <f ca="1">VLOOKUP(A69,'Raw Data'!$B$5:$C$104,2,FALSE)</f>
        <v>9305</v>
      </c>
      <c r="E69" s="23">
        <f t="shared" ca="1" si="1"/>
        <v>151</v>
      </c>
      <c r="F69" s="24">
        <f ca="1">VLOOKUP(E69,'Raw Data'!$E$5:$F$104,2, FALSE)</f>
        <v>12547</v>
      </c>
      <c r="I69" s="14">
        <v>63</v>
      </c>
      <c r="K69" s="6">
        <v>5633.98</v>
      </c>
      <c r="L69" s="6"/>
      <c r="M69" s="6">
        <v>10060.959999999999</v>
      </c>
      <c r="O69" s="24">
        <f t="shared" si="2"/>
        <v>4426.9799999999996</v>
      </c>
      <c r="R69" s="17"/>
      <c r="S69" s="17"/>
      <c r="T69" s="17"/>
    </row>
    <row r="70" spans="1:20" x14ac:dyDescent="0.25">
      <c r="A70" s="21">
        <f t="shared" ca="1" si="0"/>
        <v>100</v>
      </c>
      <c r="B70" s="22">
        <f ca="1">VLOOKUP(A70,'Raw Data'!$B$5:$C$104,2,FALSE)</f>
        <v>3620</v>
      </c>
      <c r="E70" s="23">
        <f t="shared" ca="1" si="1"/>
        <v>141</v>
      </c>
      <c r="F70" s="24">
        <f ca="1">VLOOKUP(E70,'Raw Data'!$E$5:$F$104,2, FALSE)</f>
        <v>10257</v>
      </c>
      <c r="I70" s="14">
        <v>64</v>
      </c>
      <c r="K70" s="6">
        <v>8163.41</v>
      </c>
      <c r="L70" s="6"/>
      <c r="M70" s="6">
        <v>9277.58</v>
      </c>
      <c r="O70" s="24">
        <f t="shared" si="2"/>
        <v>1114.17</v>
      </c>
      <c r="R70" s="17"/>
      <c r="S70" s="18"/>
    </row>
    <row r="71" spans="1:20" x14ac:dyDescent="0.25">
      <c r="A71" s="21">
        <f t="shared" ca="1" si="0"/>
        <v>59</v>
      </c>
      <c r="B71" s="22">
        <f ca="1">VLOOKUP(A71,'Raw Data'!$B$5:$C$104,2,FALSE)</f>
        <v>9441</v>
      </c>
      <c r="E71" s="23">
        <f t="shared" ca="1" si="1"/>
        <v>107</v>
      </c>
      <c r="F71" s="24">
        <f ca="1">VLOOKUP(E71,'Raw Data'!$E$5:$F$104,2, FALSE)</f>
        <v>6136</v>
      </c>
      <c r="I71" s="14">
        <v>65</v>
      </c>
      <c r="K71" s="6">
        <v>6739.33</v>
      </c>
      <c r="L71" s="6"/>
      <c r="M71" s="6">
        <v>9811.9599999999991</v>
      </c>
      <c r="O71" s="24">
        <f t="shared" si="2"/>
        <v>3072.6299999999992</v>
      </c>
      <c r="R71" s="17"/>
      <c r="S71" s="18"/>
    </row>
    <row r="72" spans="1:20" x14ac:dyDescent="0.25">
      <c r="A72" s="21">
        <f t="shared" ref="A72:A106" ca="1" si="3">INT(RAND()*(100)+1)</f>
        <v>8</v>
      </c>
      <c r="B72" s="22">
        <f ca="1">VLOOKUP(A72,'Raw Data'!$B$5:$C$104,2,FALSE)</f>
        <v>4005</v>
      </c>
      <c r="E72" s="23">
        <f t="shared" ref="E72:E106" ca="1" si="4">INT(RAND()*(100)+101)</f>
        <v>199</v>
      </c>
      <c r="F72" s="24">
        <f ca="1">VLOOKUP(E72,'Raw Data'!$E$5:$F$104,2, FALSE)</f>
        <v>14065</v>
      </c>
      <c r="I72" s="14">
        <v>66</v>
      </c>
      <c r="K72" s="6">
        <v>5415.99</v>
      </c>
      <c r="L72" s="6"/>
      <c r="M72" s="6">
        <v>10116.35</v>
      </c>
      <c r="O72" s="24">
        <f t="shared" ref="O72:O135" si="5">M72-K72</f>
        <v>4700.3600000000006</v>
      </c>
      <c r="R72" s="17"/>
      <c r="S72" s="18"/>
    </row>
    <row r="73" spans="1:20" x14ac:dyDescent="0.25">
      <c r="A73" s="21">
        <f t="shared" ca="1" si="3"/>
        <v>57</v>
      </c>
      <c r="B73" s="22">
        <f ca="1">VLOOKUP(A73,'Raw Data'!$B$5:$C$104,2,FALSE)</f>
        <v>19104</v>
      </c>
      <c r="E73" s="23">
        <f t="shared" ca="1" si="4"/>
        <v>178</v>
      </c>
      <c r="F73" s="24">
        <f ca="1">VLOOKUP(E73,'Raw Data'!$E$5:$F$104,2, FALSE)</f>
        <v>7312</v>
      </c>
      <c r="I73" s="14">
        <v>67</v>
      </c>
      <c r="K73" s="6">
        <v>6012.34</v>
      </c>
      <c r="L73" s="6"/>
      <c r="M73" s="6">
        <v>9951.66</v>
      </c>
      <c r="O73" s="24">
        <f t="shared" si="5"/>
        <v>3939.3199999999997</v>
      </c>
      <c r="R73" s="17"/>
      <c r="S73" s="18"/>
    </row>
    <row r="74" spans="1:20" x14ac:dyDescent="0.25">
      <c r="A74" s="21">
        <f t="shared" ca="1" si="3"/>
        <v>77</v>
      </c>
      <c r="B74" s="22">
        <f ca="1">VLOOKUP(A74,'Raw Data'!$B$5:$C$104,2,FALSE)</f>
        <v>7635</v>
      </c>
      <c r="E74" s="23">
        <f t="shared" ca="1" si="4"/>
        <v>154</v>
      </c>
      <c r="F74" s="24">
        <f ca="1">VLOOKUP(E74,'Raw Data'!$E$5:$F$104,2, FALSE)</f>
        <v>14355</v>
      </c>
      <c r="I74" s="14">
        <v>68</v>
      </c>
      <c r="K74" s="6">
        <v>6171.85</v>
      </c>
      <c r="L74" s="6"/>
      <c r="M74" s="6">
        <v>9868.9</v>
      </c>
      <c r="O74" s="24">
        <f t="shared" si="5"/>
        <v>3697.0499999999993</v>
      </c>
      <c r="R74" s="17"/>
      <c r="S74" s="18"/>
    </row>
    <row r="75" spans="1:20" x14ac:dyDescent="0.25">
      <c r="A75" s="21">
        <f t="shared" ca="1" si="3"/>
        <v>52</v>
      </c>
      <c r="B75" s="22">
        <f ca="1">VLOOKUP(A75,'Raw Data'!$B$5:$C$104,2,FALSE)</f>
        <v>3874</v>
      </c>
      <c r="E75" s="23">
        <f t="shared" ca="1" si="4"/>
        <v>132</v>
      </c>
      <c r="F75" s="24">
        <f ca="1">VLOOKUP(E75,'Raw Data'!$E$5:$F$104,2, FALSE)</f>
        <v>14671</v>
      </c>
      <c r="I75" s="14">
        <v>69</v>
      </c>
      <c r="K75" s="6">
        <v>6194.95</v>
      </c>
      <c r="L75" s="6"/>
      <c r="M75" s="6">
        <v>9768.16</v>
      </c>
      <c r="O75" s="24">
        <f t="shared" si="5"/>
        <v>3573.21</v>
      </c>
      <c r="R75" s="17"/>
      <c r="S75" s="18"/>
    </row>
    <row r="76" spans="1:20" x14ac:dyDescent="0.25">
      <c r="A76" s="21">
        <f t="shared" ca="1" si="3"/>
        <v>68</v>
      </c>
      <c r="B76" s="22">
        <f ca="1">VLOOKUP(A76,'Raw Data'!$B$5:$C$104,2,FALSE)</f>
        <v>5033</v>
      </c>
      <c r="E76" s="23">
        <f t="shared" ca="1" si="4"/>
        <v>191</v>
      </c>
      <c r="F76" s="24">
        <f ca="1">VLOOKUP(E76,'Raw Data'!$E$5:$F$104,2, FALSE)</f>
        <v>6438</v>
      </c>
      <c r="I76" s="14">
        <v>70</v>
      </c>
      <c r="K76" s="6">
        <v>8376.31</v>
      </c>
      <c r="L76" s="6"/>
      <c r="M76" s="6">
        <v>9743.67</v>
      </c>
      <c r="O76" s="24">
        <f t="shared" si="5"/>
        <v>1367.3600000000006</v>
      </c>
      <c r="R76" s="17"/>
      <c r="S76" s="18"/>
    </row>
    <row r="77" spans="1:20" x14ac:dyDescent="0.25">
      <c r="A77" s="21">
        <f t="shared" ca="1" si="3"/>
        <v>25</v>
      </c>
      <c r="B77" s="22">
        <f ca="1">VLOOKUP(A77,'Raw Data'!$B$5:$C$104,2,FALSE)</f>
        <v>16030</v>
      </c>
      <c r="E77" s="23">
        <f t="shared" ca="1" si="4"/>
        <v>159</v>
      </c>
      <c r="F77" s="24">
        <f ca="1">VLOOKUP(E77,'Raw Data'!$E$5:$F$104,2, FALSE)</f>
        <v>9994</v>
      </c>
      <c r="I77" s="14">
        <v>71</v>
      </c>
      <c r="K77" s="6">
        <v>7096.49</v>
      </c>
      <c r="L77" s="6"/>
      <c r="M77" s="6">
        <v>10171.31</v>
      </c>
      <c r="O77" s="24">
        <f t="shared" si="5"/>
        <v>3074.8199999999997</v>
      </c>
      <c r="R77" s="17"/>
      <c r="S77" s="18"/>
    </row>
    <row r="78" spans="1:20" x14ac:dyDescent="0.25">
      <c r="A78" s="21">
        <f t="shared" ca="1" si="3"/>
        <v>12</v>
      </c>
      <c r="B78" s="22">
        <f ca="1">VLOOKUP(A78,'Raw Data'!$B$5:$C$104,2,FALSE)</f>
        <v>2868</v>
      </c>
      <c r="E78" s="23">
        <f t="shared" ca="1" si="4"/>
        <v>111</v>
      </c>
      <c r="F78" s="24">
        <f ca="1">VLOOKUP(E78,'Raw Data'!$E$5:$F$104,2, FALSE)</f>
        <v>7055</v>
      </c>
      <c r="I78" s="14">
        <v>72</v>
      </c>
      <c r="K78" s="6">
        <v>9348.6299999999992</v>
      </c>
      <c r="L78" s="6"/>
      <c r="M78" s="6">
        <v>9560.83</v>
      </c>
      <c r="O78" s="24">
        <f t="shared" si="5"/>
        <v>212.20000000000073</v>
      </c>
    </row>
    <row r="79" spans="1:20" x14ac:dyDescent="0.25">
      <c r="A79" s="21">
        <f t="shared" ca="1" si="3"/>
        <v>81</v>
      </c>
      <c r="B79" s="22">
        <f ca="1">VLOOKUP(A79,'Raw Data'!$B$5:$C$104,2,FALSE)</f>
        <v>9764</v>
      </c>
      <c r="E79" s="23">
        <f t="shared" ca="1" si="4"/>
        <v>175</v>
      </c>
      <c r="F79" s="24">
        <f ca="1">VLOOKUP(E79,'Raw Data'!$E$5:$F$104,2, FALSE)</f>
        <v>7339</v>
      </c>
      <c r="I79" s="14">
        <v>73</v>
      </c>
      <c r="K79" s="6">
        <v>6274.41</v>
      </c>
      <c r="L79" s="6"/>
      <c r="M79" s="6">
        <v>10194.31</v>
      </c>
      <c r="O79" s="24">
        <f t="shared" si="5"/>
        <v>3919.8999999999996</v>
      </c>
    </row>
    <row r="80" spans="1:20" x14ac:dyDescent="0.25">
      <c r="A80" s="21">
        <f t="shared" ca="1" si="3"/>
        <v>24</v>
      </c>
      <c r="B80" s="22">
        <f ca="1">VLOOKUP(A80,'Raw Data'!$B$5:$C$104,2,FALSE)</f>
        <v>7932</v>
      </c>
      <c r="E80" s="23">
        <f t="shared" ca="1" si="4"/>
        <v>183</v>
      </c>
      <c r="F80" s="24">
        <f ca="1">VLOOKUP(E80,'Raw Data'!$E$5:$F$104,2, FALSE)</f>
        <v>5057</v>
      </c>
      <c r="I80" s="14">
        <v>74</v>
      </c>
      <c r="K80" s="6">
        <v>7198.36</v>
      </c>
      <c r="L80" s="6"/>
      <c r="M80" s="6">
        <v>9721.84</v>
      </c>
      <c r="O80" s="24">
        <f t="shared" si="5"/>
        <v>2523.4800000000005</v>
      </c>
    </row>
    <row r="81" spans="1:15" x14ac:dyDescent="0.25">
      <c r="A81" s="21">
        <f t="shared" ca="1" si="3"/>
        <v>31</v>
      </c>
      <c r="B81" s="22">
        <f ca="1">VLOOKUP(A81,'Raw Data'!$B$5:$C$104,2,FALSE)</f>
        <v>6942</v>
      </c>
      <c r="E81" s="23">
        <f t="shared" ca="1" si="4"/>
        <v>111</v>
      </c>
      <c r="F81" s="24">
        <f ca="1">VLOOKUP(E81,'Raw Data'!$E$5:$F$104,2, FALSE)</f>
        <v>7055</v>
      </c>
      <c r="I81" s="14">
        <v>75</v>
      </c>
      <c r="K81" s="6">
        <v>5899.42</v>
      </c>
      <c r="L81" s="6"/>
      <c r="M81" s="6">
        <v>8920.91</v>
      </c>
      <c r="O81" s="24">
        <f t="shared" si="5"/>
        <v>3021.49</v>
      </c>
    </row>
    <row r="82" spans="1:15" x14ac:dyDescent="0.25">
      <c r="A82" s="21">
        <f t="shared" ca="1" si="3"/>
        <v>14</v>
      </c>
      <c r="B82" s="22">
        <f ca="1">VLOOKUP(A82,'Raw Data'!$B$5:$C$104,2,FALSE)</f>
        <v>7685</v>
      </c>
      <c r="E82" s="23">
        <f t="shared" ca="1" si="4"/>
        <v>142</v>
      </c>
      <c r="F82" s="24">
        <f ca="1">VLOOKUP(E82,'Raw Data'!$E$5:$F$104,2, FALSE)</f>
        <v>8969</v>
      </c>
      <c r="I82" s="14">
        <v>76</v>
      </c>
      <c r="K82" s="6">
        <v>5941.9</v>
      </c>
      <c r="L82" s="6"/>
      <c r="M82" s="6">
        <v>10657.56</v>
      </c>
      <c r="O82" s="24">
        <f t="shared" si="5"/>
        <v>4715.66</v>
      </c>
    </row>
    <row r="83" spans="1:15" x14ac:dyDescent="0.25">
      <c r="A83" s="21">
        <f t="shared" ca="1" si="3"/>
        <v>72</v>
      </c>
      <c r="B83" s="22">
        <f ca="1">VLOOKUP(A83,'Raw Data'!$B$5:$C$104,2,FALSE)</f>
        <v>6183</v>
      </c>
      <c r="E83" s="23">
        <f t="shared" ca="1" si="4"/>
        <v>104</v>
      </c>
      <c r="F83" s="24">
        <f ca="1">VLOOKUP(E83,'Raw Data'!$E$5:$F$104,2, FALSE)</f>
        <v>18329</v>
      </c>
      <c r="I83" s="14">
        <v>77</v>
      </c>
      <c r="K83" s="6">
        <v>6016.29</v>
      </c>
      <c r="L83" s="6"/>
      <c r="M83" s="6">
        <v>10463.700000000001</v>
      </c>
      <c r="O83" s="24">
        <f t="shared" si="5"/>
        <v>4447.4100000000008</v>
      </c>
    </row>
    <row r="84" spans="1:15" x14ac:dyDescent="0.25">
      <c r="A84" s="21">
        <f t="shared" ca="1" si="3"/>
        <v>80</v>
      </c>
      <c r="B84" s="22">
        <f ca="1">VLOOKUP(A84,'Raw Data'!$B$5:$C$104,2,FALSE)</f>
        <v>5023</v>
      </c>
      <c r="E84" s="23">
        <f t="shared" ca="1" si="4"/>
        <v>141</v>
      </c>
      <c r="F84" s="24">
        <f ca="1">VLOOKUP(E84,'Raw Data'!$E$5:$F$104,2, FALSE)</f>
        <v>10257</v>
      </c>
      <c r="I84" s="14">
        <v>78</v>
      </c>
      <c r="K84" s="6">
        <v>6519.36</v>
      </c>
      <c r="L84" s="6"/>
      <c r="M84" s="6">
        <v>9466.5</v>
      </c>
      <c r="O84" s="24">
        <f t="shared" si="5"/>
        <v>2947.1400000000003</v>
      </c>
    </row>
    <row r="85" spans="1:15" x14ac:dyDescent="0.25">
      <c r="A85" s="21">
        <f t="shared" ca="1" si="3"/>
        <v>93</v>
      </c>
      <c r="B85" s="22">
        <f ca="1">VLOOKUP(A85,'Raw Data'!$B$5:$C$104,2,FALSE)</f>
        <v>6599</v>
      </c>
      <c r="E85" s="23">
        <f t="shared" ca="1" si="4"/>
        <v>196</v>
      </c>
      <c r="F85" s="24">
        <f ca="1">VLOOKUP(E85,'Raw Data'!$E$5:$F$104,2, FALSE)</f>
        <v>13351</v>
      </c>
      <c r="I85" s="14">
        <v>79</v>
      </c>
      <c r="K85" s="6">
        <v>7295.8</v>
      </c>
      <c r="L85" s="6"/>
      <c r="M85" s="6">
        <v>9937.2999999999993</v>
      </c>
      <c r="O85" s="24">
        <f t="shared" si="5"/>
        <v>2641.4999999999991</v>
      </c>
    </row>
    <row r="86" spans="1:15" x14ac:dyDescent="0.25">
      <c r="A86" s="21">
        <f t="shared" ca="1" si="3"/>
        <v>40</v>
      </c>
      <c r="B86" s="22">
        <f ca="1">VLOOKUP(A86,'Raw Data'!$B$5:$C$104,2,FALSE)</f>
        <v>2514</v>
      </c>
      <c r="E86" s="23">
        <f t="shared" ca="1" si="4"/>
        <v>195</v>
      </c>
      <c r="F86" s="24">
        <f ca="1">VLOOKUP(E86,'Raw Data'!$E$5:$F$104,2, FALSE)</f>
        <v>8633</v>
      </c>
      <c r="I86" s="14">
        <v>80</v>
      </c>
      <c r="K86" s="6">
        <v>6374.19</v>
      </c>
      <c r="L86" s="6"/>
      <c r="M86" s="6">
        <v>9097.89</v>
      </c>
      <c r="O86" s="24">
        <f t="shared" si="5"/>
        <v>2723.7</v>
      </c>
    </row>
    <row r="87" spans="1:15" x14ac:dyDescent="0.25">
      <c r="A87" s="21">
        <f t="shared" ca="1" si="3"/>
        <v>61</v>
      </c>
      <c r="B87" s="22">
        <f ca="1">VLOOKUP(A87,'Raw Data'!$B$5:$C$104,2,FALSE)</f>
        <v>4568</v>
      </c>
      <c r="E87" s="23">
        <f t="shared" ca="1" si="4"/>
        <v>167</v>
      </c>
      <c r="F87" s="24">
        <f ca="1">VLOOKUP(E87,'Raw Data'!$E$5:$F$104,2, FALSE)</f>
        <v>6747</v>
      </c>
      <c r="I87" s="14">
        <v>81</v>
      </c>
      <c r="K87" s="6">
        <v>6948.57</v>
      </c>
      <c r="L87" s="6"/>
      <c r="M87" s="6">
        <v>9991.58</v>
      </c>
      <c r="O87" s="24">
        <f t="shared" si="5"/>
        <v>3043.01</v>
      </c>
    </row>
    <row r="88" spans="1:15" x14ac:dyDescent="0.25">
      <c r="A88" s="21">
        <f t="shared" ca="1" si="3"/>
        <v>3</v>
      </c>
      <c r="B88" s="22">
        <f ca="1">VLOOKUP(A88,'Raw Data'!$B$5:$C$104,2,FALSE)</f>
        <v>5786</v>
      </c>
      <c r="E88" s="23">
        <f t="shared" ca="1" si="4"/>
        <v>101</v>
      </c>
      <c r="F88" s="24">
        <f ca="1">VLOOKUP(E88,'Raw Data'!$E$5:$F$104,2, FALSE)</f>
        <v>7674</v>
      </c>
      <c r="I88" s="14">
        <v>82</v>
      </c>
      <c r="K88" s="6">
        <v>11775.8</v>
      </c>
      <c r="L88" s="6"/>
      <c r="M88" s="6">
        <v>9864.84</v>
      </c>
      <c r="O88" s="24">
        <f t="shared" si="5"/>
        <v>-1910.9599999999991</v>
      </c>
    </row>
    <row r="89" spans="1:15" x14ac:dyDescent="0.25">
      <c r="A89" s="21">
        <f t="shared" ca="1" si="3"/>
        <v>7</v>
      </c>
      <c r="B89" s="22">
        <f ca="1">VLOOKUP(A89,'Raw Data'!$B$5:$C$104,2,FALSE)</f>
        <v>5327</v>
      </c>
      <c r="E89" s="23">
        <f t="shared" ca="1" si="4"/>
        <v>162</v>
      </c>
      <c r="F89" s="24">
        <f ca="1">VLOOKUP(E89,'Raw Data'!$E$5:$F$104,2, FALSE)</f>
        <v>8758</v>
      </c>
      <c r="I89" s="14">
        <v>83</v>
      </c>
      <c r="K89" s="6">
        <v>6046.37</v>
      </c>
      <c r="L89" s="6"/>
      <c r="M89" s="6">
        <v>9781.35</v>
      </c>
      <c r="O89" s="24">
        <f t="shared" si="5"/>
        <v>3734.9800000000005</v>
      </c>
    </row>
    <row r="90" spans="1:15" x14ac:dyDescent="0.25">
      <c r="A90" s="21">
        <f t="shared" ca="1" si="3"/>
        <v>26</v>
      </c>
      <c r="B90" s="22">
        <f ca="1">VLOOKUP(A90,'Raw Data'!$B$5:$C$104,2,FALSE)</f>
        <v>3218</v>
      </c>
      <c r="E90" s="23">
        <f t="shared" ca="1" si="4"/>
        <v>134</v>
      </c>
      <c r="F90" s="24">
        <f ca="1">VLOOKUP(E90,'Raw Data'!$E$5:$F$104,2, FALSE)</f>
        <v>10219</v>
      </c>
      <c r="I90" s="14">
        <v>84</v>
      </c>
      <c r="K90" s="6">
        <v>7412.49</v>
      </c>
      <c r="L90" s="6"/>
      <c r="M90" s="6">
        <v>9977.6</v>
      </c>
      <c r="O90" s="24">
        <f t="shared" si="5"/>
        <v>2565.1100000000006</v>
      </c>
    </row>
    <row r="91" spans="1:15" x14ac:dyDescent="0.25">
      <c r="A91" s="21">
        <f t="shared" ca="1" si="3"/>
        <v>45</v>
      </c>
      <c r="B91" s="22">
        <f ca="1">VLOOKUP(A91,'Raw Data'!$B$5:$C$104,2,FALSE)</f>
        <v>5607</v>
      </c>
      <c r="E91" s="23">
        <f t="shared" ca="1" si="4"/>
        <v>123</v>
      </c>
      <c r="F91" s="24">
        <f ca="1">VLOOKUP(E91,'Raw Data'!$E$5:$F$104,2, FALSE)</f>
        <v>12814</v>
      </c>
      <c r="I91" s="14">
        <v>85</v>
      </c>
      <c r="K91" s="6">
        <v>8222.09</v>
      </c>
      <c r="L91" s="6"/>
      <c r="M91" s="6">
        <v>10456.49</v>
      </c>
      <c r="O91" s="24">
        <f t="shared" si="5"/>
        <v>2234.3999999999996</v>
      </c>
    </row>
    <row r="92" spans="1:15" x14ac:dyDescent="0.25">
      <c r="A92" s="21">
        <f t="shared" ca="1" si="3"/>
        <v>20</v>
      </c>
      <c r="B92" s="22">
        <f ca="1">VLOOKUP(A92,'Raw Data'!$B$5:$C$104,2,FALSE)</f>
        <v>5647</v>
      </c>
      <c r="E92" s="23">
        <f t="shared" ca="1" si="4"/>
        <v>156</v>
      </c>
      <c r="F92" s="24">
        <f ca="1">VLOOKUP(E92,'Raw Data'!$E$5:$F$104,2, FALSE)</f>
        <v>6689</v>
      </c>
      <c r="I92" s="14">
        <v>86</v>
      </c>
      <c r="K92" s="6">
        <v>6982.99</v>
      </c>
      <c r="L92" s="6"/>
      <c r="M92" s="6">
        <v>10547.49</v>
      </c>
      <c r="O92" s="24">
        <f t="shared" si="5"/>
        <v>3564.5</v>
      </c>
    </row>
    <row r="93" spans="1:15" x14ac:dyDescent="0.25">
      <c r="A93" s="21">
        <f t="shared" ca="1" si="3"/>
        <v>42</v>
      </c>
      <c r="B93" s="22">
        <f ca="1">VLOOKUP(A93,'Raw Data'!$B$5:$C$104,2,FALSE)</f>
        <v>7826</v>
      </c>
      <c r="E93" s="23">
        <f t="shared" ca="1" si="4"/>
        <v>181</v>
      </c>
      <c r="F93" s="24">
        <f ca="1">VLOOKUP(E93,'Raw Data'!$E$5:$F$104,2, FALSE)</f>
        <v>5706</v>
      </c>
      <c r="I93" s="14">
        <v>87</v>
      </c>
      <c r="K93" s="6">
        <v>8264.56</v>
      </c>
      <c r="L93" s="6"/>
      <c r="M93" s="6">
        <v>9497.7999999999993</v>
      </c>
      <c r="O93" s="24">
        <f t="shared" si="5"/>
        <v>1233.2399999999998</v>
      </c>
    </row>
    <row r="94" spans="1:15" x14ac:dyDescent="0.25">
      <c r="A94" s="21">
        <f t="shared" ca="1" si="3"/>
        <v>83</v>
      </c>
      <c r="B94" s="22">
        <f ca="1">VLOOKUP(A94,'Raw Data'!$B$5:$C$104,2,FALSE)</f>
        <v>7454</v>
      </c>
      <c r="E94" s="23">
        <f t="shared" ca="1" si="4"/>
        <v>118</v>
      </c>
      <c r="F94" s="24">
        <f ca="1">VLOOKUP(E94,'Raw Data'!$E$5:$F$104,2, FALSE)</f>
        <v>15933</v>
      </c>
      <c r="I94" s="14">
        <v>88</v>
      </c>
      <c r="K94" s="6">
        <v>5653.78</v>
      </c>
      <c r="L94" s="6"/>
      <c r="M94" s="6">
        <v>9925.3799999999992</v>
      </c>
      <c r="O94" s="24">
        <f t="shared" si="5"/>
        <v>4271.5999999999995</v>
      </c>
    </row>
    <row r="95" spans="1:15" x14ac:dyDescent="0.25">
      <c r="A95" s="21">
        <f t="shared" ca="1" si="3"/>
        <v>1</v>
      </c>
      <c r="B95" s="22">
        <f ca="1">VLOOKUP(A95,'Raw Data'!$B$5:$C$104,2,FALSE)</f>
        <v>3642</v>
      </c>
      <c r="E95" s="23">
        <f t="shared" ca="1" si="4"/>
        <v>121</v>
      </c>
      <c r="F95" s="24">
        <f ca="1">VLOOKUP(E95,'Raw Data'!$E$5:$F$104,2, FALSE)</f>
        <v>5379</v>
      </c>
      <c r="I95" s="14">
        <v>89</v>
      </c>
      <c r="K95" s="6">
        <v>5760.9</v>
      </c>
      <c r="L95" s="6"/>
      <c r="M95" s="6">
        <v>10370.57</v>
      </c>
      <c r="O95" s="24">
        <f t="shared" si="5"/>
        <v>4609.67</v>
      </c>
    </row>
    <row r="96" spans="1:15" x14ac:dyDescent="0.25">
      <c r="A96" s="21">
        <f t="shared" ca="1" si="3"/>
        <v>95</v>
      </c>
      <c r="B96" s="22">
        <f ca="1">VLOOKUP(A96,'Raw Data'!$B$5:$C$104,2,FALSE)</f>
        <v>937</v>
      </c>
      <c r="E96" s="23">
        <f t="shared" ca="1" si="4"/>
        <v>145</v>
      </c>
      <c r="F96" s="24">
        <f ca="1">VLOOKUP(E96,'Raw Data'!$E$5:$F$104,2, FALSE)</f>
        <v>9557</v>
      </c>
      <c r="I96" s="14">
        <v>90</v>
      </c>
      <c r="K96" s="6">
        <v>6850.8</v>
      </c>
      <c r="L96" s="6"/>
      <c r="M96" s="6">
        <v>9089.39</v>
      </c>
      <c r="O96" s="24">
        <f t="shared" si="5"/>
        <v>2238.5899999999992</v>
      </c>
    </row>
    <row r="97" spans="1:15" x14ac:dyDescent="0.25">
      <c r="A97" s="21">
        <f t="shared" ca="1" si="3"/>
        <v>96</v>
      </c>
      <c r="B97" s="22">
        <f ca="1">VLOOKUP(A97,'Raw Data'!$B$5:$C$104,2,FALSE)</f>
        <v>5197</v>
      </c>
      <c r="E97" s="23">
        <f t="shared" ca="1" si="4"/>
        <v>188</v>
      </c>
      <c r="F97" s="24">
        <f ca="1">VLOOKUP(E97,'Raw Data'!$E$5:$F$104,2, FALSE)</f>
        <v>8471</v>
      </c>
      <c r="I97" s="14">
        <v>91</v>
      </c>
      <c r="K97" s="6">
        <v>6536.32</v>
      </c>
      <c r="L97" s="6"/>
      <c r="M97" s="6">
        <v>9635.81</v>
      </c>
      <c r="O97" s="24">
        <f t="shared" si="5"/>
        <v>3099.49</v>
      </c>
    </row>
    <row r="98" spans="1:15" x14ac:dyDescent="0.25">
      <c r="A98" s="21">
        <f t="shared" ca="1" si="3"/>
        <v>76</v>
      </c>
      <c r="B98" s="22">
        <f ca="1">VLOOKUP(A98,'Raw Data'!$B$5:$C$104,2,FALSE)</f>
        <v>1971</v>
      </c>
      <c r="E98" s="23">
        <f t="shared" ca="1" si="4"/>
        <v>133</v>
      </c>
      <c r="F98" s="24">
        <f ca="1">VLOOKUP(E98,'Raw Data'!$E$5:$F$104,2, FALSE)</f>
        <v>13961</v>
      </c>
      <c r="I98" s="14">
        <v>92</v>
      </c>
      <c r="K98" s="6">
        <v>6678.82</v>
      </c>
      <c r="L98" s="6"/>
      <c r="M98" s="6">
        <v>9545.3700000000008</v>
      </c>
      <c r="O98" s="24">
        <f t="shared" si="5"/>
        <v>2866.5500000000011</v>
      </c>
    </row>
    <row r="99" spans="1:15" x14ac:dyDescent="0.25">
      <c r="A99" s="21">
        <f t="shared" ca="1" si="3"/>
        <v>78</v>
      </c>
      <c r="B99" s="22">
        <f ca="1">VLOOKUP(A99,'Raw Data'!$B$5:$C$104,2,FALSE)</f>
        <v>2981</v>
      </c>
      <c r="E99" s="23">
        <f t="shared" ca="1" si="4"/>
        <v>187</v>
      </c>
      <c r="F99" s="24">
        <f ca="1">VLOOKUP(E99,'Raw Data'!$E$5:$F$104,2, FALSE)</f>
        <v>8045</v>
      </c>
      <c r="I99" s="14">
        <v>93</v>
      </c>
      <c r="K99" s="6">
        <v>7573.44</v>
      </c>
      <c r="L99" s="6"/>
      <c r="M99" s="6">
        <v>9986.52</v>
      </c>
      <c r="O99" s="24">
        <f t="shared" si="5"/>
        <v>2413.0800000000008</v>
      </c>
    </row>
    <row r="100" spans="1:15" x14ac:dyDescent="0.25">
      <c r="A100" s="21">
        <f t="shared" ca="1" si="3"/>
        <v>87</v>
      </c>
      <c r="B100" s="22">
        <f ca="1">VLOOKUP(A100,'Raw Data'!$B$5:$C$104,2,FALSE)</f>
        <v>9354</v>
      </c>
      <c r="E100" s="23">
        <f t="shared" ca="1" si="4"/>
        <v>198</v>
      </c>
      <c r="F100" s="24">
        <f ca="1">VLOOKUP(E100,'Raw Data'!$E$5:$F$104,2, FALSE)</f>
        <v>8811</v>
      </c>
      <c r="I100" s="14">
        <v>94</v>
      </c>
      <c r="K100" s="6">
        <v>9319.36</v>
      </c>
      <c r="L100" s="6"/>
      <c r="M100" s="6">
        <v>8870.64</v>
      </c>
      <c r="O100" s="24">
        <f t="shared" si="5"/>
        <v>-448.72000000000116</v>
      </c>
    </row>
    <row r="101" spans="1:15" x14ac:dyDescent="0.25">
      <c r="A101" s="21">
        <f t="shared" ca="1" si="3"/>
        <v>56</v>
      </c>
      <c r="B101" s="22">
        <f ca="1">VLOOKUP(A101,'Raw Data'!$B$5:$C$104,2,FALSE)</f>
        <v>5569</v>
      </c>
      <c r="E101" s="23">
        <f t="shared" ca="1" si="4"/>
        <v>166</v>
      </c>
      <c r="F101" s="24">
        <f ca="1">VLOOKUP(E101,'Raw Data'!$E$5:$F$104,2, FALSE)</f>
        <v>12919</v>
      </c>
      <c r="I101" s="14">
        <v>95</v>
      </c>
      <c r="K101" s="6">
        <v>5500.3</v>
      </c>
      <c r="L101" s="6"/>
      <c r="M101" s="6">
        <v>10216.299999999999</v>
      </c>
      <c r="O101" s="24">
        <f t="shared" si="5"/>
        <v>4715.9999999999991</v>
      </c>
    </row>
    <row r="102" spans="1:15" x14ac:dyDescent="0.25">
      <c r="A102" s="21">
        <f t="shared" ca="1" si="3"/>
        <v>97</v>
      </c>
      <c r="B102" s="22">
        <f ca="1">VLOOKUP(A102,'Raw Data'!$B$5:$C$104,2,FALSE)</f>
        <v>6232</v>
      </c>
      <c r="E102" s="23">
        <f t="shared" ca="1" si="4"/>
        <v>154</v>
      </c>
      <c r="F102" s="24">
        <f ca="1">VLOOKUP(E102,'Raw Data'!$E$5:$F$104,2, FALSE)</f>
        <v>14355</v>
      </c>
      <c r="I102" s="14">
        <v>96</v>
      </c>
      <c r="K102" s="6">
        <v>6077.35</v>
      </c>
      <c r="L102" s="6"/>
      <c r="M102" s="6">
        <v>10449.549999999999</v>
      </c>
      <c r="O102" s="24">
        <f t="shared" si="5"/>
        <v>4372.1999999999989</v>
      </c>
    </row>
    <row r="103" spans="1:15" x14ac:dyDescent="0.25">
      <c r="A103" s="21">
        <f t="shared" ca="1" si="3"/>
        <v>87</v>
      </c>
      <c r="B103" s="22">
        <f ca="1">VLOOKUP(A103,'Raw Data'!$B$5:$C$104,2,FALSE)</f>
        <v>9354</v>
      </c>
      <c r="E103" s="23">
        <f t="shared" ca="1" si="4"/>
        <v>165</v>
      </c>
      <c r="F103" s="24">
        <f ca="1">VLOOKUP(E103,'Raw Data'!$E$5:$F$104,2, FALSE)</f>
        <v>13338</v>
      </c>
      <c r="I103" s="14">
        <v>97</v>
      </c>
      <c r="K103" s="6">
        <v>5786.72</v>
      </c>
      <c r="L103" s="6"/>
      <c r="M103" s="6">
        <v>9705.2099999999991</v>
      </c>
      <c r="O103" s="24">
        <f t="shared" si="5"/>
        <v>3918.4899999999989</v>
      </c>
    </row>
    <row r="104" spans="1:15" x14ac:dyDescent="0.25">
      <c r="A104" s="21">
        <f t="shared" ca="1" si="3"/>
        <v>87</v>
      </c>
      <c r="B104" s="22">
        <f ca="1">VLOOKUP(A104,'Raw Data'!$B$5:$C$104,2,FALSE)</f>
        <v>9354</v>
      </c>
      <c r="E104" s="23">
        <f t="shared" ca="1" si="4"/>
        <v>191</v>
      </c>
      <c r="F104" s="24">
        <f ca="1">VLOOKUP(E104,'Raw Data'!$E$5:$F$104,2, FALSE)</f>
        <v>6438</v>
      </c>
      <c r="I104" s="14">
        <v>98</v>
      </c>
      <c r="K104" s="6">
        <v>7415.18</v>
      </c>
      <c r="L104" s="6"/>
      <c r="M104" s="6">
        <v>9182.5</v>
      </c>
      <c r="O104" s="24">
        <f t="shared" si="5"/>
        <v>1767.3199999999997</v>
      </c>
    </row>
    <row r="105" spans="1:15" x14ac:dyDescent="0.25">
      <c r="A105" s="21">
        <f t="shared" ca="1" si="3"/>
        <v>96</v>
      </c>
      <c r="B105" s="22">
        <f ca="1">VLOOKUP(A105,'Raw Data'!$B$5:$C$104,2,FALSE)</f>
        <v>5197</v>
      </c>
      <c r="E105" s="23">
        <f t="shared" ca="1" si="4"/>
        <v>151</v>
      </c>
      <c r="F105" s="24">
        <f ca="1">VLOOKUP(E105,'Raw Data'!$E$5:$F$104,2, FALSE)</f>
        <v>12547</v>
      </c>
      <c r="I105" s="14">
        <v>99</v>
      </c>
      <c r="K105" s="6">
        <v>8306.9699999999993</v>
      </c>
      <c r="L105" s="6"/>
      <c r="M105" s="6">
        <v>9087.73</v>
      </c>
      <c r="O105" s="24">
        <f t="shared" si="5"/>
        <v>780.76000000000022</v>
      </c>
    </row>
    <row r="106" spans="1:15" x14ac:dyDescent="0.25">
      <c r="A106" s="21">
        <f t="shared" ca="1" si="3"/>
        <v>99</v>
      </c>
      <c r="B106" s="22">
        <f ca="1">VLOOKUP(A106,'Raw Data'!$B$5:$C$104,2,FALSE)</f>
        <v>4142</v>
      </c>
      <c r="E106" s="23">
        <f t="shared" ca="1" si="4"/>
        <v>126</v>
      </c>
      <c r="F106" s="24">
        <f ca="1">VLOOKUP(E106,'Raw Data'!$E$5:$F$104,2, FALSE)</f>
        <v>16389</v>
      </c>
      <c r="I106" s="14">
        <v>100</v>
      </c>
      <c r="K106" s="6">
        <v>6041.69</v>
      </c>
      <c r="L106" s="6"/>
      <c r="M106" s="6">
        <v>10434.120000000001</v>
      </c>
      <c r="O106" s="24">
        <f t="shared" si="5"/>
        <v>4392.4300000000012</v>
      </c>
    </row>
    <row r="107" spans="1:15" x14ac:dyDescent="0.25">
      <c r="I107" s="14">
        <v>101</v>
      </c>
      <c r="K107" s="6">
        <v>7541.7</v>
      </c>
      <c r="L107" s="6"/>
      <c r="M107" s="6">
        <v>9072.4</v>
      </c>
      <c r="O107" s="24">
        <f t="shared" si="5"/>
        <v>1530.6999999999998</v>
      </c>
    </row>
    <row r="108" spans="1:15" x14ac:dyDescent="0.25">
      <c r="B108" s="3" t="s">
        <v>17</v>
      </c>
      <c r="C108" s="13"/>
      <c r="D108" s="3" t="s">
        <v>2</v>
      </c>
      <c r="I108" s="14">
        <v>102</v>
      </c>
      <c r="K108" s="6">
        <v>7573.56</v>
      </c>
      <c r="L108" s="6"/>
      <c r="M108" s="6">
        <v>10136.07</v>
      </c>
      <c r="O108" s="24">
        <f t="shared" si="5"/>
        <v>2562.5099999999993</v>
      </c>
    </row>
    <row r="109" spans="1:15" x14ac:dyDescent="0.25">
      <c r="A109" s="5" t="s">
        <v>14</v>
      </c>
      <c r="B109" s="30">
        <f ca="1">AVERAGE(B7:B106)</f>
        <v>5941.29</v>
      </c>
      <c r="C109" s="15"/>
      <c r="D109" s="30">
        <f ca="1">AVERAGE(F7:F106)</f>
        <v>10209.4</v>
      </c>
      <c r="I109" s="14">
        <v>103</v>
      </c>
      <c r="K109" s="6">
        <v>9490.7099999999991</v>
      </c>
      <c r="L109" s="6"/>
      <c r="M109" s="6">
        <v>9637.9699999999993</v>
      </c>
      <c r="O109" s="24">
        <f t="shared" si="5"/>
        <v>147.26000000000022</v>
      </c>
    </row>
    <row r="110" spans="1:15" x14ac:dyDescent="0.25">
      <c r="I110" s="14">
        <v>104</v>
      </c>
      <c r="K110" s="6">
        <v>5428.91</v>
      </c>
      <c r="L110" s="6"/>
      <c r="M110" s="6">
        <v>9813.34</v>
      </c>
      <c r="O110" s="24">
        <f t="shared" si="5"/>
        <v>4384.43</v>
      </c>
    </row>
    <row r="111" spans="1:15" x14ac:dyDescent="0.25">
      <c r="I111" s="14">
        <v>105</v>
      </c>
      <c r="K111" s="6">
        <v>5687.48</v>
      </c>
      <c r="L111" s="6"/>
      <c r="M111" s="6">
        <v>10622.8</v>
      </c>
      <c r="O111" s="24">
        <f t="shared" si="5"/>
        <v>4935.32</v>
      </c>
    </row>
    <row r="112" spans="1:15" x14ac:dyDescent="0.25">
      <c r="I112" s="14">
        <v>106</v>
      </c>
      <c r="K112" s="6">
        <v>7385.94</v>
      </c>
      <c r="L112" s="6"/>
      <c r="M112" s="6">
        <v>10136.35</v>
      </c>
      <c r="O112" s="24">
        <f t="shared" si="5"/>
        <v>2750.4100000000008</v>
      </c>
    </row>
    <row r="113" spans="9:15" x14ac:dyDescent="0.25">
      <c r="I113" s="14">
        <v>107</v>
      </c>
      <c r="K113" s="6">
        <v>7048.9</v>
      </c>
      <c r="L113" s="6"/>
      <c r="M113" s="6">
        <v>10729.97</v>
      </c>
      <c r="O113" s="24">
        <f t="shared" si="5"/>
        <v>3681.0699999999997</v>
      </c>
    </row>
    <row r="114" spans="9:15" x14ac:dyDescent="0.25">
      <c r="I114" s="14">
        <v>108</v>
      </c>
      <c r="K114" s="6">
        <v>6543.33</v>
      </c>
      <c r="L114" s="6"/>
      <c r="M114" s="6">
        <v>9330.66</v>
      </c>
      <c r="O114" s="24">
        <f t="shared" si="5"/>
        <v>2787.33</v>
      </c>
    </row>
    <row r="115" spans="9:15" x14ac:dyDescent="0.25">
      <c r="I115" s="14">
        <v>109</v>
      </c>
      <c r="K115" s="6">
        <v>7354.63</v>
      </c>
      <c r="L115" s="6"/>
      <c r="M115" s="6">
        <v>9957.06</v>
      </c>
      <c r="O115" s="24">
        <f t="shared" si="5"/>
        <v>2602.4299999999994</v>
      </c>
    </row>
    <row r="116" spans="9:15" x14ac:dyDescent="0.25">
      <c r="I116" s="14">
        <v>110</v>
      </c>
      <c r="K116" s="6">
        <v>7359.66</v>
      </c>
      <c r="L116" s="6"/>
      <c r="M116" s="6">
        <v>9794.75</v>
      </c>
      <c r="O116" s="24">
        <f t="shared" si="5"/>
        <v>2435.09</v>
      </c>
    </row>
    <row r="117" spans="9:15" x14ac:dyDescent="0.25">
      <c r="I117" s="14">
        <v>111</v>
      </c>
      <c r="K117" s="6">
        <v>5732.03</v>
      </c>
      <c r="L117" s="6"/>
      <c r="M117" s="6">
        <v>9968.2999999999993</v>
      </c>
      <c r="O117" s="24">
        <f t="shared" si="5"/>
        <v>4236.2699999999995</v>
      </c>
    </row>
    <row r="118" spans="9:15" x14ac:dyDescent="0.25">
      <c r="I118" s="14">
        <v>112</v>
      </c>
      <c r="K118" s="6">
        <v>5951.91</v>
      </c>
      <c r="L118" s="6"/>
      <c r="M118" s="6">
        <v>9971.7900000000009</v>
      </c>
      <c r="O118" s="24">
        <f t="shared" si="5"/>
        <v>4019.880000000001</v>
      </c>
    </row>
    <row r="119" spans="9:15" x14ac:dyDescent="0.25">
      <c r="I119" s="14">
        <v>113</v>
      </c>
      <c r="K119" s="6">
        <v>7524.86</v>
      </c>
      <c r="L119" s="6"/>
      <c r="M119" s="6">
        <v>9182.2800000000007</v>
      </c>
      <c r="O119" s="24">
        <f t="shared" si="5"/>
        <v>1657.420000000001</v>
      </c>
    </row>
    <row r="120" spans="9:15" x14ac:dyDescent="0.25">
      <c r="I120" s="14">
        <v>114</v>
      </c>
      <c r="K120" s="6">
        <v>7223.38</v>
      </c>
      <c r="L120" s="6"/>
      <c r="M120" s="6">
        <v>10127.99</v>
      </c>
      <c r="O120" s="24">
        <f t="shared" si="5"/>
        <v>2904.6099999999997</v>
      </c>
    </row>
    <row r="121" spans="9:15" x14ac:dyDescent="0.25">
      <c r="I121" s="14">
        <v>115</v>
      </c>
      <c r="K121" s="6">
        <v>6922.38</v>
      </c>
      <c r="L121" s="6"/>
      <c r="M121" s="6">
        <v>9649.9</v>
      </c>
      <c r="O121" s="24">
        <f t="shared" si="5"/>
        <v>2727.5199999999995</v>
      </c>
    </row>
    <row r="122" spans="9:15" x14ac:dyDescent="0.25">
      <c r="I122" s="14">
        <v>116</v>
      </c>
      <c r="K122" s="6">
        <v>6901.57</v>
      </c>
      <c r="L122" s="6"/>
      <c r="M122" s="6">
        <v>10027.81</v>
      </c>
      <c r="O122" s="24">
        <f t="shared" si="5"/>
        <v>3126.24</v>
      </c>
    </row>
    <row r="123" spans="9:15" x14ac:dyDescent="0.25">
      <c r="I123" s="14">
        <v>117</v>
      </c>
      <c r="K123" s="6">
        <v>5766.12</v>
      </c>
      <c r="L123" s="6"/>
      <c r="M123" s="6">
        <v>9091.73</v>
      </c>
      <c r="O123" s="24">
        <f t="shared" si="5"/>
        <v>3325.6099999999997</v>
      </c>
    </row>
    <row r="124" spans="9:15" x14ac:dyDescent="0.25">
      <c r="I124" s="14">
        <v>118</v>
      </c>
      <c r="K124" s="6">
        <v>9356.9</v>
      </c>
      <c r="L124" s="6"/>
      <c r="M124" s="6">
        <v>10416.67</v>
      </c>
      <c r="O124" s="24">
        <f t="shared" si="5"/>
        <v>1059.7700000000004</v>
      </c>
    </row>
    <row r="125" spans="9:15" x14ac:dyDescent="0.25">
      <c r="I125" s="14">
        <v>119</v>
      </c>
      <c r="K125" s="6">
        <v>5857.11</v>
      </c>
      <c r="L125" s="6"/>
      <c r="M125" s="6">
        <v>9603.84</v>
      </c>
      <c r="O125" s="24">
        <f t="shared" si="5"/>
        <v>3746.7300000000005</v>
      </c>
    </row>
    <row r="126" spans="9:15" x14ac:dyDescent="0.25">
      <c r="I126" s="14">
        <v>120</v>
      </c>
      <c r="K126" s="6">
        <v>6773.46</v>
      </c>
      <c r="L126" s="6"/>
      <c r="M126" s="6">
        <v>9968.7199999999993</v>
      </c>
      <c r="O126" s="24">
        <f t="shared" si="5"/>
        <v>3195.2599999999993</v>
      </c>
    </row>
    <row r="127" spans="9:15" x14ac:dyDescent="0.25">
      <c r="I127" s="14">
        <v>121</v>
      </c>
      <c r="K127" s="6">
        <v>7013.33</v>
      </c>
      <c r="L127" s="6"/>
      <c r="M127" s="6">
        <v>10114.23</v>
      </c>
      <c r="O127" s="24">
        <f t="shared" si="5"/>
        <v>3100.8999999999996</v>
      </c>
    </row>
    <row r="128" spans="9:15" x14ac:dyDescent="0.25">
      <c r="I128" s="14">
        <v>122</v>
      </c>
      <c r="K128" s="6">
        <v>7910.85</v>
      </c>
      <c r="L128" s="6"/>
      <c r="M128" s="6">
        <v>9969.31</v>
      </c>
      <c r="O128" s="24">
        <f t="shared" si="5"/>
        <v>2058.4599999999991</v>
      </c>
    </row>
    <row r="129" spans="9:15" x14ac:dyDescent="0.25">
      <c r="I129" s="14">
        <v>123</v>
      </c>
      <c r="K129" s="6">
        <v>7213.64</v>
      </c>
      <c r="L129" s="6"/>
      <c r="M129" s="6">
        <v>9757.8799999999992</v>
      </c>
      <c r="O129" s="24">
        <f t="shared" si="5"/>
        <v>2544.2399999999989</v>
      </c>
    </row>
    <row r="130" spans="9:15" x14ac:dyDescent="0.25">
      <c r="I130" s="14">
        <v>124</v>
      </c>
      <c r="K130" s="6">
        <v>7823.02</v>
      </c>
      <c r="L130" s="6"/>
      <c r="M130" s="6">
        <v>9562.0300000000007</v>
      </c>
      <c r="O130" s="24">
        <f t="shared" si="5"/>
        <v>1739.0100000000002</v>
      </c>
    </row>
    <row r="131" spans="9:15" x14ac:dyDescent="0.25">
      <c r="I131" s="14">
        <v>125</v>
      </c>
      <c r="K131" s="6">
        <v>8765.01</v>
      </c>
      <c r="L131" s="6"/>
      <c r="M131" s="6">
        <v>10610.64</v>
      </c>
      <c r="O131" s="24">
        <f t="shared" si="5"/>
        <v>1845.6299999999992</v>
      </c>
    </row>
    <row r="132" spans="9:15" x14ac:dyDescent="0.25">
      <c r="I132" s="14">
        <v>126</v>
      </c>
      <c r="K132" s="6">
        <v>7643.52</v>
      </c>
      <c r="L132" s="6"/>
      <c r="M132" s="6">
        <v>9865.68</v>
      </c>
      <c r="O132" s="24">
        <f t="shared" si="5"/>
        <v>2222.16</v>
      </c>
    </row>
    <row r="133" spans="9:15" x14ac:dyDescent="0.25">
      <c r="I133" s="14">
        <v>127</v>
      </c>
      <c r="K133" s="6">
        <v>7051.31</v>
      </c>
      <c r="L133" s="6"/>
      <c r="M133" s="6">
        <v>10157.11</v>
      </c>
      <c r="O133" s="24">
        <f t="shared" si="5"/>
        <v>3105.8</v>
      </c>
    </row>
    <row r="134" spans="9:15" x14ac:dyDescent="0.25">
      <c r="I134" s="14">
        <v>128</v>
      </c>
      <c r="K134" s="6">
        <v>6097.26</v>
      </c>
      <c r="L134" s="6"/>
      <c r="M134" s="6">
        <v>9296.0499999999993</v>
      </c>
      <c r="O134" s="24">
        <f t="shared" si="5"/>
        <v>3198.7899999999991</v>
      </c>
    </row>
    <row r="135" spans="9:15" x14ac:dyDescent="0.25">
      <c r="I135" s="14">
        <v>129</v>
      </c>
      <c r="K135" s="6">
        <v>5965.46</v>
      </c>
      <c r="L135" s="6"/>
      <c r="M135" s="6">
        <v>10274.549999999999</v>
      </c>
      <c r="O135" s="24">
        <f t="shared" si="5"/>
        <v>4309.0899999999992</v>
      </c>
    </row>
    <row r="136" spans="9:15" x14ac:dyDescent="0.25">
      <c r="I136" s="14">
        <v>130</v>
      </c>
      <c r="K136" s="6">
        <v>9389.5499999999993</v>
      </c>
      <c r="L136" s="6"/>
      <c r="M136" s="6">
        <v>9715.91</v>
      </c>
      <c r="O136" s="24">
        <f t="shared" ref="O136:O199" si="6">M136-K136</f>
        <v>326.36000000000058</v>
      </c>
    </row>
    <row r="137" spans="9:15" x14ac:dyDescent="0.25">
      <c r="I137" s="14">
        <v>131</v>
      </c>
      <c r="K137" s="6">
        <v>5946.4</v>
      </c>
      <c r="L137" s="6"/>
      <c r="M137" s="6">
        <v>10184.01</v>
      </c>
      <c r="O137" s="24">
        <f t="shared" si="6"/>
        <v>4237.6100000000006</v>
      </c>
    </row>
    <row r="138" spans="9:15" x14ac:dyDescent="0.25">
      <c r="I138" s="14">
        <v>132</v>
      </c>
      <c r="K138" s="6">
        <v>8073.95</v>
      </c>
      <c r="L138" s="6"/>
      <c r="M138" s="6">
        <v>10362.9</v>
      </c>
      <c r="O138" s="24">
        <f t="shared" si="6"/>
        <v>2288.9499999999998</v>
      </c>
    </row>
    <row r="139" spans="9:15" x14ac:dyDescent="0.25">
      <c r="I139" s="14">
        <v>133</v>
      </c>
      <c r="K139" s="6">
        <v>6374.76</v>
      </c>
      <c r="L139" s="6"/>
      <c r="M139" s="6">
        <v>10006.25</v>
      </c>
      <c r="O139" s="24">
        <f t="shared" si="6"/>
        <v>3631.49</v>
      </c>
    </row>
    <row r="140" spans="9:15" x14ac:dyDescent="0.25">
      <c r="I140" s="14">
        <v>134</v>
      </c>
      <c r="K140" s="6">
        <v>8140.22</v>
      </c>
      <c r="L140" s="6"/>
      <c r="M140" s="6">
        <v>9212.41</v>
      </c>
      <c r="O140" s="24">
        <f t="shared" si="6"/>
        <v>1072.1899999999996</v>
      </c>
    </row>
    <row r="141" spans="9:15" x14ac:dyDescent="0.25">
      <c r="I141" s="14">
        <v>135</v>
      </c>
      <c r="K141" s="6">
        <v>7595.56</v>
      </c>
      <c r="L141" s="6"/>
      <c r="M141" s="6">
        <v>9968.11</v>
      </c>
      <c r="O141" s="24">
        <f t="shared" si="6"/>
        <v>2372.5500000000002</v>
      </c>
    </row>
    <row r="142" spans="9:15" x14ac:dyDescent="0.25">
      <c r="I142" s="14">
        <v>136</v>
      </c>
      <c r="K142" s="6">
        <v>5931.59</v>
      </c>
      <c r="L142" s="6"/>
      <c r="M142" s="6">
        <v>10064.69</v>
      </c>
      <c r="O142" s="24">
        <f t="shared" si="6"/>
        <v>4133.1000000000004</v>
      </c>
    </row>
    <row r="143" spans="9:15" x14ac:dyDescent="0.25">
      <c r="I143" s="14">
        <v>137</v>
      </c>
      <c r="K143" s="6">
        <v>6767.66</v>
      </c>
      <c r="L143" s="6"/>
      <c r="M143" s="6">
        <v>9979.58</v>
      </c>
      <c r="O143" s="24">
        <f t="shared" si="6"/>
        <v>3211.92</v>
      </c>
    </row>
    <row r="144" spans="9:15" x14ac:dyDescent="0.25">
      <c r="I144" s="14">
        <v>138</v>
      </c>
      <c r="K144" s="6">
        <v>8255.86</v>
      </c>
      <c r="L144" s="6"/>
      <c r="M144" s="6">
        <v>9544.52</v>
      </c>
      <c r="O144" s="24">
        <f t="shared" si="6"/>
        <v>1288.6599999999999</v>
      </c>
    </row>
    <row r="145" spans="9:15" x14ac:dyDescent="0.25">
      <c r="I145" s="14">
        <v>139</v>
      </c>
      <c r="K145" s="6">
        <v>8471.58</v>
      </c>
      <c r="L145" s="6"/>
      <c r="M145" s="6">
        <v>9788.1299999999992</v>
      </c>
      <c r="O145" s="24">
        <f t="shared" si="6"/>
        <v>1316.5499999999993</v>
      </c>
    </row>
    <row r="146" spans="9:15" x14ac:dyDescent="0.25">
      <c r="I146" s="14">
        <v>140</v>
      </c>
      <c r="K146" s="6">
        <v>8064.73</v>
      </c>
      <c r="L146" s="6"/>
      <c r="M146" s="6">
        <v>10293.15</v>
      </c>
      <c r="O146" s="24">
        <f t="shared" si="6"/>
        <v>2228.42</v>
      </c>
    </row>
    <row r="147" spans="9:15" x14ac:dyDescent="0.25">
      <c r="I147" s="14">
        <v>141</v>
      </c>
      <c r="K147" s="6">
        <v>6369.96</v>
      </c>
      <c r="L147" s="6"/>
      <c r="M147" s="6">
        <v>9964.73</v>
      </c>
      <c r="O147" s="24">
        <f t="shared" si="6"/>
        <v>3594.7699999999995</v>
      </c>
    </row>
    <row r="148" spans="9:15" x14ac:dyDescent="0.25">
      <c r="I148" s="14">
        <v>142</v>
      </c>
      <c r="K148" s="6">
        <v>7315.39</v>
      </c>
      <c r="L148" s="6"/>
      <c r="M148" s="6">
        <v>9994.9500000000007</v>
      </c>
      <c r="O148" s="24">
        <f t="shared" si="6"/>
        <v>2679.5600000000004</v>
      </c>
    </row>
    <row r="149" spans="9:15" x14ac:dyDescent="0.25">
      <c r="I149" s="14">
        <v>143</v>
      </c>
      <c r="K149" s="6">
        <v>7683.79</v>
      </c>
      <c r="L149" s="6"/>
      <c r="M149" s="6">
        <v>9622.65</v>
      </c>
      <c r="O149" s="24">
        <f t="shared" si="6"/>
        <v>1938.8599999999997</v>
      </c>
    </row>
    <row r="150" spans="9:15" x14ac:dyDescent="0.25">
      <c r="I150" s="14">
        <v>144</v>
      </c>
      <c r="K150" s="6">
        <v>5755.69</v>
      </c>
      <c r="L150" s="6"/>
      <c r="M150" s="6">
        <v>10456.629999999999</v>
      </c>
      <c r="O150" s="24">
        <f t="shared" si="6"/>
        <v>4700.9399999999996</v>
      </c>
    </row>
    <row r="151" spans="9:15" x14ac:dyDescent="0.25">
      <c r="I151" s="14">
        <v>145</v>
      </c>
      <c r="K151" s="6">
        <v>8295.18</v>
      </c>
      <c r="L151" s="6"/>
      <c r="M151" s="6">
        <v>9492.86</v>
      </c>
      <c r="O151" s="24">
        <f t="shared" si="6"/>
        <v>1197.6800000000003</v>
      </c>
    </row>
    <row r="152" spans="9:15" x14ac:dyDescent="0.25">
      <c r="I152" s="14">
        <v>146</v>
      </c>
      <c r="K152" s="6">
        <v>6974.42</v>
      </c>
      <c r="L152" s="6"/>
      <c r="M152" s="6">
        <v>10272.35</v>
      </c>
      <c r="O152" s="24">
        <f t="shared" si="6"/>
        <v>3297.9300000000003</v>
      </c>
    </row>
    <row r="153" spans="9:15" x14ac:dyDescent="0.25">
      <c r="I153" s="14">
        <v>147</v>
      </c>
      <c r="K153" s="6">
        <v>8446.59</v>
      </c>
      <c r="L153" s="6"/>
      <c r="M153" s="6">
        <v>9645.65</v>
      </c>
      <c r="O153" s="24">
        <f t="shared" si="6"/>
        <v>1199.0599999999995</v>
      </c>
    </row>
    <row r="154" spans="9:15" x14ac:dyDescent="0.25">
      <c r="I154" s="14">
        <v>148</v>
      </c>
      <c r="K154" s="6">
        <v>6136.84</v>
      </c>
      <c r="L154" s="6"/>
      <c r="M154" s="6">
        <v>9013.61</v>
      </c>
      <c r="O154" s="24">
        <f t="shared" si="6"/>
        <v>2876.7700000000004</v>
      </c>
    </row>
    <row r="155" spans="9:15" x14ac:dyDescent="0.25">
      <c r="I155" s="14">
        <v>149</v>
      </c>
      <c r="K155" s="6">
        <v>8109.62</v>
      </c>
      <c r="L155" s="6"/>
      <c r="M155" s="6">
        <v>10608.28</v>
      </c>
      <c r="O155" s="24">
        <f t="shared" si="6"/>
        <v>2498.6600000000008</v>
      </c>
    </row>
    <row r="156" spans="9:15" x14ac:dyDescent="0.25">
      <c r="I156" s="14">
        <v>150</v>
      </c>
      <c r="K156" s="6">
        <v>6796.13</v>
      </c>
      <c r="L156" s="6"/>
      <c r="M156" s="6">
        <v>9722.5499999999993</v>
      </c>
      <c r="O156" s="24">
        <f t="shared" si="6"/>
        <v>2926.4199999999992</v>
      </c>
    </row>
    <row r="157" spans="9:15" x14ac:dyDescent="0.25">
      <c r="I157" s="14">
        <v>151</v>
      </c>
      <c r="K157" s="6">
        <v>6676.32</v>
      </c>
      <c r="L157" s="6"/>
      <c r="M157" s="6">
        <v>9754.6</v>
      </c>
      <c r="O157" s="24">
        <f t="shared" si="6"/>
        <v>3078.2800000000007</v>
      </c>
    </row>
    <row r="158" spans="9:15" x14ac:dyDescent="0.25">
      <c r="I158" s="14">
        <v>152</v>
      </c>
      <c r="K158" s="6">
        <v>5491.18</v>
      </c>
      <c r="L158" s="6"/>
      <c r="M158" s="6">
        <v>10293.790000000001</v>
      </c>
      <c r="O158" s="24">
        <f t="shared" si="6"/>
        <v>4802.6100000000006</v>
      </c>
    </row>
    <row r="159" spans="9:15" x14ac:dyDescent="0.25">
      <c r="I159" s="14">
        <v>153</v>
      </c>
      <c r="K159" s="6">
        <v>6500.77</v>
      </c>
      <c r="L159" s="6"/>
      <c r="M159" s="6">
        <v>9714</v>
      </c>
      <c r="O159" s="24">
        <f t="shared" si="6"/>
        <v>3213.2299999999996</v>
      </c>
    </row>
    <row r="160" spans="9:15" x14ac:dyDescent="0.25">
      <c r="I160" s="14">
        <v>154</v>
      </c>
      <c r="K160" s="6">
        <v>5931.07</v>
      </c>
      <c r="L160" s="6"/>
      <c r="M160" s="6">
        <v>9694.35</v>
      </c>
      <c r="O160" s="24">
        <f t="shared" si="6"/>
        <v>3763.2800000000007</v>
      </c>
    </row>
    <row r="161" spans="9:15" x14ac:dyDescent="0.25">
      <c r="I161" s="14">
        <v>155</v>
      </c>
      <c r="K161" s="6">
        <v>5717.79</v>
      </c>
      <c r="L161" s="6"/>
      <c r="M161" s="6">
        <v>9799.51</v>
      </c>
      <c r="O161" s="24">
        <f t="shared" si="6"/>
        <v>4081.7200000000003</v>
      </c>
    </row>
    <row r="162" spans="9:15" x14ac:dyDescent="0.25">
      <c r="I162" s="14">
        <v>156</v>
      </c>
      <c r="K162" s="6">
        <v>6470.57</v>
      </c>
      <c r="L162" s="6"/>
      <c r="M162" s="6">
        <v>10193.42</v>
      </c>
      <c r="O162" s="24">
        <f t="shared" si="6"/>
        <v>3722.8500000000004</v>
      </c>
    </row>
    <row r="163" spans="9:15" x14ac:dyDescent="0.25">
      <c r="I163" s="14">
        <v>157</v>
      </c>
      <c r="K163" s="6">
        <v>6473.42</v>
      </c>
      <c r="L163" s="6"/>
      <c r="M163" s="6">
        <v>10864.85</v>
      </c>
      <c r="O163" s="24">
        <f t="shared" si="6"/>
        <v>4391.43</v>
      </c>
    </row>
    <row r="164" spans="9:15" x14ac:dyDescent="0.25">
      <c r="I164" s="14">
        <v>158</v>
      </c>
      <c r="K164" s="6">
        <v>6849.95</v>
      </c>
      <c r="L164" s="6"/>
      <c r="M164" s="6">
        <v>10179.530000000001</v>
      </c>
      <c r="O164" s="24">
        <f t="shared" si="6"/>
        <v>3329.5800000000008</v>
      </c>
    </row>
    <row r="165" spans="9:15" x14ac:dyDescent="0.25">
      <c r="I165" s="14">
        <v>159</v>
      </c>
      <c r="K165" s="6">
        <v>6916.54</v>
      </c>
      <c r="L165" s="6"/>
      <c r="M165" s="6">
        <v>9483.34</v>
      </c>
      <c r="O165" s="24">
        <f t="shared" si="6"/>
        <v>2566.8000000000002</v>
      </c>
    </row>
    <row r="166" spans="9:15" x14ac:dyDescent="0.25">
      <c r="I166" s="14">
        <v>160</v>
      </c>
      <c r="K166" s="6">
        <v>7510.1</v>
      </c>
      <c r="L166" s="6"/>
      <c r="M166" s="6">
        <v>9463.01</v>
      </c>
      <c r="O166" s="24">
        <f t="shared" si="6"/>
        <v>1952.9099999999999</v>
      </c>
    </row>
    <row r="167" spans="9:15" x14ac:dyDescent="0.25">
      <c r="I167" s="14">
        <v>161</v>
      </c>
      <c r="K167" s="6">
        <v>5995.15</v>
      </c>
      <c r="L167" s="6"/>
      <c r="M167" s="6">
        <v>9596.2800000000007</v>
      </c>
      <c r="O167" s="24">
        <f t="shared" si="6"/>
        <v>3601.130000000001</v>
      </c>
    </row>
    <row r="168" spans="9:15" x14ac:dyDescent="0.25">
      <c r="I168" s="14">
        <v>162</v>
      </c>
      <c r="K168" s="6">
        <v>8419.24</v>
      </c>
      <c r="L168" s="6"/>
      <c r="M168" s="6">
        <v>10435.83</v>
      </c>
      <c r="O168" s="24">
        <f t="shared" si="6"/>
        <v>2016.5900000000001</v>
      </c>
    </row>
    <row r="169" spans="9:15" x14ac:dyDescent="0.25">
      <c r="I169" s="14">
        <v>163</v>
      </c>
      <c r="K169" s="6">
        <v>9911.32</v>
      </c>
      <c r="L169" s="6"/>
      <c r="M169" s="6">
        <v>9846.74</v>
      </c>
      <c r="O169" s="24">
        <f t="shared" si="6"/>
        <v>-64.579999999999927</v>
      </c>
    </row>
    <row r="170" spans="9:15" x14ac:dyDescent="0.25">
      <c r="I170" s="14">
        <v>164</v>
      </c>
      <c r="K170" s="6">
        <v>10187.040000000001</v>
      </c>
      <c r="L170" s="6"/>
      <c r="M170" s="6">
        <v>9473.08</v>
      </c>
      <c r="O170" s="24">
        <f t="shared" si="6"/>
        <v>-713.96000000000095</v>
      </c>
    </row>
    <row r="171" spans="9:15" x14ac:dyDescent="0.25">
      <c r="I171" s="14">
        <v>165</v>
      </c>
      <c r="K171" s="6">
        <v>7410.11</v>
      </c>
      <c r="L171" s="6"/>
      <c r="M171" s="6">
        <v>9498</v>
      </c>
      <c r="O171" s="24">
        <f t="shared" si="6"/>
        <v>2087.8900000000003</v>
      </c>
    </row>
    <row r="172" spans="9:15" x14ac:dyDescent="0.25">
      <c r="I172" s="14">
        <v>166</v>
      </c>
      <c r="K172" s="6">
        <v>5609.41</v>
      </c>
      <c r="L172" s="6"/>
      <c r="M172" s="6">
        <v>9653.4</v>
      </c>
      <c r="O172" s="24">
        <f t="shared" si="6"/>
        <v>4043.99</v>
      </c>
    </row>
    <row r="173" spans="9:15" x14ac:dyDescent="0.25">
      <c r="I173" s="14">
        <v>167</v>
      </c>
      <c r="K173" s="6">
        <v>5844.37</v>
      </c>
      <c r="L173" s="6"/>
      <c r="M173" s="6">
        <v>10216.49</v>
      </c>
      <c r="O173" s="24">
        <f t="shared" si="6"/>
        <v>4372.12</v>
      </c>
    </row>
    <row r="174" spans="9:15" x14ac:dyDescent="0.25">
      <c r="I174" s="14">
        <v>168</v>
      </c>
      <c r="K174" s="6">
        <v>6300.87</v>
      </c>
      <c r="L174" s="6"/>
      <c r="M174" s="6">
        <v>9952.49</v>
      </c>
      <c r="O174" s="24">
        <f t="shared" si="6"/>
        <v>3651.62</v>
      </c>
    </row>
    <row r="175" spans="9:15" x14ac:dyDescent="0.25">
      <c r="I175" s="14">
        <v>169</v>
      </c>
      <c r="K175" s="6">
        <v>5768.01</v>
      </c>
      <c r="L175" s="6"/>
      <c r="M175" s="6">
        <v>9266.43</v>
      </c>
      <c r="O175" s="24">
        <f t="shared" si="6"/>
        <v>3498.42</v>
      </c>
    </row>
    <row r="176" spans="9:15" x14ac:dyDescent="0.25">
      <c r="I176" s="14">
        <v>170</v>
      </c>
      <c r="K176" s="6">
        <v>6456.14</v>
      </c>
      <c r="L176" s="6"/>
      <c r="M176" s="6">
        <v>10525.96</v>
      </c>
      <c r="O176" s="24">
        <f t="shared" si="6"/>
        <v>4069.8199999999988</v>
      </c>
    </row>
    <row r="177" spans="9:15" x14ac:dyDescent="0.25">
      <c r="I177" s="14">
        <v>171</v>
      </c>
      <c r="K177" s="6">
        <v>6390.78</v>
      </c>
      <c r="L177" s="6"/>
      <c r="M177" s="6">
        <v>9551.77</v>
      </c>
      <c r="O177" s="24">
        <f t="shared" si="6"/>
        <v>3160.9900000000007</v>
      </c>
    </row>
    <row r="178" spans="9:15" x14ac:dyDescent="0.25">
      <c r="I178" s="14">
        <v>172</v>
      </c>
      <c r="K178" s="6">
        <v>7156.4</v>
      </c>
      <c r="L178" s="6"/>
      <c r="M178" s="6">
        <v>9755.91</v>
      </c>
      <c r="O178" s="24">
        <f t="shared" si="6"/>
        <v>2599.5100000000002</v>
      </c>
    </row>
    <row r="179" spans="9:15" x14ac:dyDescent="0.25">
      <c r="I179" s="14">
        <v>173</v>
      </c>
      <c r="K179" s="6">
        <v>7968.9</v>
      </c>
      <c r="L179" s="6"/>
      <c r="M179" s="6">
        <v>9647.44</v>
      </c>
      <c r="O179" s="24">
        <f t="shared" si="6"/>
        <v>1678.5400000000009</v>
      </c>
    </row>
    <row r="180" spans="9:15" x14ac:dyDescent="0.25">
      <c r="I180" s="14">
        <v>174</v>
      </c>
      <c r="K180" s="6">
        <v>7496.39</v>
      </c>
      <c r="L180" s="6"/>
      <c r="M180" s="6">
        <v>9391.5</v>
      </c>
      <c r="O180" s="24">
        <f t="shared" si="6"/>
        <v>1895.1099999999997</v>
      </c>
    </row>
    <row r="181" spans="9:15" x14ac:dyDescent="0.25">
      <c r="I181" s="14">
        <v>175</v>
      </c>
      <c r="K181" s="6">
        <v>9332.5</v>
      </c>
      <c r="L181" s="6"/>
      <c r="M181" s="6">
        <v>10517.22</v>
      </c>
      <c r="O181" s="24">
        <f t="shared" si="6"/>
        <v>1184.7199999999993</v>
      </c>
    </row>
    <row r="182" spans="9:15" x14ac:dyDescent="0.25">
      <c r="I182" s="14">
        <v>176</v>
      </c>
      <c r="K182" s="6">
        <v>7096.7</v>
      </c>
      <c r="L182" s="6"/>
      <c r="M182" s="6">
        <v>10313.09</v>
      </c>
      <c r="O182" s="24">
        <f t="shared" si="6"/>
        <v>3216.3900000000003</v>
      </c>
    </row>
    <row r="183" spans="9:15" x14ac:dyDescent="0.25">
      <c r="I183" s="14">
        <v>177</v>
      </c>
      <c r="K183" s="6">
        <v>7504.31</v>
      </c>
      <c r="L183" s="6"/>
      <c r="M183" s="6">
        <v>9738.4500000000007</v>
      </c>
      <c r="O183" s="24">
        <f t="shared" si="6"/>
        <v>2234.1400000000003</v>
      </c>
    </row>
    <row r="184" spans="9:15" x14ac:dyDescent="0.25">
      <c r="I184" s="14">
        <v>178</v>
      </c>
      <c r="K184" s="6">
        <v>6398.93</v>
      </c>
      <c r="L184" s="6"/>
      <c r="M184" s="6">
        <v>8815.5300000000007</v>
      </c>
      <c r="O184" s="24">
        <f t="shared" si="6"/>
        <v>2416.6000000000004</v>
      </c>
    </row>
    <row r="185" spans="9:15" x14ac:dyDescent="0.25">
      <c r="I185" s="14">
        <v>179</v>
      </c>
      <c r="K185" s="6">
        <v>7394.13</v>
      </c>
      <c r="L185" s="6"/>
      <c r="M185" s="6">
        <v>9877.0499999999993</v>
      </c>
      <c r="O185" s="24">
        <f t="shared" si="6"/>
        <v>2482.9199999999992</v>
      </c>
    </row>
    <row r="186" spans="9:15" x14ac:dyDescent="0.25">
      <c r="I186" s="14">
        <v>180</v>
      </c>
      <c r="K186" s="6">
        <v>6756.03</v>
      </c>
      <c r="L186" s="6"/>
      <c r="M186" s="6">
        <v>10358.94</v>
      </c>
      <c r="O186" s="24">
        <f t="shared" si="6"/>
        <v>3602.9100000000008</v>
      </c>
    </row>
    <row r="187" spans="9:15" x14ac:dyDescent="0.25">
      <c r="I187" s="14">
        <v>181</v>
      </c>
      <c r="K187" s="6">
        <v>7604.51</v>
      </c>
      <c r="L187" s="6"/>
      <c r="M187" s="6">
        <v>9322.75</v>
      </c>
      <c r="O187" s="24">
        <f t="shared" si="6"/>
        <v>1718.2399999999998</v>
      </c>
    </row>
    <row r="188" spans="9:15" x14ac:dyDescent="0.25">
      <c r="I188" s="14">
        <v>182</v>
      </c>
      <c r="K188" s="6">
        <v>7060.9</v>
      </c>
      <c r="L188" s="6"/>
      <c r="M188" s="6">
        <v>9470.89</v>
      </c>
      <c r="O188" s="24">
        <f t="shared" si="6"/>
        <v>2409.9899999999998</v>
      </c>
    </row>
    <row r="189" spans="9:15" x14ac:dyDescent="0.25">
      <c r="I189" s="14">
        <v>183</v>
      </c>
      <c r="K189" s="6">
        <v>7002.59</v>
      </c>
      <c r="L189" s="6"/>
      <c r="M189" s="6">
        <v>9998.7800000000007</v>
      </c>
      <c r="O189" s="24">
        <f t="shared" si="6"/>
        <v>2996.1900000000005</v>
      </c>
    </row>
    <row r="190" spans="9:15" x14ac:dyDescent="0.25">
      <c r="I190" s="14">
        <v>184</v>
      </c>
      <c r="K190" s="6">
        <v>8422.41</v>
      </c>
      <c r="L190" s="6"/>
      <c r="M190" s="6">
        <v>9712.42</v>
      </c>
      <c r="O190" s="24">
        <f t="shared" si="6"/>
        <v>1290.0100000000002</v>
      </c>
    </row>
    <row r="191" spans="9:15" x14ac:dyDescent="0.25">
      <c r="I191" s="14">
        <v>185</v>
      </c>
      <c r="K191" s="6">
        <v>6365.5</v>
      </c>
      <c r="L191" s="6"/>
      <c r="M191" s="6">
        <v>8813.7099999999991</v>
      </c>
      <c r="O191" s="24">
        <f t="shared" si="6"/>
        <v>2448.2099999999991</v>
      </c>
    </row>
    <row r="192" spans="9:15" x14ac:dyDescent="0.25">
      <c r="I192" s="14">
        <v>186</v>
      </c>
      <c r="K192" s="6">
        <v>6078.36</v>
      </c>
      <c r="L192" s="6"/>
      <c r="M192" s="6">
        <v>10329.42</v>
      </c>
      <c r="O192" s="24">
        <f t="shared" si="6"/>
        <v>4251.0600000000004</v>
      </c>
    </row>
    <row r="193" spans="9:15" x14ac:dyDescent="0.25">
      <c r="I193" s="14">
        <v>187</v>
      </c>
      <c r="K193" s="6">
        <v>9104.77</v>
      </c>
      <c r="L193" s="6"/>
      <c r="M193" s="6">
        <v>10088.82</v>
      </c>
      <c r="O193" s="24">
        <f t="shared" si="6"/>
        <v>984.04999999999927</v>
      </c>
    </row>
    <row r="194" spans="9:15" x14ac:dyDescent="0.25">
      <c r="I194" s="14">
        <v>188</v>
      </c>
      <c r="K194" s="6">
        <v>7515.85</v>
      </c>
      <c r="L194" s="6"/>
      <c r="M194" s="6">
        <v>9914.76</v>
      </c>
      <c r="O194" s="24">
        <f t="shared" si="6"/>
        <v>2398.91</v>
      </c>
    </row>
    <row r="195" spans="9:15" x14ac:dyDescent="0.25">
      <c r="I195" s="14">
        <v>189</v>
      </c>
      <c r="K195" s="6">
        <v>7142.41</v>
      </c>
      <c r="L195" s="6"/>
      <c r="M195" s="6">
        <v>9769.19</v>
      </c>
      <c r="O195" s="24">
        <f t="shared" si="6"/>
        <v>2626.7800000000007</v>
      </c>
    </row>
    <row r="196" spans="9:15" x14ac:dyDescent="0.25">
      <c r="I196" s="14">
        <v>190</v>
      </c>
      <c r="K196" s="6">
        <v>7150.35</v>
      </c>
      <c r="L196" s="6"/>
      <c r="M196" s="6">
        <v>10059.93</v>
      </c>
      <c r="O196" s="24">
        <f t="shared" si="6"/>
        <v>2909.58</v>
      </c>
    </row>
    <row r="197" spans="9:15" x14ac:dyDescent="0.25">
      <c r="I197" s="14">
        <v>191</v>
      </c>
      <c r="K197" s="6">
        <v>8160.13</v>
      </c>
      <c r="L197" s="6"/>
      <c r="M197" s="6">
        <v>9737.7099999999991</v>
      </c>
      <c r="O197" s="24">
        <f t="shared" si="6"/>
        <v>1577.579999999999</v>
      </c>
    </row>
    <row r="198" spans="9:15" x14ac:dyDescent="0.25">
      <c r="I198" s="14">
        <v>192</v>
      </c>
      <c r="K198" s="6">
        <v>5957.3</v>
      </c>
      <c r="L198" s="6"/>
      <c r="M198" s="6">
        <v>9363.44</v>
      </c>
      <c r="O198" s="24">
        <f t="shared" si="6"/>
        <v>3406.1400000000003</v>
      </c>
    </row>
    <row r="199" spans="9:15" x14ac:dyDescent="0.25">
      <c r="I199" s="14">
        <v>193</v>
      </c>
      <c r="K199" s="6">
        <v>6400.26</v>
      </c>
      <c r="L199" s="6"/>
      <c r="M199" s="6">
        <v>9948.2099999999991</v>
      </c>
      <c r="O199" s="24">
        <f t="shared" si="6"/>
        <v>3547.9499999999989</v>
      </c>
    </row>
    <row r="200" spans="9:15" x14ac:dyDescent="0.25">
      <c r="I200" s="14">
        <v>194</v>
      </c>
      <c r="K200" s="6">
        <v>5948.24</v>
      </c>
      <c r="L200" s="6"/>
      <c r="M200" s="6">
        <v>9784.7099999999991</v>
      </c>
      <c r="O200" s="24">
        <f t="shared" ref="O200:O263" si="7">M200-K200</f>
        <v>3836.4699999999993</v>
      </c>
    </row>
    <row r="201" spans="9:15" x14ac:dyDescent="0.25">
      <c r="I201" s="14">
        <v>195</v>
      </c>
      <c r="K201" s="6">
        <v>6288.79</v>
      </c>
      <c r="L201" s="6"/>
      <c r="M201" s="6">
        <v>10100.01</v>
      </c>
      <c r="O201" s="24">
        <f t="shared" si="7"/>
        <v>3811.2200000000003</v>
      </c>
    </row>
    <row r="202" spans="9:15" x14ac:dyDescent="0.25">
      <c r="I202" s="14">
        <v>196</v>
      </c>
      <c r="K202" s="6">
        <v>9713.8799999999992</v>
      </c>
      <c r="L202" s="6"/>
      <c r="M202" s="6">
        <v>9177.25</v>
      </c>
      <c r="O202" s="24">
        <f t="shared" si="7"/>
        <v>-536.6299999999992</v>
      </c>
    </row>
    <row r="203" spans="9:15" x14ac:dyDescent="0.25">
      <c r="I203" s="14">
        <v>197</v>
      </c>
      <c r="K203" s="6">
        <v>8287.08</v>
      </c>
      <c r="L203" s="6"/>
      <c r="M203" s="6">
        <v>10701.89</v>
      </c>
      <c r="O203" s="24">
        <f t="shared" si="7"/>
        <v>2414.8099999999995</v>
      </c>
    </row>
    <row r="204" spans="9:15" x14ac:dyDescent="0.25">
      <c r="I204" s="14">
        <v>198</v>
      </c>
      <c r="K204" s="6">
        <v>8879.4</v>
      </c>
      <c r="L204" s="6"/>
      <c r="M204" s="6">
        <v>9428.2999999999993</v>
      </c>
      <c r="O204" s="24">
        <f t="shared" si="7"/>
        <v>548.89999999999964</v>
      </c>
    </row>
    <row r="205" spans="9:15" x14ac:dyDescent="0.25">
      <c r="I205" s="14">
        <v>199</v>
      </c>
      <c r="K205" s="6">
        <v>8506.66</v>
      </c>
      <c r="L205" s="6"/>
      <c r="M205" s="6">
        <v>10216.700000000001</v>
      </c>
      <c r="O205" s="24">
        <f t="shared" si="7"/>
        <v>1710.0400000000009</v>
      </c>
    </row>
    <row r="206" spans="9:15" x14ac:dyDescent="0.25">
      <c r="I206" s="14">
        <v>200</v>
      </c>
      <c r="K206" s="6">
        <v>9304.0300000000007</v>
      </c>
      <c r="L206" s="6"/>
      <c r="M206" s="6">
        <v>10171.1</v>
      </c>
      <c r="O206" s="24">
        <f t="shared" si="7"/>
        <v>867.06999999999971</v>
      </c>
    </row>
    <row r="207" spans="9:15" x14ac:dyDescent="0.25">
      <c r="I207" s="14">
        <v>201</v>
      </c>
      <c r="K207" s="6">
        <v>7666.68</v>
      </c>
      <c r="L207" s="6"/>
      <c r="M207" s="6">
        <v>10317.91</v>
      </c>
      <c r="O207" s="24">
        <f t="shared" si="7"/>
        <v>2651.2299999999996</v>
      </c>
    </row>
    <row r="208" spans="9:15" x14ac:dyDescent="0.25">
      <c r="I208" s="14">
        <v>202</v>
      </c>
      <c r="K208" s="6">
        <v>9552.7000000000007</v>
      </c>
      <c r="L208" s="6"/>
      <c r="M208" s="6">
        <v>9919.27</v>
      </c>
      <c r="O208" s="24">
        <f t="shared" si="7"/>
        <v>366.56999999999971</v>
      </c>
    </row>
    <row r="209" spans="9:15" x14ac:dyDescent="0.25">
      <c r="I209" s="14">
        <v>203</v>
      </c>
      <c r="K209" s="6">
        <v>6796.29</v>
      </c>
      <c r="L209" s="6"/>
      <c r="M209" s="6">
        <v>9864.4</v>
      </c>
      <c r="O209" s="24">
        <f t="shared" si="7"/>
        <v>3068.1099999999997</v>
      </c>
    </row>
    <row r="210" spans="9:15" x14ac:dyDescent="0.25">
      <c r="I210" s="14">
        <v>204</v>
      </c>
      <c r="K210" s="6">
        <v>10642.79</v>
      </c>
      <c r="L210" s="6"/>
      <c r="M210" s="6">
        <v>10112.370000000001</v>
      </c>
      <c r="O210" s="24">
        <f t="shared" si="7"/>
        <v>-530.42000000000007</v>
      </c>
    </row>
    <row r="211" spans="9:15" x14ac:dyDescent="0.25">
      <c r="I211" s="14">
        <v>205</v>
      </c>
      <c r="K211" s="6">
        <v>6899.15</v>
      </c>
      <c r="L211" s="6"/>
      <c r="M211" s="6">
        <v>10529.75</v>
      </c>
      <c r="O211" s="24">
        <f t="shared" si="7"/>
        <v>3630.6000000000004</v>
      </c>
    </row>
    <row r="212" spans="9:15" x14ac:dyDescent="0.25">
      <c r="I212" s="14">
        <v>206</v>
      </c>
      <c r="K212" s="6">
        <v>5951.61</v>
      </c>
      <c r="L212" s="6"/>
      <c r="M212" s="6">
        <v>9550.84</v>
      </c>
      <c r="O212" s="24">
        <f t="shared" si="7"/>
        <v>3599.2300000000005</v>
      </c>
    </row>
    <row r="213" spans="9:15" x14ac:dyDescent="0.25">
      <c r="I213" s="14">
        <v>207</v>
      </c>
      <c r="K213" s="6">
        <v>7520.1</v>
      </c>
      <c r="L213" s="6"/>
      <c r="M213" s="6">
        <v>9522.44</v>
      </c>
      <c r="O213" s="24">
        <f t="shared" si="7"/>
        <v>2002.3400000000001</v>
      </c>
    </row>
    <row r="214" spans="9:15" x14ac:dyDescent="0.25">
      <c r="I214" s="14">
        <v>208</v>
      </c>
      <c r="K214" s="6">
        <v>7313.64</v>
      </c>
      <c r="L214" s="6"/>
      <c r="M214" s="6">
        <v>11118.52</v>
      </c>
      <c r="O214" s="24">
        <f t="shared" si="7"/>
        <v>3804.88</v>
      </c>
    </row>
    <row r="215" spans="9:15" x14ac:dyDescent="0.25">
      <c r="I215" s="14">
        <v>209</v>
      </c>
      <c r="K215" s="6">
        <v>6832.06</v>
      </c>
      <c r="L215" s="6"/>
      <c r="M215" s="6">
        <v>10657.43</v>
      </c>
      <c r="O215" s="24">
        <f t="shared" si="7"/>
        <v>3825.37</v>
      </c>
    </row>
    <row r="216" spans="9:15" x14ac:dyDescent="0.25">
      <c r="I216" s="14">
        <v>210</v>
      </c>
      <c r="K216" s="6">
        <v>6736.24</v>
      </c>
      <c r="L216" s="6"/>
      <c r="M216" s="6">
        <v>9017.69</v>
      </c>
      <c r="O216" s="24">
        <f t="shared" si="7"/>
        <v>2281.4500000000007</v>
      </c>
    </row>
    <row r="217" spans="9:15" x14ac:dyDescent="0.25">
      <c r="I217" s="14">
        <v>211</v>
      </c>
      <c r="K217" s="6">
        <v>10614.12</v>
      </c>
      <c r="L217" s="6"/>
      <c r="M217" s="6">
        <v>9569.1</v>
      </c>
      <c r="O217" s="24">
        <f t="shared" si="7"/>
        <v>-1045.0200000000004</v>
      </c>
    </row>
    <row r="218" spans="9:15" x14ac:dyDescent="0.25">
      <c r="I218" s="14">
        <v>212</v>
      </c>
      <c r="K218" s="6">
        <v>9507.94</v>
      </c>
      <c r="L218" s="6"/>
      <c r="M218" s="6">
        <v>9968.99</v>
      </c>
      <c r="O218" s="24">
        <f t="shared" si="7"/>
        <v>461.04999999999927</v>
      </c>
    </row>
    <row r="219" spans="9:15" x14ac:dyDescent="0.25">
      <c r="I219" s="14">
        <v>213</v>
      </c>
      <c r="K219" s="6">
        <v>6039.2</v>
      </c>
      <c r="L219" s="6"/>
      <c r="M219" s="6">
        <v>9760.57</v>
      </c>
      <c r="O219" s="24">
        <f t="shared" si="7"/>
        <v>3721.37</v>
      </c>
    </row>
    <row r="220" spans="9:15" x14ac:dyDescent="0.25">
      <c r="I220" s="14">
        <v>214</v>
      </c>
      <c r="K220" s="6">
        <v>7238.82</v>
      </c>
      <c r="L220" s="6"/>
      <c r="M220" s="6">
        <v>9427.39</v>
      </c>
      <c r="O220" s="24">
        <f t="shared" si="7"/>
        <v>2188.5699999999997</v>
      </c>
    </row>
    <row r="221" spans="9:15" x14ac:dyDescent="0.25">
      <c r="I221" s="14">
        <v>215</v>
      </c>
      <c r="K221" s="6">
        <v>6040.99</v>
      </c>
      <c r="L221" s="6"/>
      <c r="M221" s="6">
        <v>10002.9</v>
      </c>
      <c r="O221" s="24">
        <f t="shared" si="7"/>
        <v>3961.91</v>
      </c>
    </row>
    <row r="222" spans="9:15" x14ac:dyDescent="0.25">
      <c r="I222" s="14">
        <v>216</v>
      </c>
      <c r="K222" s="6">
        <v>5948.76</v>
      </c>
      <c r="L222" s="6"/>
      <c r="M222" s="6">
        <v>10245.14</v>
      </c>
      <c r="O222" s="24">
        <f t="shared" si="7"/>
        <v>4296.3799999999992</v>
      </c>
    </row>
    <row r="223" spans="9:15" x14ac:dyDescent="0.25">
      <c r="I223" s="14">
        <v>217</v>
      </c>
      <c r="K223" s="6">
        <v>6880.59</v>
      </c>
      <c r="L223" s="6"/>
      <c r="M223" s="6">
        <v>10387.94</v>
      </c>
      <c r="O223" s="24">
        <f t="shared" si="7"/>
        <v>3507.3500000000004</v>
      </c>
    </row>
    <row r="224" spans="9:15" x14ac:dyDescent="0.25">
      <c r="I224" s="14">
        <v>218</v>
      </c>
      <c r="K224" s="6">
        <v>8356.93</v>
      </c>
      <c r="L224" s="6"/>
      <c r="M224" s="6">
        <v>9906.5300000000007</v>
      </c>
      <c r="O224" s="24">
        <f t="shared" si="7"/>
        <v>1549.6000000000004</v>
      </c>
    </row>
    <row r="225" spans="9:15" x14ac:dyDescent="0.25">
      <c r="I225" s="14">
        <v>219</v>
      </c>
      <c r="K225" s="6">
        <v>5587.91</v>
      </c>
      <c r="L225" s="6"/>
      <c r="M225" s="6">
        <v>9645.73</v>
      </c>
      <c r="O225" s="24">
        <f t="shared" si="7"/>
        <v>4057.8199999999997</v>
      </c>
    </row>
    <row r="226" spans="9:15" x14ac:dyDescent="0.25">
      <c r="I226" s="14">
        <v>220</v>
      </c>
      <c r="K226" s="6">
        <v>6179.15</v>
      </c>
      <c r="L226" s="6"/>
      <c r="M226" s="6">
        <v>9901.4699999999993</v>
      </c>
      <c r="O226" s="24">
        <f t="shared" si="7"/>
        <v>3722.3199999999997</v>
      </c>
    </row>
    <row r="227" spans="9:15" x14ac:dyDescent="0.25">
      <c r="I227" s="14">
        <v>221</v>
      </c>
      <c r="K227" s="6">
        <v>6359.09</v>
      </c>
      <c r="L227" s="6"/>
      <c r="M227" s="6">
        <v>10970.84</v>
      </c>
      <c r="O227" s="24">
        <f t="shared" si="7"/>
        <v>4611.75</v>
      </c>
    </row>
    <row r="228" spans="9:15" x14ac:dyDescent="0.25">
      <c r="I228" s="14">
        <v>222</v>
      </c>
      <c r="K228" s="6">
        <v>7927.01</v>
      </c>
      <c r="L228" s="6"/>
      <c r="M228" s="6">
        <v>10772.04</v>
      </c>
      <c r="O228" s="24">
        <f t="shared" si="7"/>
        <v>2845.0300000000007</v>
      </c>
    </row>
    <row r="229" spans="9:15" x14ac:dyDescent="0.25">
      <c r="I229" s="14">
        <v>223</v>
      </c>
      <c r="K229" s="6">
        <v>6477</v>
      </c>
      <c r="L229" s="6"/>
      <c r="M229" s="6">
        <v>10095.65</v>
      </c>
      <c r="O229" s="24">
        <f t="shared" si="7"/>
        <v>3618.6499999999996</v>
      </c>
    </row>
    <row r="230" spans="9:15" x14ac:dyDescent="0.25">
      <c r="I230" s="14">
        <v>224</v>
      </c>
      <c r="K230" s="6">
        <v>5783.73</v>
      </c>
      <c r="L230" s="6"/>
      <c r="M230" s="6">
        <v>10362.02</v>
      </c>
      <c r="O230" s="24">
        <f t="shared" si="7"/>
        <v>4578.2900000000009</v>
      </c>
    </row>
    <row r="231" spans="9:15" x14ac:dyDescent="0.25">
      <c r="I231" s="14">
        <v>225</v>
      </c>
      <c r="K231" s="6">
        <v>7050.62</v>
      </c>
      <c r="L231" s="6"/>
      <c r="M231" s="6">
        <v>9526.98</v>
      </c>
      <c r="O231" s="24">
        <f t="shared" si="7"/>
        <v>2476.3599999999997</v>
      </c>
    </row>
    <row r="232" spans="9:15" x14ac:dyDescent="0.25">
      <c r="I232" s="14">
        <v>226</v>
      </c>
      <c r="K232" s="6">
        <v>7228.14</v>
      </c>
      <c r="L232" s="6"/>
      <c r="M232" s="6">
        <v>8986.51</v>
      </c>
      <c r="O232" s="24">
        <f t="shared" si="7"/>
        <v>1758.37</v>
      </c>
    </row>
    <row r="233" spans="9:15" x14ac:dyDescent="0.25">
      <c r="I233" s="14">
        <v>227</v>
      </c>
      <c r="K233" s="6">
        <v>8242.5</v>
      </c>
      <c r="L233" s="6"/>
      <c r="M233" s="6">
        <v>9706.41</v>
      </c>
      <c r="O233" s="24">
        <f t="shared" si="7"/>
        <v>1463.9099999999999</v>
      </c>
    </row>
    <row r="234" spans="9:15" x14ac:dyDescent="0.25">
      <c r="I234" s="14">
        <v>228</v>
      </c>
      <c r="K234" s="6">
        <v>6058.7</v>
      </c>
      <c r="L234" s="6"/>
      <c r="M234" s="6">
        <v>9496.99</v>
      </c>
      <c r="O234" s="24">
        <f t="shared" si="7"/>
        <v>3438.29</v>
      </c>
    </row>
    <row r="235" spans="9:15" x14ac:dyDescent="0.25">
      <c r="I235" s="14">
        <v>229</v>
      </c>
      <c r="K235" s="6">
        <v>5772.91</v>
      </c>
      <c r="L235" s="6"/>
      <c r="M235" s="6">
        <v>9933.67</v>
      </c>
      <c r="O235" s="24">
        <f t="shared" si="7"/>
        <v>4160.76</v>
      </c>
    </row>
    <row r="236" spans="9:15" x14ac:dyDescent="0.25">
      <c r="I236" s="14">
        <v>230</v>
      </c>
      <c r="K236" s="6">
        <v>7001.43</v>
      </c>
      <c r="L236" s="6"/>
      <c r="M236" s="6">
        <v>9306.51</v>
      </c>
      <c r="O236" s="24">
        <f t="shared" si="7"/>
        <v>2305.08</v>
      </c>
    </row>
    <row r="237" spans="9:15" x14ac:dyDescent="0.25">
      <c r="I237" s="14">
        <v>231</v>
      </c>
      <c r="K237" s="6">
        <v>8844.61</v>
      </c>
      <c r="L237" s="6"/>
      <c r="M237" s="6">
        <v>9392.6299999999992</v>
      </c>
      <c r="O237" s="24">
        <f t="shared" si="7"/>
        <v>548.01999999999862</v>
      </c>
    </row>
    <row r="238" spans="9:15" x14ac:dyDescent="0.25">
      <c r="I238" s="14">
        <v>232</v>
      </c>
      <c r="K238" s="6">
        <v>8554.2999999999993</v>
      </c>
      <c r="L238" s="6"/>
      <c r="M238" s="6">
        <v>10092.58</v>
      </c>
      <c r="O238" s="24">
        <f t="shared" si="7"/>
        <v>1538.2800000000007</v>
      </c>
    </row>
    <row r="239" spans="9:15" x14ac:dyDescent="0.25">
      <c r="I239" s="14">
        <v>233</v>
      </c>
      <c r="K239" s="6">
        <v>6216.85</v>
      </c>
      <c r="L239" s="6"/>
      <c r="M239" s="6">
        <v>9654.7900000000009</v>
      </c>
      <c r="O239" s="24">
        <f t="shared" si="7"/>
        <v>3437.9400000000005</v>
      </c>
    </row>
    <row r="240" spans="9:15" x14ac:dyDescent="0.25">
      <c r="I240" s="14">
        <v>234</v>
      </c>
      <c r="K240" s="6">
        <v>7202.49</v>
      </c>
      <c r="L240" s="6"/>
      <c r="M240" s="6">
        <v>10055.129999999999</v>
      </c>
      <c r="O240" s="24">
        <f t="shared" si="7"/>
        <v>2852.6399999999994</v>
      </c>
    </row>
    <row r="241" spans="9:15" x14ac:dyDescent="0.25">
      <c r="I241" s="14">
        <v>235</v>
      </c>
      <c r="K241" s="6">
        <v>7923.31</v>
      </c>
      <c r="L241" s="6"/>
      <c r="M241" s="6">
        <v>9067.65</v>
      </c>
      <c r="O241" s="24">
        <f t="shared" si="7"/>
        <v>1144.3399999999992</v>
      </c>
    </row>
    <row r="242" spans="9:15" x14ac:dyDescent="0.25">
      <c r="I242" s="14">
        <v>236</v>
      </c>
      <c r="K242" s="6">
        <v>5698.21</v>
      </c>
      <c r="L242" s="6"/>
      <c r="M242" s="6">
        <v>9777.5400000000009</v>
      </c>
      <c r="O242" s="24">
        <f t="shared" si="7"/>
        <v>4079.3300000000008</v>
      </c>
    </row>
    <row r="243" spans="9:15" x14ac:dyDescent="0.25">
      <c r="I243" s="14">
        <v>237</v>
      </c>
      <c r="K243" s="6">
        <v>9391.17</v>
      </c>
      <c r="L243" s="6"/>
      <c r="M243" s="6">
        <v>9105.23</v>
      </c>
      <c r="O243" s="24">
        <f t="shared" si="7"/>
        <v>-285.94000000000051</v>
      </c>
    </row>
    <row r="244" spans="9:15" x14ac:dyDescent="0.25">
      <c r="I244" s="14">
        <v>238</v>
      </c>
      <c r="K244" s="6">
        <v>8745.82</v>
      </c>
      <c r="L244" s="6"/>
      <c r="M244" s="6">
        <v>9727.2000000000007</v>
      </c>
      <c r="O244" s="24">
        <f t="shared" si="7"/>
        <v>981.38000000000102</v>
      </c>
    </row>
    <row r="245" spans="9:15" x14ac:dyDescent="0.25">
      <c r="I245" s="14">
        <v>239</v>
      </c>
      <c r="K245" s="6">
        <v>7986.59</v>
      </c>
      <c r="L245" s="6"/>
      <c r="M245" s="6">
        <v>10003.200000000001</v>
      </c>
      <c r="O245" s="24">
        <f t="shared" si="7"/>
        <v>2016.6100000000006</v>
      </c>
    </row>
    <row r="246" spans="9:15" x14ac:dyDescent="0.25">
      <c r="I246" s="14">
        <v>240</v>
      </c>
      <c r="K246" s="6">
        <v>6353.01</v>
      </c>
      <c r="L246" s="6"/>
      <c r="M246" s="6">
        <v>10115.15</v>
      </c>
      <c r="O246" s="24">
        <f t="shared" si="7"/>
        <v>3762.1399999999994</v>
      </c>
    </row>
    <row r="247" spans="9:15" x14ac:dyDescent="0.25">
      <c r="I247" s="14">
        <v>241</v>
      </c>
      <c r="K247" s="6">
        <v>6208.92</v>
      </c>
      <c r="L247" s="6"/>
      <c r="M247" s="6">
        <v>9861.2999999999993</v>
      </c>
      <c r="O247" s="24">
        <f t="shared" si="7"/>
        <v>3652.3799999999992</v>
      </c>
    </row>
    <row r="248" spans="9:15" x14ac:dyDescent="0.25">
      <c r="I248" s="14">
        <v>242</v>
      </c>
      <c r="K248" s="6">
        <v>5593.11</v>
      </c>
      <c r="L248" s="6"/>
      <c r="M248" s="6">
        <v>9590.5499999999993</v>
      </c>
      <c r="O248" s="24">
        <f t="shared" si="7"/>
        <v>3997.4399999999996</v>
      </c>
    </row>
    <row r="249" spans="9:15" x14ac:dyDescent="0.25">
      <c r="I249" s="14">
        <v>243</v>
      </c>
      <c r="K249" s="6">
        <v>6605.63</v>
      </c>
      <c r="L249" s="6"/>
      <c r="M249" s="6">
        <v>8703.23</v>
      </c>
      <c r="O249" s="24">
        <f t="shared" si="7"/>
        <v>2097.5999999999995</v>
      </c>
    </row>
    <row r="250" spans="9:15" x14ac:dyDescent="0.25">
      <c r="I250" s="14">
        <v>244</v>
      </c>
      <c r="K250" s="6">
        <v>5912.61</v>
      </c>
      <c r="L250" s="6"/>
      <c r="M250" s="6">
        <v>9346.86</v>
      </c>
      <c r="O250" s="24">
        <f t="shared" si="7"/>
        <v>3434.2500000000009</v>
      </c>
    </row>
    <row r="251" spans="9:15" x14ac:dyDescent="0.25">
      <c r="I251" s="14">
        <v>245</v>
      </c>
      <c r="K251" s="6">
        <v>9241.42</v>
      </c>
      <c r="L251" s="6"/>
      <c r="M251" s="6">
        <v>9854.98</v>
      </c>
      <c r="O251" s="24">
        <f t="shared" si="7"/>
        <v>613.55999999999949</v>
      </c>
    </row>
    <row r="252" spans="9:15" x14ac:dyDescent="0.25">
      <c r="I252" s="14">
        <v>246</v>
      </c>
      <c r="K252" s="6">
        <v>5901.31</v>
      </c>
      <c r="L252" s="6"/>
      <c r="M252" s="6">
        <v>9448.9599999999991</v>
      </c>
      <c r="O252" s="24">
        <f t="shared" si="7"/>
        <v>3547.6499999999987</v>
      </c>
    </row>
    <row r="253" spans="9:15" x14ac:dyDescent="0.25">
      <c r="I253" s="14">
        <v>247</v>
      </c>
      <c r="K253" s="6">
        <v>7293.11</v>
      </c>
      <c r="L253" s="6"/>
      <c r="M253" s="6">
        <v>9674.34</v>
      </c>
      <c r="O253" s="24">
        <f t="shared" si="7"/>
        <v>2381.2300000000005</v>
      </c>
    </row>
    <row r="254" spans="9:15" x14ac:dyDescent="0.25">
      <c r="I254" s="14">
        <v>248</v>
      </c>
      <c r="K254" s="6">
        <v>5815.64</v>
      </c>
      <c r="L254" s="6"/>
      <c r="M254" s="6">
        <v>9804.67</v>
      </c>
      <c r="O254" s="24">
        <f t="shared" si="7"/>
        <v>3989.0299999999997</v>
      </c>
    </row>
    <row r="255" spans="9:15" x14ac:dyDescent="0.25">
      <c r="I255" s="14">
        <v>249</v>
      </c>
      <c r="K255" s="6">
        <v>8509.82</v>
      </c>
      <c r="L255" s="6"/>
      <c r="M255" s="6">
        <v>9471.14</v>
      </c>
      <c r="O255" s="24">
        <f t="shared" si="7"/>
        <v>961.31999999999971</v>
      </c>
    </row>
    <row r="256" spans="9:15" x14ac:dyDescent="0.25">
      <c r="I256" s="14">
        <v>250</v>
      </c>
      <c r="K256" s="6">
        <v>6534.8</v>
      </c>
      <c r="L256" s="6"/>
      <c r="M256" s="6">
        <v>10446.15</v>
      </c>
      <c r="O256" s="24">
        <f t="shared" si="7"/>
        <v>3911.3499999999995</v>
      </c>
    </row>
    <row r="257" spans="9:15" x14ac:dyDescent="0.25">
      <c r="I257" s="14">
        <v>251</v>
      </c>
      <c r="K257" s="6">
        <v>7297.65</v>
      </c>
      <c r="L257" s="6"/>
      <c r="M257" s="6">
        <v>9935.89</v>
      </c>
      <c r="O257" s="24">
        <f t="shared" si="7"/>
        <v>2638.24</v>
      </c>
    </row>
    <row r="258" spans="9:15" x14ac:dyDescent="0.25">
      <c r="I258" s="14">
        <v>252</v>
      </c>
      <c r="K258" s="6">
        <v>6088.46</v>
      </c>
      <c r="L258" s="6"/>
      <c r="M258" s="6">
        <v>10798.53</v>
      </c>
      <c r="O258" s="24">
        <f t="shared" si="7"/>
        <v>4710.0700000000006</v>
      </c>
    </row>
    <row r="259" spans="9:15" x14ac:dyDescent="0.25">
      <c r="I259" s="14">
        <v>253</v>
      </c>
      <c r="K259" s="6">
        <v>9676.99</v>
      </c>
      <c r="L259" s="6"/>
      <c r="M259" s="6">
        <v>9875.2900000000009</v>
      </c>
      <c r="O259" s="24">
        <f t="shared" si="7"/>
        <v>198.30000000000109</v>
      </c>
    </row>
    <row r="260" spans="9:15" x14ac:dyDescent="0.25">
      <c r="I260" s="14">
        <v>254</v>
      </c>
      <c r="K260" s="6">
        <v>6567.48</v>
      </c>
      <c r="L260" s="6"/>
      <c r="M260" s="6">
        <v>9445.8700000000008</v>
      </c>
      <c r="O260" s="24">
        <f t="shared" si="7"/>
        <v>2878.3900000000012</v>
      </c>
    </row>
    <row r="261" spans="9:15" x14ac:dyDescent="0.25">
      <c r="I261" s="14">
        <v>255</v>
      </c>
      <c r="K261" s="6">
        <v>6750.95</v>
      </c>
      <c r="L261" s="6"/>
      <c r="M261" s="6">
        <v>10953.56</v>
      </c>
      <c r="O261" s="24">
        <f t="shared" si="7"/>
        <v>4202.6099999999997</v>
      </c>
    </row>
    <row r="262" spans="9:15" x14ac:dyDescent="0.25">
      <c r="I262" s="14">
        <v>256</v>
      </c>
      <c r="K262" s="6">
        <v>6197.66</v>
      </c>
      <c r="L262" s="6"/>
      <c r="M262" s="6">
        <v>9147.2999999999993</v>
      </c>
      <c r="O262" s="24">
        <f t="shared" si="7"/>
        <v>2949.6399999999994</v>
      </c>
    </row>
    <row r="263" spans="9:15" x14ac:dyDescent="0.25">
      <c r="I263" s="14">
        <v>257</v>
      </c>
      <c r="K263" s="6">
        <v>6790.75</v>
      </c>
      <c r="L263" s="6"/>
      <c r="M263" s="6">
        <v>9940.06</v>
      </c>
      <c r="O263" s="24">
        <f t="shared" si="7"/>
        <v>3149.3099999999995</v>
      </c>
    </row>
    <row r="264" spans="9:15" x14ac:dyDescent="0.25">
      <c r="I264" s="14">
        <v>258</v>
      </c>
      <c r="K264" s="6">
        <v>6957.59</v>
      </c>
      <c r="L264" s="6"/>
      <c r="M264" s="6">
        <v>10154.07</v>
      </c>
      <c r="O264" s="24">
        <f t="shared" ref="O264:O327" si="8">M264-K264</f>
        <v>3196.4799999999996</v>
      </c>
    </row>
    <row r="265" spans="9:15" x14ac:dyDescent="0.25">
      <c r="I265" s="14">
        <v>259</v>
      </c>
      <c r="K265" s="6">
        <v>7063.05</v>
      </c>
      <c r="L265" s="6"/>
      <c r="M265" s="6">
        <v>9210.9699999999993</v>
      </c>
      <c r="O265" s="24">
        <f t="shared" si="8"/>
        <v>2147.9199999999992</v>
      </c>
    </row>
    <row r="266" spans="9:15" x14ac:dyDescent="0.25">
      <c r="I266" s="14">
        <v>260</v>
      </c>
      <c r="K266" s="6">
        <v>9701.58</v>
      </c>
      <c r="L266" s="6"/>
      <c r="M266" s="6">
        <v>9607.11</v>
      </c>
      <c r="O266" s="24">
        <f t="shared" si="8"/>
        <v>-94.469999999999345</v>
      </c>
    </row>
    <row r="267" spans="9:15" x14ac:dyDescent="0.25">
      <c r="I267" s="14">
        <v>261</v>
      </c>
      <c r="K267" s="6">
        <v>7242.63</v>
      </c>
      <c r="L267" s="6"/>
      <c r="M267" s="6">
        <v>9384.01</v>
      </c>
      <c r="O267" s="24">
        <f t="shared" si="8"/>
        <v>2141.38</v>
      </c>
    </row>
    <row r="268" spans="9:15" x14ac:dyDescent="0.25">
      <c r="I268" s="14">
        <v>262</v>
      </c>
      <c r="K268" s="6">
        <v>6852.52</v>
      </c>
      <c r="L268" s="6"/>
      <c r="M268" s="6">
        <v>9446.27</v>
      </c>
      <c r="O268" s="24">
        <f t="shared" si="8"/>
        <v>2593.75</v>
      </c>
    </row>
    <row r="269" spans="9:15" x14ac:dyDescent="0.25">
      <c r="I269" s="14">
        <v>263</v>
      </c>
      <c r="K269" s="6">
        <v>8412.09</v>
      </c>
      <c r="L269" s="6"/>
      <c r="M269" s="6">
        <v>9601.98</v>
      </c>
      <c r="O269" s="24">
        <f t="shared" si="8"/>
        <v>1189.8899999999994</v>
      </c>
    </row>
    <row r="270" spans="9:15" x14ac:dyDescent="0.25">
      <c r="I270" s="14">
        <v>264</v>
      </c>
      <c r="K270" s="6">
        <v>7072.32</v>
      </c>
      <c r="L270" s="6"/>
      <c r="M270" s="6">
        <v>9777.36</v>
      </c>
      <c r="O270" s="24">
        <f t="shared" si="8"/>
        <v>2705.0400000000009</v>
      </c>
    </row>
    <row r="271" spans="9:15" x14ac:dyDescent="0.25">
      <c r="I271" s="14">
        <v>265</v>
      </c>
      <c r="K271" s="6">
        <v>7371.42</v>
      </c>
      <c r="L271" s="6"/>
      <c r="M271" s="6">
        <v>9211.73</v>
      </c>
      <c r="O271" s="24">
        <f t="shared" si="8"/>
        <v>1840.3099999999995</v>
      </c>
    </row>
    <row r="272" spans="9:15" x14ac:dyDescent="0.25">
      <c r="I272" s="14">
        <v>266</v>
      </c>
      <c r="K272" s="6">
        <v>5784.27</v>
      </c>
      <c r="L272" s="6"/>
      <c r="M272" s="6">
        <v>10832.26</v>
      </c>
      <c r="O272" s="24">
        <f t="shared" si="8"/>
        <v>5047.99</v>
      </c>
    </row>
    <row r="273" spans="9:15" x14ac:dyDescent="0.25">
      <c r="I273" s="14">
        <v>267</v>
      </c>
      <c r="K273" s="6">
        <v>5972.69</v>
      </c>
      <c r="L273" s="6"/>
      <c r="M273" s="6">
        <v>9688.2099999999991</v>
      </c>
      <c r="O273" s="24">
        <f t="shared" si="8"/>
        <v>3715.5199999999995</v>
      </c>
    </row>
    <row r="274" spans="9:15" x14ac:dyDescent="0.25">
      <c r="I274" s="14">
        <v>268</v>
      </c>
      <c r="K274" s="6">
        <v>6277.76</v>
      </c>
      <c r="L274" s="6"/>
      <c r="M274" s="6">
        <v>9082.5300000000007</v>
      </c>
      <c r="O274" s="24">
        <f t="shared" si="8"/>
        <v>2804.7700000000004</v>
      </c>
    </row>
    <row r="275" spans="9:15" x14ac:dyDescent="0.25">
      <c r="I275" s="14">
        <v>269</v>
      </c>
      <c r="K275" s="6">
        <v>6783.83</v>
      </c>
      <c r="L275" s="6"/>
      <c r="M275" s="6">
        <v>9164.2900000000009</v>
      </c>
      <c r="O275" s="24">
        <f t="shared" si="8"/>
        <v>2380.4600000000009</v>
      </c>
    </row>
    <row r="276" spans="9:15" x14ac:dyDescent="0.25">
      <c r="I276" s="14">
        <v>270</v>
      </c>
      <c r="K276" s="6">
        <v>6111.92</v>
      </c>
      <c r="L276" s="6"/>
      <c r="M276" s="6">
        <v>9714.8799999999992</v>
      </c>
      <c r="O276" s="24">
        <f t="shared" si="8"/>
        <v>3602.9599999999991</v>
      </c>
    </row>
    <row r="277" spans="9:15" x14ac:dyDescent="0.25">
      <c r="I277" s="14">
        <v>271</v>
      </c>
      <c r="K277" s="6">
        <v>7498.26</v>
      </c>
      <c r="L277" s="6"/>
      <c r="M277" s="6">
        <v>9314.83</v>
      </c>
      <c r="O277" s="24">
        <f t="shared" si="8"/>
        <v>1816.5699999999997</v>
      </c>
    </row>
    <row r="278" spans="9:15" x14ac:dyDescent="0.25">
      <c r="I278" s="14">
        <v>272</v>
      </c>
      <c r="K278" s="6">
        <v>6527.93</v>
      </c>
      <c r="L278" s="6"/>
      <c r="M278" s="6">
        <v>9767.7999999999993</v>
      </c>
      <c r="O278" s="24">
        <f t="shared" si="8"/>
        <v>3239.869999999999</v>
      </c>
    </row>
    <row r="279" spans="9:15" x14ac:dyDescent="0.25">
      <c r="I279" s="14">
        <v>273</v>
      </c>
      <c r="K279" s="6">
        <v>6091.79</v>
      </c>
      <c r="L279" s="6"/>
      <c r="M279" s="6">
        <v>10108.25</v>
      </c>
      <c r="O279" s="24">
        <f t="shared" si="8"/>
        <v>4016.46</v>
      </c>
    </row>
    <row r="280" spans="9:15" x14ac:dyDescent="0.25">
      <c r="I280" s="14">
        <v>274</v>
      </c>
      <c r="K280" s="6">
        <v>7039.82</v>
      </c>
      <c r="L280" s="6"/>
      <c r="M280" s="6">
        <v>9934.4</v>
      </c>
      <c r="O280" s="24">
        <f t="shared" si="8"/>
        <v>2894.58</v>
      </c>
    </row>
    <row r="281" spans="9:15" x14ac:dyDescent="0.25">
      <c r="I281" s="14">
        <v>275</v>
      </c>
      <c r="K281" s="6">
        <v>6336.06</v>
      </c>
      <c r="L281" s="6"/>
      <c r="M281" s="6">
        <v>9498.68</v>
      </c>
      <c r="O281" s="24">
        <f t="shared" si="8"/>
        <v>3162.62</v>
      </c>
    </row>
    <row r="282" spans="9:15" x14ac:dyDescent="0.25">
      <c r="I282" s="14">
        <v>276</v>
      </c>
      <c r="K282" s="6">
        <v>7401.1</v>
      </c>
      <c r="L282" s="6"/>
      <c r="M282" s="6">
        <v>9042.02</v>
      </c>
      <c r="O282" s="24">
        <f t="shared" si="8"/>
        <v>1640.92</v>
      </c>
    </row>
    <row r="283" spans="9:15" x14ac:dyDescent="0.25">
      <c r="I283" s="14">
        <v>277</v>
      </c>
      <c r="K283" s="6">
        <v>6413.76</v>
      </c>
      <c r="L283" s="6"/>
      <c r="M283" s="6">
        <v>9466.74</v>
      </c>
      <c r="O283" s="24">
        <f t="shared" si="8"/>
        <v>3052.9799999999996</v>
      </c>
    </row>
    <row r="284" spans="9:15" x14ac:dyDescent="0.25">
      <c r="I284" s="14">
        <v>278</v>
      </c>
      <c r="K284" s="6">
        <v>9180.7800000000007</v>
      </c>
      <c r="L284" s="6"/>
      <c r="M284" s="6">
        <v>10525.25</v>
      </c>
      <c r="O284" s="24">
        <f t="shared" si="8"/>
        <v>1344.4699999999993</v>
      </c>
    </row>
    <row r="285" spans="9:15" x14ac:dyDescent="0.25">
      <c r="I285" s="14">
        <v>279</v>
      </c>
      <c r="K285" s="6">
        <v>5893.47</v>
      </c>
      <c r="L285" s="6"/>
      <c r="M285" s="6">
        <v>9783.4699999999993</v>
      </c>
      <c r="O285" s="24">
        <f t="shared" si="8"/>
        <v>3889.9999999999991</v>
      </c>
    </row>
    <row r="286" spans="9:15" x14ac:dyDescent="0.25">
      <c r="I286" s="14">
        <v>280</v>
      </c>
      <c r="K286" s="6">
        <v>6932.98</v>
      </c>
      <c r="L286" s="6"/>
      <c r="M286" s="6">
        <v>9476.56</v>
      </c>
      <c r="O286" s="24">
        <f t="shared" si="8"/>
        <v>2543.58</v>
      </c>
    </row>
    <row r="287" spans="9:15" x14ac:dyDescent="0.25">
      <c r="I287" s="14">
        <v>281</v>
      </c>
      <c r="K287" s="6">
        <v>8504.3700000000008</v>
      </c>
      <c r="L287" s="6"/>
      <c r="M287" s="6">
        <v>10246.65</v>
      </c>
      <c r="O287" s="24">
        <f t="shared" si="8"/>
        <v>1742.2799999999988</v>
      </c>
    </row>
    <row r="288" spans="9:15" x14ac:dyDescent="0.25">
      <c r="I288" s="14">
        <v>282</v>
      </c>
      <c r="K288" s="6">
        <v>7946.33</v>
      </c>
      <c r="L288" s="6"/>
      <c r="M288" s="6">
        <v>8432.09</v>
      </c>
      <c r="O288" s="24">
        <f t="shared" si="8"/>
        <v>485.76000000000022</v>
      </c>
    </row>
    <row r="289" spans="9:15" x14ac:dyDescent="0.25">
      <c r="I289" s="14">
        <v>283</v>
      </c>
      <c r="K289" s="6">
        <v>7287.49</v>
      </c>
      <c r="L289" s="6"/>
      <c r="M289" s="6">
        <v>10504.32</v>
      </c>
      <c r="O289" s="24">
        <f t="shared" si="8"/>
        <v>3216.83</v>
      </c>
    </row>
    <row r="290" spans="9:15" x14ac:dyDescent="0.25">
      <c r="I290" s="14">
        <v>284</v>
      </c>
      <c r="K290" s="6">
        <v>5598.81</v>
      </c>
      <c r="L290" s="6"/>
      <c r="M290" s="6">
        <v>9925.0300000000007</v>
      </c>
      <c r="O290" s="24">
        <f t="shared" si="8"/>
        <v>4326.22</v>
      </c>
    </row>
    <row r="291" spans="9:15" x14ac:dyDescent="0.25">
      <c r="I291" s="14">
        <v>285</v>
      </c>
      <c r="K291" s="6">
        <v>7226.24</v>
      </c>
      <c r="L291" s="6"/>
      <c r="M291" s="6">
        <v>9788.7900000000009</v>
      </c>
      <c r="O291" s="24">
        <f t="shared" si="8"/>
        <v>2562.5500000000011</v>
      </c>
    </row>
    <row r="292" spans="9:15" x14ac:dyDescent="0.25">
      <c r="I292" s="14">
        <v>286</v>
      </c>
      <c r="K292" s="6">
        <v>7373.82</v>
      </c>
      <c r="L292" s="6"/>
      <c r="M292" s="6">
        <v>9507.25</v>
      </c>
      <c r="O292" s="24">
        <f t="shared" si="8"/>
        <v>2133.4300000000003</v>
      </c>
    </row>
    <row r="293" spans="9:15" x14ac:dyDescent="0.25">
      <c r="I293" s="14">
        <v>287</v>
      </c>
      <c r="K293" s="6">
        <v>8363.5400000000009</v>
      </c>
      <c r="L293" s="6"/>
      <c r="M293" s="6">
        <v>10009.950000000001</v>
      </c>
      <c r="O293" s="24">
        <f t="shared" si="8"/>
        <v>1646.4099999999999</v>
      </c>
    </row>
    <row r="294" spans="9:15" x14ac:dyDescent="0.25">
      <c r="I294" s="14">
        <v>288</v>
      </c>
      <c r="K294" s="6">
        <v>9027.85</v>
      </c>
      <c r="L294" s="6"/>
      <c r="M294" s="6">
        <v>9999.86</v>
      </c>
      <c r="O294" s="24">
        <f t="shared" si="8"/>
        <v>972.01000000000022</v>
      </c>
    </row>
    <row r="295" spans="9:15" x14ac:dyDescent="0.25">
      <c r="I295" s="14">
        <v>289</v>
      </c>
      <c r="K295" s="6">
        <v>5934.93</v>
      </c>
      <c r="L295" s="6"/>
      <c r="M295" s="6">
        <v>10532.76</v>
      </c>
      <c r="O295" s="24">
        <f t="shared" si="8"/>
        <v>4597.83</v>
      </c>
    </row>
    <row r="296" spans="9:15" x14ac:dyDescent="0.25">
      <c r="I296" s="14">
        <v>290</v>
      </c>
      <c r="K296" s="6">
        <v>8800.06</v>
      </c>
      <c r="L296" s="6"/>
      <c r="M296" s="6">
        <v>10133.24</v>
      </c>
      <c r="O296" s="24">
        <f t="shared" si="8"/>
        <v>1333.1800000000003</v>
      </c>
    </row>
    <row r="297" spans="9:15" x14ac:dyDescent="0.25">
      <c r="I297" s="14">
        <v>291</v>
      </c>
      <c r="K297" s="6">
        <v>7395.76</v>
      </c>
      <c r="L297" s="6"/>
      <c r="M297" s="6">
        <v>9801.2099999999991</v>
      </c>
      <c r="O297" s="24">
        <f t="shared" si="8"/>
        <v>2405.4499999999989</v>
      </c>
    </row>
    <row r="298" spans="9:15" x14ac:dyDescent="0.25">
      <c r="I298" s="14">
        <v>292</v>
      </c>
      <c r="K298" s="6">
        <v>6987.51</v>
      </c>
      <c r="L298" s="6"/>
      <c r="M298" s="6">
        <v>10002.92</v>
      </c>
      <c r="O298" s="24">
        <f t="shared" si="8"/>
        <v>3015.41</v>
      </c>
    </row>
    <row r="299" spans="9:15" x14ac:dyDescent="0.25">
      <c r="I299" s="14">
        <v>293</v>
      </c>
      <c r="K299" s="6">
        <v>9007.73</v>
      </c>
      <c r="L299" s="6"/>
      <c r="M299" s="6">
        <v>9743.7800000000007</v>
      </c>
      <c r="O299" s="24">
        <f t="shared" si="8"/>
        <v>736.05000000000109</v>
      </c>
    </row>
    <row r="300" spans="9:15" x14ac:dyDescent="0.25">
      <c r="I300" s="14">
        <v>294</v>
      </c>
      <c r="K300" s="6">
        <v>9012.1</v>
      </c>
      <c r="L300" s="6"/>
      <c r="M300" s="6">
        <v>9353.3799999999992</v>
      </c>
      <c r="O300" s="24">
        <f t="shared" si="8"/>
        <v>341.27999999999884</v>
      </c>
    </row>
    <row r="301" spans="9:15" x14ac:dyDescent="0.25">
      <c r="I301" s="14">
        <v>295</v>
      </c>
      <c r="K301" s="6">
        <v>7235.19</v>
      </c>
      <c r="L301" s="6"/>
      <c r="M301" s="6">
        <v>9622.93</v>
      </c>
      <c r="O301" s="24">
        <f t="shared" si="8"/>
        <v>2387.7400000000007</v>
      </c>
    </row>
    <row r="302" spans="9:15" x14ac:dyDescent="0.25">
      <c r="I302" s="14">
        <v>296</v>
      </c>
      <c r="K302" s="6">
        <v>8684.92</v>
      </c>
      <c r="L302" s="6"/>
      <c r="M302" s="6">
        <v>10120.709999999999</v>
      </c>
      <c r="O302" s="24">
        <f t="shared" si="8"/>
        <v>1435.7899999999991</v>
      </c>
    </row>
    <row r="303" spans="9:15" x14ac:dyDescent="0.25">
      <c r="I303" s="14">
        <v>297</v>
      </c>
      <c r="K303" s="6">
        <v>6784.21</v>
      </c>
      <c r="L303" s="6"/>
      <c r="M303" s="6">
        <v>9754.93</v>
      </c>
      <c r="O303" s="24">
        <f t="shared" si="8"/>
        <v>2970.7200000000003</v>
      </c>
    </row>
    <row r="304" spans="9:15" x14ac:dyDescent="0.25">
      <c r="I304" s="14">
        <v>298</v>
      </c>
      <c r="K304" s="6">
        <v>5861.15</v>
      </c>
      <c r="L304" s="6"/>
      <c r="M304" s="6">
        <v>9593.23</v>
      </c>
      <c r="O304" s="24">
        <f t="shared" si="8"/>
        <v>3732.08</v>
      </c>
    </row>
    <row r="305" spans="9:15" x14ac:dyDescent="0.25">
      <c r="I305" s="14">
        <v>299</v>
      </c>
      <c r="K305" s="6">
        <v>7988.97</v>
      </c>
      <c r="L305" s="6"/>
      <c r="M305" s="6">
        <v>9622.4599999999991</v>
      </c>
      <c r="O305" s="24">
        <f t="shared" si="8"/>
        <v>1633.4899999999989</v>
      </c>
    </row>
    <row r="306" spans="9:15" x14ac:dyDescent="0.25">
      <c r="I306" s="14">
        <v>300</v>
      </c>
      <c r="K306" s="6">
        <v>5862.16</v>
      </c>
      <c r="L306" s="6"/>
      <c r="M306" s="6">
        <v>9551.07</v>
      </c>
      <c r="O306" s="24">
        <f t="shared" si="8"/>
        <v>3688.91</v>
      </c>
    </row>
    <row r="307" spans="9:15" x14ac:dyDescent="0.25">
      <c r="I307" s="14">
        <v>301</v>
      </c>
      <c r="K307" s="6">
        <v>7915.03</v>
      </c>
      <c r="L307" s="6"/>
      <c r="M307" s="6">
        <v>9475.24</v>
      </c>
      <c r="O307" s="24">
        <f t="shared" si="8"/>
        <v>1560.21</v>
      </c>
    </row>
    <row r="308" spans="9:15" x14ac:dyDescent="0.25">
      <c r="I308" s="14">
        <v>302</v>
      </c>
      <c r="K308" s="6">
        <v>6903.04</v>
      </c>
      <c r="L308" s="6"/>
      <c r="M308" s="6">
        <v>9524.9500000000007</v>
      </c>
      <c r="O308" s="24">
        <f t="shared" si="8"/>
        <v>2621.9100000000008</v>
      </c>
    </row>
    <row r="309" spans="9:15" x14ac:dyDescent="0.25">
      <c r="I309" s="14">
        <v>303</v>
      </c>
      <c r="K309" s="6">
        <v>7685.91</v>
      </c>
      <c r="L309" s="6"/>
      <c r="M309" s="6">
        <v>9861.35</v>
      </c>
      <c r="O309" s="24">
        <f t="shared" si="8"/>
        <v>2175.4400000000005</v>
      </c>
    </row>
    <row r="310" spans="9:15" x14ac:dyDescent="0.25">
      <c r="I310" s="14">
        <v>304</v>
      </c>
      <c r="K310" s="6">
        <v>5470.02</v>
      </c>
      <c r="L310" s="6"/>
      <c r="M310" s="6">
        <v>9429.67</v>
      </c>
      <c r="O310" s="24">
        <f t="shared" si="8"/>
        <v>3959.6499999999996</v>
      </c>
    </row>
    <row r="311" spans="9:15" x14ac:dyDescent="0.25">
      <c r="I311" s="14">
        <v>305</v>
      </c>
      <c r="K311" s="6">
        <v>6984.21</v>
      </c>
      <c r="L311" s="6"/>
      <c r="M311" s="6">
        <v>10503.32</v>
      </c>
      <c r="O311" s="24">
        <f t="shared" si="8"/>
        <v>3519.1099999999997</v>
      </c>
    </row>
    <row r="312" spans="9:15" x14ac:dyDescent="0.25">
      <c r="I312" s="14">
        <v>306</v>
      </c>
      <c r="K312" s="6">
        <v>7120.91</v>
      </c>
      <c r="L312" s="6"/>
      <c r="M312" s="6">
        <v>9847.7800000000007</v>
      </c>
      <c r="O312" s="24">
        <f t="shared" si="8"/>
        <v>2726.8700000000008</v>
      </c>
    </row>
    <row r="313" spans="9:15" x14ac:dyDescent="0.25">
      <c r="I313" s="14">
        <v>307</v>
      </c>
      <c r="K313" s="6">
        <v>9418.09</v>
      </c>
      <c r="L313" s="6"/>
      <c r="M313" s="6">
        <v>9573.4500000000007</v>
      </c>
      <c r="O313" s="24">
        <f t="shared" si="8"/>
        <v>155.36000000000058</v>
      </c>
    </row>
    <row r="314" spans="9:15" x14ac:dyDescent="0.25">
      <c r="I314" s="14">
        <v>308</v>
      </c>
      <c r="K314" s="6">
        <v>6067.68</v>
      </c>
      <c r="L314" s="6"/>
      <c r="M314" s="6">
        <v>9820.09</v>
      </c>
      <c r="O314" s="24">
        <f t="shared" si="8"/>
        <v>3752.41</v>
      </c>
    </row>
    <row r="315" spans="9:15" x14ac:dyDescent="0.25">
      <c r="I315" s="14">
        <v>309</v>
      </c>
      <c r="K315" s="6">
        <v>7105.65</v>
      </c>
      <c r="L315" s="6"/>
      <c r="M315" s="6">
        <v>10297.969999999999</v>
      </c>
      <c r="O315" s="24">
        <f t="shared" si="8"/>
        <v>3192.3199999999997</v>
      </c>
    </row>
    <row r="316" spans="9:15" x14ac:dyDescent="0.25">
      <c r="I316" s="14">
        <v>310</v>
      </c>
      <c r="K316" s="6">
        <v>7976.92</v>
      </c>
      <c r="L316" s="6"/>
      <c r="M316" s="6">
        <v>9248.58</v>
      </c>
      <c r="O316" s="24">
        <f t="shared" si="8"/>
        <v>1271.6599999999999</v>
      </c>
    </row>
    <row r="317" spans="9:15" x14ac:dyDescent="0.25">
      <c r="I317" s="14">
        <v>311</v>
      </c>
      <c r="K317" s="6">
        <v>9524.15</v>
      </c>
      <c r="L317" s="6"/>
      <c r="M317" s="6">
        <v>9876.25</v>
      </c>
      <c r="O317" s="24">
        <f t="shared" si="8"/>
        <v>352.10000000000036</v>
      </c>
    </row>
    <row r="318" spans="9:15" x14ac:dyDescent="0.25">
      <c r="I318" s="14">
        <v>312</v>
      </c>
      <c r="K318" s="6">
        <v>6041.32</v>
      </c>
      <c r="L318" s="6"/>
      <c r="M318" s="6">
        <v>9714.2199999999993</v>
      </c>
      <c r="O318" s="24">
        <f t="shared" si="8"/>
        <v>3672.8999999999996</v>
      </c>
    </row>
    <row r="319" spans="9:15" x14ac:dyDescent="0.25">
      <c r="I319" s="14">
        <v>313</v>
      </c>
      <c r="K319" s="6">
        <v>6018.99</v>
      </c>
      <c r="L319" s="6"/>
      <c r="M319" s="6">
        <v>9007.6</v>
      </c>
      <c r="O319" s="24">
        <f t="shared" si="8"/>
        <v>2988.6100000000006</v>
      </c>
    </row>
    <row r="320" spans="9:15" x14ac:dyDescent="0.25">
      <c r="I320" s="14">
        <v>314</v>
      </c>
      <c r="K320" s="6">
        <v>6904.09</v>
      </c>
      <c r="L320" s="6"/>
      <c r="M320" s="6">
        <v>9546.5300000000007</v>
      </c>
      <c r="O320" s="24">
        <f t="shared" si="8"/>
        <v>2642.4400000000005</v>
      </c>
    </row>
    <row r="321" spans="9:15" x14ac:dyDescent="0.25">
      <c r="I321" s="14">
        <v>315</v>
      </c>
      <c r="K321" s="6">
        <v>7487.69</v>
      </c>
      <c r="L321" s="6"/>
      <c r="M321" s="6">
        <v>9476.7199999999993</v>
      </c>
      <c r="O321" s="24">
        <f t="shared" si="8"/>
        <v>1989.0299999999997</v>
      </c>
    </row>
    <row r="322" spans="9:15" x14ac:dyDescent="0.25">
      <c r="I322" s="14">
        <v>316</v>
      </c>
      <c r="K322" s="6">
        <v>6958.88</v>
      </c>
      <c r="L322" s="6"/>
      <c r="M322" s="6">
        <v>9411.89</v>
      </c>
      <c r="O322" s="24">
        <f t="shared" si="8"/>
        <v>2453.0099999999993</v>
      </c>
    </row>
    <row r="323" spans="9:15" x14ac:dyDescent="0.25">
      <c r="I323" s="14">
        <v>317</v>
      </c>
      <c r="K323" s="6">
        <v>6891.6</v>
      </c>
      <c r="L323" s="6"/>
      <c r="M323" s="6">
        <v>10358.56</v>
      </c>
      <c r="O323" s="24">
        <f t="shared" si="8"/>
        <v>3466.9599999999991</v>
      </c>
    </row>
    <row r="324" spans="9:15" x14ac:dyDescent="0.25">
      <c r="I324" s="14">
        <v>318</v>
      </c>
      <c r="K324" s="6">
        <v>7588.82</v>
      </c>
      <c r="L324" s="6"/>
      <c r="M324" s="6">
        <v>9462.85</v>
      </c>
      <c r="O324" s="24">
        <f t="shared" si="8"/>
        <v>1874.0300000000007</v>
      </c>
    </row>
    <row r="325" spans="9:15" x14ac:dyDescent="0.25">
      <c r="I325" s="14">
        <v>319</v>
      </c>
      <c r="K325" s="6">
        <v>8234.0400000000009</v>
      </c>
      <c r="L325" s="6"/>
      <c r="M325" s="6">
        <v>9305.9699999999993</v>
      </c>
      <c r="O325" s="24">
        <f t="shared" si="8"/>
        <v>1071.9299999999985</v>
      </c>
    </row>
    <row r="326" spans="9:15" x14ac:dyDescent="0.25">
      <c r="I326" s="14">
        <v>320</v>
      </c>
      <c r="K326" s="6">
        <v>6837.68</v>
      </c>
      <c r="L326" s="6"/>
      <c r="M326" s="6">
        <v>9389.0400000000009</v>
      </c>
      <c r="O326" s="24">
        <f t="shared" si="8"/>
        <v>2551.3600000000006</v>
      </c>
    </row>
    <row r="327" spans="9:15" x14ac:dyDescent="0.25">
      <c r="I327" s="14">
        <v>321</v>
      </c>
      <c r="K327" s="6">
        <v>8003.9</v>
      </c>
      <c r="L327" s="6"/>
      <c r="M327" s="6">
        <v>9124.85</v>
      </c>
      <c r="O327" s="24">
        <f t="shared" si="8"/>
        <v>1120.9500000000007</v>
      </c>
    </row>
    <row r="328" spans="9:15" x14ac:dyDescent="0.25">
      <c r="I328" s="14">
        <v>322</v>
      </c>
      <c r="K328" s="6">
        <v>10461.49</v>
      </c>
      <c r="L328" s="6"/>
      <c r="M328" s="6">
        <v>9758.68</v>
      </c>
      <c r="O328" s="24">
        <f t="shared" ref="O328:O391" si="9">M328-K328</f>
        <v>-702.80999999999949</v>
      </c>
    </row>
    <row r="329" spans="9:15" x14ac:dyDescent="0.25">
      <c r="I329" s="14">
        <v>323</v>
      </c>
      <c r="K329" s="6">
        <v>7965.62</v>
      </c>
      <c r="L329" s="6"/>
      <c r="M329" s="6">
        <v>10075.66</v>
      </c>
      <c r="O329" s="24">
        <f t="shared" si="9"/>
        <v>2110.04</v>
      </c>
    </row>
    <row r="330" spans="9:15" x14ac:dyDescent="0.25">
      <c r="I330" s="14">
        <v>324</v>
      </c>
      <c r="K330" s="6">
        <v>8891.3700000000008</v>
      </c>
      <c r="L330" s="6"/>
      <c r="M330" s="6">
        <v>10264.83</v>
      </c>
      <c r="O330" s="24">
        <f t="shared" si="9"/>
        <v>1373.4599999999991</v>
      </c>
    </row>
    <row r="331" spans="9:15" x14ac:dyDescent="0.25">
      <c r="I331" s="14">
        <v>325</v>
      </c>
      <c r="K331" s="6">
        <v>8248.5400000000009</v>
      </c>
      <c r="L331" s="6"/>
      <c r="M331" s="6">
        <v>9976.5</v>
      </c>
      <c r="O331" s="24">
        <f t="shared" si="9"/>
        <v>1727.9599999999991</v>
      </c>
    </row>
    <row r="332" spans="9:15" x14ac:dyDescent="0.25">
      <c r="I332" s="14">
        <v>326</v>
      </c>
      <c r="K332" s="6">
        <v>6397.15</v>
      </c>
      <c r="L332" s="6"/>
      <c r="M332" s="6">
        <v>9734.65</v>
      </c>
      <c r="O332" s="24">
        <f t="shared" si="9"/>
        <v>3337.5</v>
      </c>
    </row>
    <row r="333" spans="9:15" x14ac:dyDescent="0.25">
      <c r="I333" s="14">
        <v>327</v>
      </c>
      <c r="K333" s="6">
        <v>5586.59</v>
      </c>
      <c r="L333" s="6"/>
      <c r="M333" s="6">
        <v>10549.75</v>
      </c>
      <c r="O333" s="24">
        <f t="shared" si="9"/>
        <v>4963.16</v>
      </c>
    </row>
    <row r="334" spans="9:15" x14ac:dyDescent="0.25">
      <c r="I334" s="14">
        <v>328</v>
      </c>
      <c r="K334" s="6">
        <v>8788.5</v>
      </c>
      <c r="L334" s="6"/>
      <c r="M334" s="6">
        <v>9059.3799999999992</v>
      </c>
      <c r="O334" s="24">
        <f t="shared" si="9"/>
        <v>270.8799999999992</v>
      </c>
    </row>
    <row r="335" spans="9:15" x14ac:dyDescent="0.25">
      <c r="I335" s="14">
        <v>329</v>
      </c>
      <c r="K335" s="6">
        <v>7117.36</v>
      </c>
      <c r="L335" s="6"/>
      <c r="M335" s="6">
        <v>9607.73</v>
      </c>
      <c r="O335" s="24">
        <f t="shared" si="9"/>
        <v>2490.37</v>
      </c>
    </row>
    <row r="336" spans="9:15" x14ac:dyDescent="0.25">
      <c r="I336" s="14">
        <v>330</v>
      </c>
      <c r="K336" s="6">
        <v>7054.1</v>
      </c>
      <c r="L336" s="6"/>
      <c r="M336" s="6">
        <v>8684.02</v>
      </c>
      <c r="O336" s="24">
        <f t="shared" si="9"/>
        <v>1629.92</v>
      </c>
    </row>
    <row r="337" spans="9:15" x14ac:dyDescent="0.25">
      <c r="I337" s="14">
        <v>331</v>
      </c>
      <c r="K337" s="6">
        <v>6816.4</v>
      </c>
      <c r="L337" s="6"/>
      <c r="M337" s="6">
        <v>9446.75</v>
      </c>
      <c r="O337" s="24">
        <f t="shared" si="9"/>
        <v>2630.3500000000004</v>
      </c>
    </row>
    <row r="338" spans="9:15" x14ac:dyDescent="0.25">
      <c r="I338" s="14">
        <v>332</v>
      </c>
      <c r="K338" s="6">
        <v>6882.49</v>
      </c>
      <c r="L338" s="6"/>
      <c r="M338" s="6">
        <v>10062.870000000001</v>
      </c>
      <c r="O338" s="24">
        <f t="shared" si="9"/>
        <v>3180.380000000001</v>
      </c>
    </row>
    <row r="339" spans="9:15" x14ac:dyDescent="0.25">
      <c r="I339" s="14">
        <v>333</v>
      </c>
      <c r="K339" s="6">
        <v>5486.71</v>
      </c>
      <c r="L339" s="6"/>
      <c r="M339" s="6">
        <v>10355.61</v>
      </c>
      <c r="O339" s="24">
        <f t="shared" si="9"/>
        <v>4868.9000000000005</v>
      </c>
    </row>
    <row r="340" spans="9:15" x14ac:dyDescent="0.25">
      <c r="I340" s="14">
        <v>334</v>
      </c>
      <c r="K340" s="6">
        <v>9246.41</v>
      </c>
      <c r="L340" s="6"/>
      <c r="M340" s="6">
        <v>10438</v>
      </c>
      <c r="O340" s="24">
        <f t="shared" si="9"/>
        <v>1191.5900000000001</v>
      </c>
    </row>
    <row r="341" spans="9:15" x14ac:dyDescent="0.25">
      <c r="I341" s="14">
        <v>335</v>
      </c>
      <c r="K341" s="6">
        <v>8644.83</v>
      </c>
      <c r="L341" s="6"/>
      <c r="M341" s="6">
        <v>9593.86</v>
      </c>
      <c r="O341" s="24">
        <f t="shared" si="9"/>
        <v>949.03000000000065</v>
      </c>
    </row>
    <row r="342" spans="9:15" x14ac:dyDescent="0.25">
      <c r="I342" s="14">
        <v>336</v>
      </c>
      <c r="K342" s="6">
        <v>7393.3</v>
      </c>
      <c r="L342" s="6"/>
      <c r="M342" s="6">
        <v>10787.55</v>
      </c>
      <c r="O342" s="24">
        <f t="shared" si="9"/>
        <v>3394.2499999999991</v>
      </c>
    </row>
    <row r="343" spans="9:15" x14ac:dyDescent="0.25">
      <c r="I343" s="14">
        <v>337</v>
      </c>
      <c r="K343" s="6">
        <v>6978.43</v>
      </c>
      <c r="L343" s="6"/>
      <c r="M343" s="6">
        <v>9673.08</v>
      </c>
      <c r="O343" s="24">
        <f t="shared" si="9"/>
        <v>2694.6499999999996</v>
      </c>
    </row>
    <row r="344" spans="9:15" x14ac:dyDescent="0.25">
      <c r="I344" s="14">
        <v>338</v>
      </c>
      <c r="K344" s="6">
        <v>6667.02</v>
      </c>
      <c r="L344" s="6"/>
      <c r="M344" s="6">
        <v>10152.200000000001</v>
      </c>
      <c r="O344" s="24">
        <f t="shared" si="9"/>
        <v>3485.1800000000003</v>
      </c>
    </row>
    <row r="345" spans="9:15" x14ac:dyDescent="0.25">
      <c r="I345" s="14">
        <v>339</v>
      </c>
      <c r="K345" s="6">
        <v>7225.62</v>
      </c>
      <c r="L345" s="6"/>
      <c r="M345" s="6">
        <v>10001</v>
      </c>
      <c r="O345" s="24">
        <f t="shared" si="9"/>
        <v>2775.38</v>
      </c>
    </row>
    <row r="346" spans="9:15" x14ac:dyDescent="0.25">
      <c r="I346" s="14">
        <v>340</v>
      </c>
      <c r="K346" s="6">
        <v>7016.79</v>
      </c>
      <c r="L346" s="6"/>
      <c r="M346" s="6">
        <v>9867.2800000000007</v>
      </c>
      <c r="O346" s="24">
        <f t="shared" si="9"/>
        <v>2850.4900000000007</v>
      </c>
    </row>
    <row r="347" spans="9:15" x14ac:dyDescent="0.25">
      <c r="I347" s="14">
        <v>341</v>
      </c>
      <c r="K347" s="6">
        <v>5768.42</v>
      </c>
      <c r="L347" s="6"/>
      <c r="M347" s="6">
        <v>9744.9699999999993</v>
      </c>
      <c r="O347" s="24">
        <f t="shared" si="9"/>
        <v>3976.5499999999993</v>
      </c>
    </row>
    <row r="348" spans="9:15" x14ac:dyDescent="0.25">
      <c r="I348" s="14">
        <v>342</v>
      </c>
      <c r="K348" s="6">
        <v>7070.98</v>
      </c>
      <c r="L348" s="6"/>
      <c r="M348" s="6">
        <v>10008.19</v>
      </c>
      <c r="O348" s="24">
        <f t="shared" si="9"/>
        <v>2937.2100000000009</v>
      </c>
    </row>
    <row r="349" spans="9:15" x14ac:dyDescent="0.25">
      <c r="I349" s="14">
        <v>343</v>
      </c>
      <c r="K349" s="6">
        <v>8079.69</v>
      </c>
      <c r="L349" s="6"/>
      <c r="M349" s="6">
        <v>9444.76</v>
      </c>
      <c r="O349" s="24">
        <f t="shared" si="9"/>
        <v>1365.0700000000006</v>
      </c>
    </row>
    <row r="350" spans="9:15" x14ac:dyDescent="0.25">
      <c r="I350" s="14">
        <v>344</v>
      </c>
      <c r="K350" s="6">
        <v>6466.46</v>
      </c>
      <c r="L350" s="6"/>
      <c r="M350" s="6">
        <v>10737.03</v>
      </c>
      <c r="O350" s="24">
        <f t="shared" si="9"/>
        <v>4270.5700000000006</v>
      </c>
    </row>
    <row r="351" spans="9:15" x14ac:dyDescent="0.25">
      <c r="I351" s="14">
        <v>345</v>
      </c>
      <c r="K351" s="6">
        <v>6631.13</v>
      </c>
      <c r="L351" s="6"/>
      <c r="M351" s="6">
        <v>9726.2000000000007</v>
      </c>
      <c r="O351" s="24">
        <f t="shared" si="9"/>
        <v>3095.0700000000006</v>
      </c>
    </row>
    <row r="352" spans="9:15" x14ac:dyDescent="0.25">
      <c r="I352" s="14">
        <v>346</v>
      </c>
      <c r="K352" s="6">
        <v>5899.85</v>
      </c>
      <c r="L352" s="6"/>
      <c r="M352" s="6">
        <v>9583.44</v>
      </c>
      <c r="O352" s="24">
        <f t="shared" si="9"/>
        <v>3683.59</v>
      </c>
    </row>
    <row r="353" spans="9:15" x14ac:dyDescent="0.25">
      <c r="I353" s="14">
        <v>347</v>
      </c>
      <c r="K353" s="6">
        <v>7031.44</v>
      </c>
      <c r="L353" s="6"/>
      <c r="M353" s="6">
        <v>9157.73</v>
      </c>
      <c r="O353" s="24">
        <f t="shared" si="9"/>
        <v>2126.29</v>
      </c>
    </row>
    <row r="354" spans="9:15" x14ac:dyDescent="0.25">
      <c r="I354" s="14">
        <v>348</v>
      </c>
      <c r="K354" s="6">
        <v>5765.64</v>
      </c>
      <c r="L354" s="6"/>
      <c r="M354" s="6">
        <v>10966.52</v>
      </c>
      <c r="O354" s="24">
        <f t="shared" si="9"/>
        <v>5200.88</v>
      </c>
    </row>
    <row r="355" spans="9:15" x14ac:dyDescent="0.25">
      <c r="I355" s="14">
        <v>349</v>
      </c>
      <c r="K355" s="6">
        <v>5733.84</v>
      </c>
      <c r="L355" s="6"/>
      <c r="M355" s="6">
        <v>10116.07</v>
      </c>
      <c r="O355" s="24">
        <f t="shared" si="9"/>
        <v>4382.2299999999996</v>
      </c>
    </row>
    <row r="356" spans="9:15" x14ac:dyDescent="0.25">
      <c r="I356" s="14">
        <v>350</v>
      </c>
      <c r="K356" s="6">
        <v>7254.7</v>
      </c>
      <c r="L356" s="6"/>
      <c r="M356" s="6">
        <v>10071.74</v>
      </c>
      <c r="O356" s="24">
        <f t="shared" si="9"/>
        <v>2817.04</v>
      </c>
    </row>
    <row r="357" spans="9:15" x14ac:dyDescent="0.25">
      <c r="I357" s="14">
        <v>351</v>
      </c>
      <c r="K357" s="6">
        <v>6182.94</v>
      </c>
      <c r="L357" s="6"/>
      <c r="M357" s="6">
        <v>9346.6</v>
      </c>
      <c r="O357" s="24">
        <f t="shared" si="9"/>
        <v>3163.6600000000008</v>
      </c>
    </row>
    <row r="358" spans="9:15" x14ac:dyDescent="0.25">
      <c r="I358" s="14">
        <v>352</v>
      </c>
      <c r="K358" s="6">
        <v>6877.79</v>
      </c>
      <c r="L358" s="6"/>
      <c r="M358" s="6">
        <v>9600.2199999999993</v>
      </c>
      <c r="O358" s="24">
        <f t="shared" si="9"/>
        <v>2722.4299999999994</v>
      </c>
    </row>
    <row r="359" spans="9:15" x14ac:dyDescent="0.25">
      <c r="I359" s="14">
        <v>353</v>
      </c>
      <c r="K359" s="6">
        <v>7831.36</v>
      </c>
      <c r="L359" s="6"/>
      <c r="M359" s="6">
        <v>9730.26</v>
      </c>
      <c r="O359" s="24">
        <f t="shared" si="9"/>
        <v>1898.9000000000005</v>
      </c>
    </row>
    <row r="360" spans="9:15" x14ac:dyDescent="0.25">
      <c r="I360" s="14">
        <v>354</v>
      </c>
      <c r="K360" s="6">
        <v>7188.25</v>
      </c>
      <c r="L360" s="6"/>
      <c r="M360" s="6">
        <v>9879.61</v>
      </c>
      <c r="O360" s="24">
        <f t="shared" si="9"/>
        <v>2691.3600000000006</v>
      </c>
    </row>
    <row r="361" spans="9:15" x14ac:dyDescent="0.25">
      <c r="I361" s="14">
        <v>355</v>
      </c>
      <c r="K361" s="6">
        <v>7765.86</v>
      </c>
      <c r="L361" s="6"/>
      <c r="M361" s="6">
        <v>9287.4</v>
      </c>
      <c r="O361" s="24">
        <f t="shared" si="9"/>
        <v>1521.54</v>
      </c>
    </row>
    <row r="362" spans="9:15" x14ac:dyDescent="0.25">
      <c r="I362" s="14">
        <v>356</v>
      </c>
      <c r="K362" s="6">
        <v>10656.05</v>
      </c>
      <c r="L362" s="6"/>
      <c r="M362" s="6">
        <v>9897.19</v>
      </c>
      <c r="O362" s="24">
        <f t="shared" si="9"/>
        <v>-758.85999999999876</v>
      </c>
    </row>
    <row r="363" spans="9:15" x14ac:dyDescent="0.25">
      <c r="I363" s="14">
        <v>357</v>
      </c>
      <c r="K363" s="6">
        <v>7273.74</v>
      </c>
      <c r="L363" s="6"/>
      <c r="M363" s="6">
        <v>9870.92</v>
      </c>
      <c r="O363" s="24">
        <f t="shared" si="9"/>
        <v>2597.1800000000003</v>
      </c>
    </row>
    <row r="364" spans="9:15" x14ac:dyDescent="0.25">
      <c r="I364" s="14">
        <v>358</v>
      </c>
      <c r="K364" s="6">
        <v>7411.41</v>
      </c>
      <c r="L364" s="6"/>
      <c r="M364" s="6">
        <v>10101.209999999999</v>
      </c>
      <c r="O364" s="24">
        <f t="shared" si="9"/>
        <v>2689.7999999999993</v>
      </c>
    </row>
    <row r="365" spans="9:15" x14ac:dyDescent="0.25">
      <c r="I365" s="14">
        <v>359</v>
      </c>
      <c r="K365" s="6">
        <v>7653.13</v>
      </c>
      <c r="L365" s="6"/>
      <c r="M365" s="6">
        <v>9879.8799999999992</v>
      </c>
      <c r="O365" s="24">
        <f t="shared" si="9"/>
        <v>2226.7499999999991</v>
      </c>
    </row>
    <row r="366" spans="9:15" x14ac:dyDescent="0.25">
      <c r="I366" s="14">
        <v>360</v>
      </c>
      <c r="K366" s="6">
        <v>7384.41</v>
      </c>
      <c r="L366" s="6"/>
      <c r="M366" s="6">
        <v>9935.5499999999993</v>
      </c>
      <c r="O366" s="24">
        <f t="shared" si="9"/>
        <v>2551.1399999999994</v>
      </c>
    </row>
    <row r="367" spans="9:15" x14ac:dyDescent="0.25">
      <c r="I367" s="14">
        <v>361</v>
      </c>
      <c r="K367" s="6">
        <v>5750.73</v>
      </c>
      <c r="L367" s="6"/>
      <c r="M367" s="6">
        <v>9260.36</v>
      </c>
      <c r="O367" s="24">
        <f t="shared" si="9"/>
        <v>3509.630000000001</v>
      </c>
    </row>
    <row r="368" spans="9:15" x14ac:dyDescent="0.25">
      <c r="I368" s="14">
        <v>362</v>
      </c>
      <c r="K368" s="6">
        <v>6842.29</v>
      </c>
      <c r="L368" s="6"/>
      <c r="M368" s="6">
        <v>11002.12</v>
      </c>
      <c r="O368" s="24">
        <f t="shared" si="9"/>
        <v>4159.8300000000008</v>
      </c>
    </row>
    <row r="369" spans="9:15" x14ac:dyDescent="0.25">
      <c r="I369" s="14">
        <v>363</v>
      </c>
      <c r="K369" s="6">
        <v>8012.82</v>
      </c>
      <c r="L369" s="6"/>
      <c r="M369" s="6">
        <v>9622.8799999999992</v>
      </c>
      <c r="O369" s="24">
        <f t="shared" si="9"/>
        <v>1610.0599999999995</v>
      </c>
    </row>
    <row r="370" spans="9:15" x14ac:dyDescent="0.25">
      <c r="I370" s="14">
        <v>364</v>
      </c>
      <c r="K370" s="6">
        <v>5743.96</v>
      </c>
      <c r="L370" s="6"/>
      <c r="M370" s="6">
        <v>9545.06</v>
      </c>
      <c r="O370" s="24">
        <f t="shared" si="9"/>
        <v>3801.0999999999995</v>
      </c>
    </row>
    <row r="371" spans="9:15" x14ac:dyDescent="0.25">
      <c r="I371" s="14">
        <v>365</v>
      </c>
      <c r="K371" s="6">
        <v>9066.9599999999991</v>
      </c>
      <c r="L371" s="6"/>
      <c r="M371" s="6">
        <v>9790.33</v>
      </c>
      <c r="O371" s="24">
        <f t="shared" si="9"/>
        <v>723.3700000000008</v>
      </c>
    </row>
    <row r="372" spans="9:15" x14ac:dyDescent="0.25">
      <c r="I372" s="14">
        <v>366</v>
      </c>
      <c r="K372" s="6">
        <v>9245.8700000000008</v>
      </c>
      <c r="L372" s="6"/>
      <c r="M372" s="6">
        <v>9616.5300000000007</v>
      </c>
      <c r="O372" s="24">
        <f t="shared" si="9"/>
        <v>370.65999999999985</v>
      </c>
    </row>
    <row r="373" spans="9:15" x14ac:dyDescent="0.25">
      <c r="I373" s="14">
        <v>367</v>
      </c>
      <c r="K373" s="6">
        <v>6495.45</v>
      </c>
      <c r="L373" s="6"/>
      <c r="M373" s="6">
        <v>9998.7000000000007</v>
      </c>
      <c r="O373" s="24">
        <f t="shared" si="9"/>
        <v>3503.2500000000009</v>
      </c>
    </row>
    <row r="374" spans="9:15" x14ac:dyDescent="0.25">
      <c r="I374" s="14">
        <v>368</v>
      </c>
      <c r="K374" s="6">
        <v>5862.83</v>
      </c>
      <c r="L374" s="6"/>
      <c r="M374" s="6">
        <v>9945.7000000000007</v>
      </c>
      <c r="O374" s="24">
        <f t="shared" si="9"/>
        <v>4082.8700000000008</v>
      </c>
    </row>
    <row r="375" spans="9:15" x14ac:dyDescent="0.25">
      <c r="I375" s="14">
        <v>369</v>
      </c>
      <c r="K375" s="6">
        <v>7154.43</v>
      </c>
      <c r="L375" s="6"/>
      <c r="M375" s="6">
        <v>10106.790000000001</v>
      </c>
      <c r="O375" s="24">
        <f t="shared" si="9"/>
        <v>2952.3600000000006</v>
      </c>
    </row>
    <row r="376" spans="9:15" x14ac:dyDescent="0.25">
      <c r="I376" s="14">
        <v>370</v>
      </c>
      <c r="K376" s="6">
        <v>5548.92</v>
      </c>
      <c r="L376" s="6"/>
      <c r="M376" s="6">
        <v>9614.2099999999991</v>
      </c>
      <c r="O376" s="24">
        <f t="shared" si="9"/>
        <v>4065.2899999999991</v>
      </c>
    </row>
    <row r="377" spans="9:15" x14ac:dyDescent="0.25">
      <c r="I377" s="14">
        <v>371</v>
      </c>
      <c r="K377" s="6">
        <v>5668.97</v>
      </c>
      <c r="L377" s="6"/>
      <c r="M377" s="6">
        <v>9408.92</v>
      </c>
      <c r="O377" s="24">
        <f t="shared" si="9"/>
        <v>3739.95</v>
      </c>
    </row>
    <row r="378" spans="9:15" x14ac:dyDescent="0.25">
      <c r="I378" s="14">
        <v>372</v>
      </c>
      <c r="K378" s="6">
        <v>7041.94</v>
      </c>
      <c r="L378" s="6"/>
      <c r="M378" s="6">
        <v>9465.52</v>
      </c>
      <c r="O378" s="24">
        <f t="shared" si="9"/>
        <v>2423.5800000000008</v>
      </c>
    </row>
    <row r="379" spans="9:15" x14ac:dyDescent="0.25">
      <c r="I379" s="14">
        <v>373</v>
      </c>
      <c r="K379" s="6">
        <v>6180.39</v>
      </c>
      <c r="L379" s="6"/>
      <c r="M379" s="6">
        <v>9300.27</v>
      </c>
      <c r="O379" s="24">
        <f t="shared" si="9"/>
        <v>3119.88</v>
      </c>
    </row>
    <row r="380" spans="9:15" x14ac:dyDescent="0.25">
      <c r="I380" s="14">
        <v>374</v>
      </c>
      <c r="K380" s="6">
        <v>7784.99</v>
      </c>
      <c r="L380" s="6"/>
      <c r="M380" s="6">
        <v>10407.74</v>
      </c>
      <c r="O380" s="24">
        <f t="shared" si="9"/>
        <v>2622.75</v>
      </c>
    </row>
    <row r="381" spans="9:15" x14ac:dyDescent="0.25">
      <c r="I381" s="14">
        <v>375</v>
      </c>
      <c r="K381" s="6">
        <v>8426.17</v>
      </c>
      <c r="L381" s="6"/>
      <c r="M381" s="6">
        <v>9887.35</v>
      </c>
      <c r="O381" s="24">
        <f t="shared" si="9"/>
        <v>1461.1800000000003</v>
      </c>
    </row>
    <row r="382" spans="9:15" x14ac:dyDescent="0.25">
      <c r="I382" s="14">
        <v>376</v>
      </c>
      <c r="K382" s="6">
        <v>6961.65</v>
      </c>
      <c r="L382" s="6"/>
      <c r="M382" s="6">
        <v>9072.1200000000008</v>
      </c>
      <c r="O382" s="24">
        <f t="shared" si="9"/>
        <v>2110.4700000000012</v>
      </c>
    </row>
    <row r="383" spans="9:15" x14ac:dyDescent="0.25">
      <c r="I383" s="14">
        <v>377</v>
      </c>
      <c r="K383" s="6">
        <v>7056.2</v>
      </c>
      <c r="L383" s="6"/>
      <c r="M383" s="6">
        <v>9841.61</v>
      </c>
      <c r="O383" s="24">
        <f t="shared" si="9"/>
        <v>2785.4100000000008</v>
      </c>
    </row>
    <row r="384" spans="9:15" x14ac:dyDescent="0.25">
      <c r="I384" s="14">
        <v>378</v>
      </c>
      <c r="K384" s="6">
        <v>9153.85</v>
      </c>
      <c r="L384" s="6"/>
      <c r="M384" s="6">
        <v>10019.74</v>
      </c>
      <c r="O384" s="24">
        <f t="shared" si="9"/>
        <v>865.88999999999942</v>
      </c>
    </row>
    <row r="385" spans="9:15" x14ac:dyDescent="0.25">
      <c r="I385" s="14">
        <v>379</v>
      </c>
      <c r="K385" s="6">
        <v>6975.13</v>
      </c>
      <c r="L385" s="6"/>
      <c r="M385" s="6">
        <v>9036.5300000000007</v>
      </c>
      <c r="O385" s="24">
        <f t="shared" si="9"/>
        <v>2061.4000000000005</v>
      </c>
    </row>
    <row r="386" spans="9:15" x14ac:dyDescent="0.25">
      <c r="I386" s="14">
        <v>380</v>
      </c>
      <c r="K386" s="6">
        <v>8157.42</v>
      </c>
      <c r="L386" s="6"/>
      <c r="M386" s="6">
        <v>10438.06</v>
      </c>
      <c r="O386" s="24">
        <f t="shared" si="9"/>
        <v>2280.6399999999994</v>
      </c>
    </row>
    <row r="387" spans="9:15" x14ac:dyDescent="0.25">
      <c r="I387" s="14">
        <v>381</v>
      </c>
      <c r="K387" s="6">
        <v>6235.32</v>
      </c>
      <c r="L387" s="6"/>
      <c r="M387" s="6">
        <v>9569.93</v>
      </c>
      <c r="O387" s="24">
        <f t="shared" si="9"/>
        <v>3334.6100000000006</v>
      </c>
    </row>
    <row r="388" spans="9:15" x14ac:dyDescent="0.25">
      <c r="I388" s="14">
        <v>382</v>
      </c>
      <c r="K388" s="6">
        <v>7710.15</v>
      </c>
      <c r="L388" s="6"/>
      <c r="M388" s="6">
        <v>9892.6</v>
      </c>
      <c r="O388" s="24">
        <f t="shared" si="9"/>
        <v>2182.4500000000007</v>
      </c>
    </row>
    <row r="389" spans="9:15" x14ac:dyDescent="0.25">
      <c r="I389" s="14">
        <v>383</v>
      </c>
      <c r="K389" s="6">
        <v>6117.86</v>
      </c>
      <c r="L389" s="6"/>
      <c r="M389" s="6">
        <v>8789.33</v>
      </c>
      <c r="O389" s="24">
        <f t="shared" si="9"/>
        <v>2671.4700000000003</v>
      </c>
    </row>
    <row r="390" spans="9:15" x14ac:dyDescent="0.25">
      <c r="I390" s="14">
        <v>384</v>
      </c>
      <c r="K390" s="6">
        <v>7789.49</v>
      </c>
      <c r="L390" s="6"/>
      <c r="M390" s="6">
        <v>9695.16</v>
      </c>
      <c r="O390" s="24">
        <f t="shared" si="9"/>
        <v>1905.67</v>
      </c>
    </row>
    <row r="391" spans="9:15" x14ac:dyDescent="0.25">
      <c r="I391" s="14">
        <v>385</v>
      </c>
      <c r="K391" s="6">
        <v>7862.47</v>
      </c>
      <c r="L391" s="6"/>
      <c r="M391" s="6">
        <v>9794.9699999999993</v>
      </c>
      <c r="O391" s="24">
        <f t="shared" si="9"/>
        <v>1932.4999999999991</v>
      </c>
    </row>
    <row r="392" spans="9:15" x14ac:dyDescent="0.25">
      <c r="I392" s="14">
        <v>386</v>
      </c>
      <c r="K392" s="6">
        <v>5552.69</v>
      </c>
      <c r="L392" s="6"/>
      <c r="M392" s="6">
        <v>9003.44</v>
      </c>
      <c r="O392" s="24">
        <f t="shared" ref="O392:O455" si="10">M392-K392</f>
        <v>3450.7500000000009</v>
      </c>
    </row>
    <row r="393" spans="9:15" x14ac:dyDescent="0.25">
      <c r="I393" s="14">
        <v>387</v>
      </c>
      <c r="K393" s="6">
        <v>8076.99</v>
      </c>
      <c r="L393" s="6"/>
      <c r="M393" s="6">
        <v>9901.4699999999993</v>
      </c>
      <c r="O393" s="24">
        <f t="shared" si="10"/>
        <v>1824.4799999999996</v>
      </c>
    </row>
    <row r="394" spans="9:15" x14ac:dyDescent="0.25">
      <c r="I394" s="14">
        <v>388</v>
      </c>
      <c r="K394" s="6">
        <v>7181.69</v>
      </c>
      <c r="L394" s="6"/>
      <c r="M394" s="6">
        <v>9823.7999999999993</v>
      </c>
      <c r="O394" s="24">
        <f t="shared" si="10"/>
        <v>2642.1099999999997</v>
      </c>
    </row>
    <row r="395" spans="9:15" x14ac:dyDescent="0.25">
      <c r="I395" s="14">
        <v>389</v>
      </c>
      <c r="K395" s="6">
        <v>6125.38</v>
      </c>
      <c r="L395" s="6"/>
      <c r="M395" s="6">
        <v>8913.39</v>
      </c>
      <c r="O395" s="24">
        <f t="shared" si="10"/>
        <v>2788.0099999999993</v>
      </c>
    </row>
    <row r="396" spans="9:15" x14ac:dyDescent="0.25">
      <c r="I396" s="14">
        <v>390</v>
      </c>
      <c r="K396" s="6">
        <v>8554.91</v>
      </c>
      <c r="L396" s="6"/>
      <c r="M396" s="6">
        <v>11015.45</v>
      </c>
      <c r="O396" s="24">
        <f t="shared" si="10"/>
        <v>2460.5400000000009</v>
      </c>
    </row>
    <row r="397" spans="9:15" x14ac:dyDescent="0.25">
      <c r="I397" s="14">
        <v>391</v>
      </c>
      <c r="K397" s="6">
        <v>6041.86</v>
      </c>
      <c r="L397" s="6"/>
      <c r="M397" s="6">
        <v>9571.44</v>
      </c>
      <c r="O397" s="24">
        <f t="shared" si="10"/>
        <v>3529.5800000000008</v>
      </c>
    </row>
    <row r="398" spans="9:15" x14ac:dyDescent="0.25">
      <c r="I398" s="14">
        <v>392</v>
      </c>
      <c r="K398" s="6">
        <v>7128.93</v>
      </c>
      <c r="L398" s="6"/>
      <c r="M398" s="6">
        <v>9746.64</v>
      </c>
      <c r="O398" s="24">
        <f t="shared" si="10"/>
        <v>2617.7099999999991</v>
      </c>
    </row>
    <row r="399" spans="9:15" x14ac:dyDescent="0.25">
      <c r="I399" s="14">
        <v>393</v>
      </c>
      <c r="K399" s="6">
        <v>7276.88</v>
      </c>
      <c r="L399" s="6"/>
      <c r="M399" s="6">
        <v>9307.2199999999993</v>
      </c>
      <c r="O399" s="24">
        <f t="shared" si="10"/>
        <v>2030.3399999999992</v>
      </c>
    </row>
    <row r="400" spans="9:15" x14ac:dyDescent="0.25">
      <c r="I400" s="14">
        <v>394</v>
      </c>
      <c r="K400" s="6">
        <v>5718.61</v>
      </c>
      <c r="L400" s="6"/>
      <c r="M400" s="6">
        <v>9150.5400000000009</v>
      </c>
      <c r="O400" s="24">
        <f t="shared" si="10"/>
        <v>3431.9300000000012</v>
      </c>
    </row>
    <row r="401" spans="9:15" x14ac:dyDescent="0.25">
      <c r="I401" s="14">
        <v>395</v>
      </c>
      <c r="K401" s="6">
        <v>5333</v>
      </c>
      <c r="L401" s="6"/>
      <c r="M401" s="6">
        <v>9611.9599999999991</v>
      </c>
      <c r="O401" s="24">
        <f t="shared" si="10"/>
        <v>4278.9599999999991</v>
      </c>
    </row>
    <row r="402" spans="9:15" x14ac:dyDescent="0.25">
      <c r="I402" s="14">
        <v>396</v>
      </c>
      <c r="K402" s="6">
        <v>8766.2099999999991</v>
      </c>
      <c r="L402" s="6"/>
      <c r="M402" s="6">
        <v>9745.66</v>
      </c>
      <c r="O402" s="24">
        <f t="shared" si="10"/>
        <v>979.45000000000073</v>
      </c>
    </row>
    <row r="403" spans="9:15" x14ac:dyDescent="0.25">
      <c r="I403" s="14">
        <v>397</v>
      </c>
      <c r="K403" s="6">
        <v>6719.63</v>
      </c>
      <c r="L403" s="6"/>
      <c r="M403" s="6">
        <v>9356.57</v>
      </c>
      <c r="O403" s="24">
        <f t="shared" si="10"/>
        <v>2636.9399999999996</v>
      </c>
    </row>
    <row r="404" spans="9:15" x14ac:dyDescent="0.25">
      <c r="I404" s="14">
        <v>398</v>
      </c>
      <c r="K404" s="6">
        <v>8296.23</v>
      </c>
      <c r="L404" s="6"/>
      <c r="M404" s="6">
        <v>10346.89</v>
      </c>
      <c r="O404" s="24">
        <f t="shared" si="10"/>
        <v>2050.66</v>
      </c>
    </row>
    <row r="405" spans="9:15" x14ac:dyDescent="0.25">
      <c r="I405" s="14">
        <v>399</v>
      </c>
      <c r="K405" s="6">
        <v>7310.23</v>
      </c>
      <c r="L405" s="6"/>
      <c r="M405" s="6">
        <v>10497.9</v>
      </c>
      <c r="O405" s="24">
        <f t="shared" si="10"/>
        <v>3187.67</v>
      </c>
    </row>
    <row r="406" spans="9:15" x14ac:dyDescent="0.25">
      <c r="I406" s="14">
        <v>400</v>
      </c>
      <c r="K406" s="6">
        <v>8091.08</v>
      </c>
      <c r="L406" s="6"/>
      <c r="M406" s="6">
        <v>10233.01</v>
      </c>
      <c r="O406" s="24">
        <f t="shared" si="10"/>
        <v>2141.9300000000003</v>
      </c>
    </row>
    <row r="407" spans="9:15" x14ac:dyDescent="0.25">
      <c r="I407" s="14">
        <v>401</v>
      </c>
      <c r="K407" s="6">
        <v>5807.69</v>
      </c>
      <c r="L407" s="6"/>
      <c r="M407" s="6">
        <v>9923.73</v>
      </c>
      <c r="O407" s="24">
        <f t="shared" si="10"/>
        <v>4116.04</v>
      </c>
    </row>
    <row r="408" spans="9:15" x14ac:dyDescent="0.25">
      <c r="I408" s="14">
        <v>402</v>
      </c>
      <c r="K408" s="6">
        <v>8341.11</v>
      </c>
      <c r="L408" s="6"/>
      <c r="M408" s="6">
        <v>10022.76</v>
      </c>
      <c r="O408" s="24">
        <f t="shared" si="10"/>
        <v>1681.6499999999996</v>
      </c>
    </row>
    <row r="409" spans="9:15" x14ac:dyDescent="0.25">
      <c r="I409" s="14">
        <v>403</v>
      </c>
      <c r="K409" s="6">
        <v>7698.76</v>
      </c>
      <c r="L409" s="6"/>
      <c r="M409" s="6">
        <v>9355.5</v>
      </c>
      <c r="O409" s="24">
        <f t="shared" si="10"/>
        <v>1656.7399999999998</v>
      </c>
    </row>
    <row r="410" spans="9:15" x14ac:dyDescent="0.25">
      <c r="I410" s="14">
        <v>404</v>
      </c>
      <c r="K410" s="6">
        <v>8299.84</v>
      </c>
      <c r="L410" s="6"/>
      <c r="M410" s="6">
        <v>10917.44</v>
      </c>
      <c r="O410" s="24">
        <f t="shared" si="10"/>
        <v>2617.6000000000004</v>
      </c>
    </row>
    <row r="411" spans="9:15" x14ac:dyDescent="0.25">
      <c r="I411" s="14">
        <v>405</v>
      </c>
      <c r="K411" s="6">
        <v>6295.68</v>
      </c>
      <c r="L411" s="6"/>
      <c r="M411" s="6">
        <v>9142.17</v>
      </c>
      <c r="O411" s="24">
        <f t="shared" si="10"/>
        <v>2846.49</v>
      </c>
    </row>
    <row r="412" spans="9:15" x14ac:dyDescent="0.25">
      <c r="I412" s="14">
        <v>406</v>
      </c>
      <c r="K412" s="6">
        <v>6298.18</v>
      </c>
      <c r="L412" s="6"/>
      <c r="M412" s="6">
        <v>9882.94</v>
      </c>
      <c r="O412" s="24">
        <f t="shared" si="10"/>
        <v>3584.76</v>
      </c>
    </row>
    <row r="413" spans="9:15" x14ac:dyDescent="0.25">
      <c r="I413" s="14">
        <v>407</v>
      </c>
      <c r="K413" s="6">
        <v>7127.45</v>
      </c>
      <c r="L413" s="6"/>
      <c r="M413" s="6">
        <v>10090.43</v>
      </c>
      <c r="O413" s="24">
        <f t="shared" si="10"/>
        <v>2962.9800000000005</v>
      </c>
    </row>
    <row r="414" spans="9:15" x14ac:dyDescent="0.25">
      <c r="I414" s="14">
        <v>408</v>
      </c>
      <c r="K414" s="6">
        <v>7322.46</v>
      </c>
      <c r="L414" s="6"/>
      <c r="M414" s="6">
        <v>9449.9699999999993</v>
      </c>
      <c r="O414" s="24">
        <f t="shared" si="10"/>
        <v>2127.5099999999993</v>
      </c>
    </row>
    <row r="415" spans="9:15" x14ac:dyDescent="0.25">
      <c r="I415" s="14">
        <v>409</v>
      </c>
      <c r="K415" s="6">
        <v>7380.25</v>
      </c>
      <c r="L415" s="6"/>
      <c r="M415" s="6">
        <v>10593.74</v>
      </c>
      <c r="O415" s="24">
        <f t="shared" si="10"/>
        <v>3213.49</v>
      </c>
    </row>
    <row r="416" spans="9:15" x14ac:dyDescent="0.25">
      <c r="I416" s="14">
        <v>410</v>
      </c>
      <c r="K416" s="6">
        <v>6205.5</v>
      </c>
      <c r="L416" s="6"/>
      <c r="M416" s="6">
        <v>8991.1</v>
      </c>
      <c r="O416" s="24">
        <f t="shared" si="10"/>
        <v>2785.6000000000004</v>
      </c>
    </row>
    <row r="417" spans="9:15" x14ac:dyDescent="0.25">
      <c r="I417" s="14">
        <v>411</v>
      </c>
      <c r="K417" s="6">
        <v>6265.02</v>
      </c>
      <c r="L417" s="6"/>
      <c r="M417" s="6">
        <v>9942.69</v>
      </c>
      <c r="O417" s="24">
        <f t="shared" si="10"/>
        <v>3677.67</v>
      </c>
    </row>
    <row r="418" spans="9:15" x14ac:dyDescent="0.25">
      <c r="I418" s="14">
        <v>412</v>
      </c>
      <c r="K418" s="6">
        <v>6199.77</v>
      </c>
      <c r="L418" s="6"/>
      <c r="M418" s="6">
        <v>9665.3700000000008</v>
      </c>
      <c r="O418" s="24">
        <f t="shared" si="10"/>
        <v>3465.6000000000004</v>
      </c>
    </row>
    <row r="419" spans="9:15" x14ac:dyDescent="0.25">
      <c r="I419" s="14">
        <v>413</v>
      </c>
      <c r="K419" s="6">
        <v>6572.2</v>
      </c>
      <c r="L419" s="6"/>
      <c r="M419" s="6">
        <v>8680.35</v>
      </c>
      <c r="O419" s="24">
        <f t="shared" si="10"/>
        <v>2108.1500000000005</v>
      </c>
    </row>
    <row r="420" spans="9:15" x14ac:dyDescent="0.25">
      <c r="I420" s="14">
        <v>414</v>
      </c>
      <c r="K420" s="6">
        <v>5514.22</v>
      </c>
      <c r="L420" s="6"/>
      <c r="M420" s="6">
        <v>10107.870000000001</v>
      </c>
      <c r="O420" s="24">
        <f t="shared" si="10"/>
        <v>4593.6500000000005</v>
      </c>
    </row>
    <row r="421" spans="9:15" x14ac:dyDescent="0.25">
      <c r="I421" s="14">
        <v>415</v>
      </c>
      <c r="K421" s="6">
        <v>7265.98</v>
      </c>
      <c r="L421" s="6"/>
      <c r="M421" s="6">
        <v>9617.7999999999993</v>
      </c>
      <c r="O421" s="24">
        <f t="shared" si="10"/>
        <v>2351.8199999999997</v>
      </c>
    </row>
    <row r="422" spans="9:15" x14ac:dyDescent="0.25">
      <c r="I422" s="14">
        <v>416</v>
      </c>
      <c r="K422" s="6">
        <v>6879.07</v>
      </c>
      <c r="L422" s="6"/>
      <c r="M422" s="6">
        <v>9446.5400000000009</v>
      </c>
      <c r="O422" s="24">
        <f t="shared" si="10"/>
        <v>2567.4700000000012</v>
      </c>
    </row>
    <row r="423" spans="9:15" x14ac:dyDescent="0.25">
      <c r="I423" s="14">
        <v>417</v>
      </c>
      <c r="K423" s="6">
        <v>7138.35</v>
      </c>
      <c r="L423" s="6"/>
      <c r="M423" s="6">
        <v>10683.18</v>
      </c>
      <c r="O423" s="24">
        <f t="shared" si="10"/>
        <v>3544.83</v>
      </c>
    </row>
    <row r="424" spans="9:15" x14ac:dyDescent="0.25">
      <c r="I424" s="14">
        <v>418</v>
      </c>
      <c r="K424" s="6">
        <v>7576.04</v>
      </c>
      <c r="L424" s="6"/>
      <c r="M424" s="6">
        <v>10363.69</v>
      </c>
      <c r="O424" s="24">
        <f t="shared" si="10"/>
        <v>2787.6500000000005</v>
      </c>
    </row>
    <row r="425" spans="9:15" x14ac:dyDescent="0.25">
      <c r="I425" s="14">
        <v>419</v>
      </c>
      <c r="K425" s="6">
        <v>5475.78</v>
      </c>
      <c r="L425" s="6"/>
      <c r="M425" s="6">
        <v>9718.5</v>
      </c>
      <c r="O425" s="24">
        <f t="shared" si="10"/>
        <v>4242.72</v>
      </c>
    </row>
    <row r="426" spans="9:15" x14ac:dyDescent="0.25">
      <c r="I426" s="14">
        <v>420</v>
      </c>
      <c r="K426" s="6">
        <v>7652.02</v>
      </c>
      <c r="L426" s="6"/>
      <c r="M426" s="6">
        <v>9438.6</v>
      </c>
      <c r="O426" s="24">
        <f t="shared" si="10"/>
        <v>1786.58</v>
      </c>
    </row>
    <row r="427" spans="9:15" x14ac:dyDescent="0.25">
      <c r="I427" s="14">
        <v>421</v>
      </c>
      <c r="K427" s="6">
        <v>5788.15</v>
      </c>
      <c r="L427" s="6"/>
      <c r="M427" s="6">
        <v>9632.66</v>
      </c>
      <c r="O427" s="24">
        <f t="shared" si="10"/>
        <v>3844.51</v>
      </c>
    </row>
    <row r="428" spans="9:15" x14ac:dyDescent="0.25">
      <c r="I428" s="14">
        <v>422</v>
      </c>
      <c r="K428" s="6">
        <v>6154.4</v>
      </c>
      <c r="L428" s="6"/>
      <c r="M428" s="6">
        <v>9741.26</v>
      </c>
      <c r="O428" s="24">
        <f t="shared" si="10"/>
        <v>3586.8600000000006</v>
      </c>
    </row>
    <row r="429" spans="9:15" x14ac:dyDescent="0.25">
      <c r="I429" s="14">
        <v>423</v>
      </c>
      <c r="K429" s="6">
        <v>10357.39</v>
      </c>
      <c r="L429" s="6"/>
      <c r="M429" s="6">
        <v>10279.5</v>
      </c>
      <c r="O429" s="24">
        <f t="shared" si="10"/>
        <v>-77.889999999999418</v>
      </c>
    </row>
    <row r="430" spans="9:15" x14ac:dyDescent="0.25">
      <c r="I430" s="14">
        <v>424</v>
      </c>
      <c r="K430" s="6">
        <v>5829.94</v>
      </c>
      <c r="L430" s="6"/>
      <c r="M430" s="6">
        <v>9826.3700000000008</v>
      </c>
      <c r="O430" s="24">
        <f t="shared" si="10"/>
        <v>3996.4300000000012</v>
      </c>
    </row>
    <row r="431" spans="9:15" x14ac:dyDescent="0.25">
      <c r="I431" s="14">
        <v>425</v>
      </c>
      <c r="K431" s="6">
        <v>7560.49</v>
      </c>
      <c r="L431" s="6"/>
      <c r="M431" s="6">
        <v>10195.18</v>
      </c>
      <c r="O431" s="24">
        <f t="shared" si="10"/>
        <v>2634.6900000000005</v>
      </c>
    </row>
    <row r="432" spans="9:15" x14ac:dyDescent="0.25">
      <c r="I432" s="14">
        <v>426</v>
      </c>
      <c r="K432" s="6">
        <v>6126.16</v>
      </c>
      <c r="L432" s="6"/>
      <c r="M432" s="6">
        <v>8942.5400000000009</v>
      </c>
      <c r="O432" s="24">
        <f t="shared" si="10"/>
        <v>2816.380000000001</v>
      </c>
    </row>
    <row r="433" spans="9:15" x14ac:dyDescent="0.25">
      <c r="I433" s="14">
        <v>427</v>
      </c>
      <c r="K433" s="6">
        <v>6750.91</v>
      </c>
      <c r="L433" s="6"/>
      <c r="M433" s="6">
        <v>10118.280000000001</v>
      </c>
      <c r="O433" s="24">
        <f t="shared" si="10"/>
        <v>3367.3700000000008</v>
      </c>
    </row>
    <row r="434" spans="9:15" x14ac:dyDescent="0.25">
      <c r="I434" s="14">
        <v>428</v>
      </c>
      <c r="K434" s="6">
        <v>7531.43</v>
      </c>
      <c r="L434" s="6"/>
      <c r="M434" s="6">
        <v>10206.85</v>
      </c>
      <c r="O434" s="24">
        <f t="shared" si="10"/>
        <v>2675.42</v>
      </c>
    </row>
    <row r="435" spans="9:15" x14ac:dyDescent="0.25">
      <c r="I435" s="14">
        <v>429</v>
      </c>
      <c r="K435" s="6">
        <v>7404.61</v>
      </c>
      <c r="L435" s="6"/>
      <c r="M435" s="6">
        <v>9549.5499999999993</v>
      </c>
      <c r="O435" s="24">
        <f t="shared" si="10"/>
        <v>2144.9399999999996</v>
      </c>
    </row>
    <row r="436" spans="9:15" x14ac:dyDescent="0.25">
      <c r="I436" s="14">
        <v>430</v>
      </c>
      <c r="K436" s="6">
        <v>8075.63</v>
      </c>
      <c r="L436" s="6"/>
      <c r="M436" s="6">
        <v>9998.07</v>
      </c>
      <c r="O436" s="24">
        <f t="shared" si="10"/>
        <v>1922.4399999999996</v>
      </c>
    </row>
    <row r="437" spans="9:15" x14ac:dyDescent="0.25">
      <c r="I437" s="14">
        <v>431</v>
      </c>
      <c r="K437" s="6">
        <v>6040.79</v>
      </c>
      <c r="L437" s="6"/>
      <c r="M437" s="6">
        <v>9710.49</v>
      </c>
      <c r="O437" s="24">
        <f t="shared" si="10"/>
        <v>3669.7</v>
      </c>
    </row>
    <row r="438" spans="9:15" x14ac:dyDescent="0.25">
      <c r="I438" s="14">
        <v>432</v>
      </c>
      <c r="K438" s="6">
        <v>6544.66</v>
      </c>
      <c r="L438" s="6"/>
      <c r="M438" s="6">
        <v>10427.120000000001</v>
      </c>
      <c r="O438" s="24">
        <f t="shared" si="10"/>
        <v>3882.4600000000009</v>
      </c>
    </row>
    <row r="439" spans="9:15" x14ac:dyDescent="0.25">
      <c r="I439" s="14">
        <v>433</v>
      </c>
      <c r="K439" s="6">
        <v>5532.31</v>
      </c>
      <c r="L439" s="6"/>
      <c r="M439" s="6">
        <v>10109.07</v>
      </c>
      <c r="O439" s="24">
        <f t="shared" si="10"/>
        <v>4576.7599999999993</v>
      </c>
    </row>
    <row r="440" spans="9:15" x14ac:dyDescent="0.25">
      <c r="I440" s="14">
        <v>434</v>
      </c>
      <c r="K440" s="6">
        <v>8116.57</v>
      </c>
      <c r="L440" s="6"/>
      <c r="M440" s="6">
        <v>8989.7199999999993</v>
      </c>
      <c r="O440" s="24">
        <f t="shared" si="10"/>
        <v>873.14999999999964</v>
      </c>
    </row>
    <row r="441" spans="9:15" x14ac:dyDescent="0.25">
      <c r="I441" s="14">
        <v>435</v>
      </c>
      <c r="K441" s="6">
        <v>7659.97</v>
      </c>
      <c r="L441" s="6"/>
      <c r="M441" s="6">
        <v>10207.86</v>
      </c>
      <c r="O441" s="24">
        <f t="shared" si="10"/>
        <v>2547.8900000000003</v>
      </c>
    </row>
    <row r="442" spans="9:15" x14ac:dyDescent="0.25">
      <c r="I442" s="14">
        <v>436</v>
      </c>
      <c r="K442" s="6">
        <v>6365.18</v>
      </c>
      <c r="L442" s="6"/>
      <c r="M442" s="6">
        <v>9120.64</v>
      </c>
      <c r="O442" s="24">
        <f t="shared" si="10"/>
        <v>2755.4599999999991</v>
      </c>
    </row>
    <row r="443" spans="9:15" x14ac:dyDescent="0.25">
      <c r="I443" s="14">
        <v>437</v>
      </c>
      <c r="K443" s="6">
        <v>8175.85</v>
      </c>
      <c r="L443" s="6"/>
      <c r="M443" s="6">
        <v>10375.450000000001</v>
      </c>
      <c r="O443" s="24">
        <f t="shared" si="10"/>
        <v>2199.6000000000004</v>
      </c>
    </row>
    <row r="444" spans="9:15" x14ac:dyDescent="0.25">
      <c r="I444" s="14">
        <v>438</v>
      </c>
      <c r="K444" s="6">
        <v>8405.1299999999992</v>
      </c>
      <c r="L444" s="6"/>
      <c r="M444" s="6">
        <v>9298.69</v>
      </c>
      <c r="O444" s="24">
        <f t="shared" si="10"/>
        <v>893.56000000000131</v>
      </c>
    </row>
    <row r="445" spans="9:15" x14ac:dyDescent="0.25">
      <c r="I445" s="14">
        <v>439</v>
      </c>
      <c r="K445" s="6">
        <v>7901.53</v>
      </c>
      <c r="L445" s="6"/>
      <c r="M445" s="6">
        <v>9086.41</v>
      </c>
      <c r="O445" s="24">
        <f t="shared" si="10"/>
        <v>1184.8800000000001</v>
      </c>
    </row>
    <row r="446" spans="9:15" x14ac:dyDescent="0.25">
      <c r="I446" s="14">
        <v>440</v>
      </c>
      <c r="K446" s="6">
        <v>8851.2199999999993</v>
      </c>
      <c r="L446" s="6"/>
      <c r="M446" s="6">
        <v>10237.040000000001</v>
      </c>
      <c r="O446" s="24">
        <f t="shared" si="10"/>
        <v>1385.8200000000015</v>
      </c>
    </row>
    <row r="447" spans="9:15" x14ac:dyDescent="0.25">
      <c r="I447" s="14">
        <v>441</v>
      </c>
      <c r="K447" s="6">
        <v>5909.73</v>
      </c>
      <c r="L447" s="6"/>
      <c r="M447" s="6">
        <v>9718.4699999999993</v>
      </c>
      <c r="O447" s="24">
        <f t="shared" si="10"/>
        <v>3808.74</v>
      </c>
    </row>
    <row r="448" spans="9:15" x14ac:dyDescent="0.25">
      <c r="I448" s="14">
        <v>442</v>
      </c>
      <c r="K448" s="6">
        <v>6779.73</v>
      </c>
      <c r="L448" s="6"/>
      <c r="M448" s="6">
        <v>9720.4500000000007</v>
      </c>
      <c r="O448" s="24">
        <f t="shared" si="10"/>
        <v>2940.7200000000012</v>
      </c>
    </row>
    <row r="449" spans="9:15" x14ac:dyDescent="0.25">
      <c r="I449" s="14">
        <v>443</v>
      </c>
      <c r="K449" s="6">
        <v>6727.1</v>
      </c>
      <c r="L449" s="6"/>
      <c r="M449" s="6">
        <v>9581.2199999999993</v>
      </c>
      <c r="O449" s="24">
        <f t="shared" si="10"/>
        <v>2854.119999999999</v>
      </c>
    </row>
    <row r="450" spans="9:15" x14ac:dyDescent="0.25">
      <c r="I450" s="14">
        <v>444</v>
      </c>
      <c r="K450" s="6">
        <v>6207.87</v>
      </c>
      <c r="L450" s="6"/>
      <c r="M450" s="6">
        <v>10602.01</v>
      </c>
      <c r="O450" s="24">
        <f t="shared" si="10"/>
        <v>4394.1400000000003</v>
      </c>
    </row>
    <row r="451" spans="9:15" x14ac:dyDescent="0.25">
      <c r="I451" s="14">
        <v>445</v>
      </c>
      <c r="K451" s="6">
        <v>6203.09</v>
      </c>
      <c r="L451" s="6"/>
      <c r="M451" s="6">
        <v>10117.040000000001</v>
      </c>
      <c r="O451" s="24">
        <f t="shared" si="10"/>
        <v>3913.9500000000007</v>
      </c>
    </row>
    <row r="452" spans="9:15" x14ac:dyDescent="0.25">
      <c r="I452" s="14">
        <v>446</v>
      </c>
      <c r="K452" s="6">
        <v>6913.97</v>
      </c>
      <c r="L452" s="6"/>
      <c r="M452" s="6">
        <v>9827.9500000000007</v>
      </c>
      <c r="O452" s="24">
        <f t="shared" si="10"/>
        <v>2913.9800000000005</v>
      </c>
    </row>
    <row r="453" spans="9:15" x14ac:dyDescent="0.25">
      <c r="I453" s="14">
        <v>447</v>
      </c>
      <c r="K453" s="6">
        <v>9163.7199999999993</v>
      </c>
      <c r="L453" s="6"/>
      <c r="M453" s="6">
        <v>9487.4500000000007</v>
      </c>
      <c r="O453" s="24">
        <f t="shared" si="10"/>
        <v>323.73000000000138</v>
      </c>
    </row>
    <row r="454" spans="9:15" x14ac:dyDescent="0.25">
      <c r="I454" s="14">
        <v>448</v>
      </c>
      <c r="K454" s="6">
        <v>6801.2</v>
      </c>
      <c r="L454" s="6"/>
      <c r="M454" s="6">
        <v>9628.08</v>
      </c>
      <c r="O454" s="24">
        <f t="shared" si="10"/>
        <v>2826.88</v>
      </c>
    </row>
    <row r="455" spans="9:15" x14ac:dyDescent="0.25">
      <c r="I455" s="14">
        <v>449</v>
      </c>
      <c r="K455" s="6">
        <v>6517.09</v>
      </c>
      <c r="L455" s="6"/>
      <c r="M455" s="6">
        <v>9692.43</v>
      </c>
      <c r="O455" s="24">
        <f t="shared" si="10"/>
        <v>3175.34</v>
      </c>
    </row>
    <row r="456" spans="9:15" x14ac:dyDescent="0.25">
      <c r="I456" s="14">
        <v>450</v>
      </c>
      <c r="K456" s="6">
        <v>5892.51</v>
      </c>
      <c r="L456" s="6"/>
      <c r="M456" s="6">
        <v>9410.7199999999993</v>
      </c>
      <c r="O456" s="24">
        <f t="shared" ref="O456:O519" si="11">M456-K456</f>
        <v>3518.2099999999991</v>
      </c>
    </row>
    <row r="457" spans="9:15" x14ac:dyDescent="0.25">
      <c r="I457" s="14">
        <v>451</v>
      </c>
      <c r="K457" s="6">
        <v>6229.94</v>
      </c>
      <c r="L457" s="6"/>
      <c r="M457" s="6">
        <v>9833.23</v>
      </c>
      <c r="O457" s="24">
        <f t="shared" si="11"/>
        <v>3603.29</v>
      </c>
    </row>
    <row r="458" spans="9:15" x14ac:dyDescent="0.25">
      <c r="I458" s="14">
        <v>452</v>
      </c>
      <c r="K458" s="6">
        <v>7058.33</v>
      </c>
      <c r="L458" s="6"/>
      <c r="M458" s="6">
        <v>9692.48</v>
      </c>
      <c r="O458" s="24">
        <f t="shared" si="11"/>
        <v>2634.1499999999996</v>
      </c>
    </row>
    <row r="459" spans="9:15" x14ac:dyDescent="0.25">
      <c r="I459" s="14">
        <v>453</v>
      </c>
      <c r="K459" s="6">
        <v>6103.03</v>
      </c>
      <c r="L459" s="6"/>
      <c r="M459" s="6">
        <v>9934.51</v>
      </c>
      <c r="O459" s="24">
        <f t="shared" si="11"/>
        <v>3831.4800000000005</v>
      </c>
    </row>
    <row r="460" spans="9:15" x14ac:dyDescent="0.25">
      <c r="I460" s="14">
        <v>454</v>
      </c>
      <c r="K460" s="6">
        <v>8094.93</v>
      </c>
      <c r="L460" s="6"/>
      <c r="M460" s="6">
        <v>9153.84</v>
      </c>
      <c r="O460" s="24">
        <f t="shared" si="11"/>
        <v>1058.9099999999999</v>
      </c>
    </row>
    <row r="461" spans="9:15" x14ac:dyDescent="0.25">
      <c r="I461" s="14">
        <v>455</v>
      </c>
      <c r="K461" s="6">
        <v>8736.1299999999992</v>
      </c>
      <c r="L461" s="6"/>
      <c r="M461" s="6">
        <v>9652.61</v>
      </c>
      <c r="O461" s="24">
        <f t="shared" si="11"/>
        <v>916.48000000000138</v>
      </c>
    </row>
    <row r="462" spans="9:15" x14ac:dyDescent="0.25">
      <c r="I462" s="14">
        <v>456</v>
      </c>
      <c r="K462" s="6">
        <v>5613.93</v>
      </c>
      <c r="L462" s="6"/>
      <c r="M462" s="6">
        <v>9941.4</v>
      </c>
      <c r="O462" s="24">
        <f t="shared" si="11"/>
        <v>4327.4699999999993</v>
      </c>
    </row>
    <row r="463" spans="9:15" x14ac:dyDescent="0.25">
      <c r="I463" s="14">
        <v>457</v>
      </c>
      <c r="K463" s="6">
        <v>7385</v>
      </c>
      <c r="L463" s="6"/>
      <c r="M463" s="6">
        <v>9808.24</v>
      </c>
      <c r="O463" s="24">
        <f t="shared" si="11"/>
        <v>2423.2399999999998</v>
      </c>
    </row>
    <row r="464" spans="9:15" x14ac:dyDescent="0.25">
      <c r="I464" s="14">
        <v>458</v>
      </c>
      <c r="K464" s="6">
        <v>7876.81</v>
      </c>
      <c r="L464" s="6"/>
      <c r="M464" s="6">
        <v>9849.4699999999993</v>
      </c>
      <c r="O464" s="24">
        <f t="shared" si="11"/>
        <v>1972.6599999999989</v>
      </c>
    </row>
    <row r="465" spans="9:15" x14ac:dyDescent="0.25">
      <c r="I465" s="14">
        <v>459</v>
      </c>
      <c r="K465" s="6">
        <v>5602.3</v>
      </c>
      <c r="L465" s="6"/>
      <c r="M465" s="6">
        <v>9844.11</v>
      </c>
      <c r="O465" s="24">
        <f t="shared" si="11"/>
        <v>4241.8100000000004</v>
      </c>
    </row>
    <row r="466" spans="9:15" x14ac:dyDescent="0.25">
      <c r="I466" s="14">
        <v>460</v>
      </c>
      <c r="K466" s="6">
        <v>7607.34</v>
      </c>
      <c r="L466" s="6"/>
      <c r="M466" s="6">
        <v>9834.17</v>
      </c>
      <c r="O466" s="24">
        <f t="shared" si="11"/>
        <v>2226.83</v>
      </c>
    </row>
    <row r="467" spans="9:15" x14ac:dyDescent="0.25">
      <c r="I467" s="14">
        <v>461</v>
      </c>
      <c r="K467" s="6">
        <v>6938.12</v>
      </c>
      <c r="L467" s="6"/>
      <c r="M467" s="6">
        <v>10024.25</v>
      </c>
      <c r="O467" s="24">
        <f t="shared" si="11"/>
        <v>3086.13</v>
      </c>
    </row>
    <row r="468" spans="9:15" x14ac:dyDescent="0.25">
      <c r="I468" s="14">
        <v>462</v>
      </c>
      <c r="K468" s="6">
        <v>6012.84</v>
      </c>
      <c r="L468" s="6"/>
      <c r="M468" s="6">
        <v>9490.6200000000008</v>
      </c>
      <c r="O468" s="24">
        <f t="shared" si="11"/>
        <v>3477.7800000000007</v>
      </c>
    </row>
    <row r="469" spans="9:15" x14ac:dyDescent="0.25">
      <c r="I469" s="14">
        <v>463</v>
      </c>
      <c r="K469" s="6">
        <v>6829.46</v>
      </c>
      <c r="L469" s="6"/>
      <c r="M469" s="6">
        <v>9708.2800000000007</v>
      </c>
      <c r="O469" s="24">
        <f t="shared" si="11"/>
        <v>2878.8200000000006</v>
      </c>
    </row>
    <row r="470" spans="9:15" x14ac:dyDescent="0.25">
      <c r="I470" s="14">
        <v>464</v>
      </c>
      <c r="K470" s="6">
        <v>6321.63</v>
      </c>
      <c r="L470" s="6"/>
      <c r="M470" s="6">
        <v>9760.51</v>
      </c>
      <c r="O470" s="24">
        <f t="shared" si="11"/>
        <v>3438.88</v>
      </c>
    </row>
    <row r="471" spans="9:15" x14ac:dyDescent="0.25">
      <c r="I471" s="14">
        <v>465</v>
      </c>
      <c r="K471" s="6">
        <v>6000.32</v>
      </c>
      <c r="L471" s="6"/>
      <c r="M471" s="6">
        <v>10486.64</v>
      </c>
      <c r="O471" s="24">
        <f t="shared" si="11"/>
        <v>4486.32</v>
      </c>
    </row>
    <row r="472" spans="9:15" x14ac:dyDescent="0.25">
      <c r="I472" s="14">
        <v>466</v>
      </c>
      <c r="K472" s="6">
        <v>9215</v>
      </c>
      <c r="L472" s="6"/>
      <c r="M472" s="6">
        <v>10303.52</v>
      </c>
      <c r="O472" s="24">
        <f t="shared" si="11"/>
        <v>1088.5200000000004</v>
      </c>
    </row>
    <row r="473" spans="9:15" x14ac:dyDescent="0.25">
      <c r="I473" s="14">
        <v>467</v>
      </c>
      <c r="K473" s="6">
        <v>5941.2</v>
      </c>
      <c r="L473" s="6"/>
      <c r="M473" s="6">
        <v>10278.280000000001</v>
      </c>
      <c r="O473" s="24">
        <f t="shared" si="11"/>
        <v>4337.0800000000008</v>
      </c>
    </row>
    <row r="474" spans="9:15" x14ac:dyDescent="0.25">
      <c r="I474" s="14">
        <v>468</v>
      </c>
      <c r="K474" s="6">
        <v>8361.0300000000007</v>
      </c>
      <c r="L474" s="6"/>
      <c r="M474" s="6">
        <v>10537.76</v>
      </c>
      <c r="O474" s="24">
        <f t="shared" si="11"/>
        <v>2176.7299999999996</v>
      </c>
    </row>
    <row r="475" spans="9:15" x14ac:dyDescent="0.25">
      <c r="I475" s="14">
        <v>469</v>
      </c>
      <c r="K475" s="6">
        <v>5860.49</v>
      </c>
      <c r="L475" s="6"/>
      <c r="M475" s="6">
        <v>10469.6</v>
      </c>
      <c r="O475" s="24">
        <f t="shared" si="11"/>
        <v>4609.1100000000006</v>
      </c>
    </row>
    <row r="476" spans="9:15" x14ac:dyDescent="0.25">
      <c r="I476" s="14">
        <v>470</v>
      </c>
      <c r="K476" s="6">
        <v>8913.0300000000007</v>
      </c>
      <c r="L476" s="6"/>
      <c r="M476" s="6">
        <v>10387.9</v>
      </c>
      <c r="O476" s="24">
        <f t="shared" si="11"/>
        <v>1474.869999999999</v>
      </c>
    </row>
    <row r="477" spans="9:15" x14ac:dyDescent="0.25">
      <c r="I477" s="14">
        <v>471</v>
      </c>
      <c r="K477" s="6">
        <v>5615.99</v>
      </c>
      <c r="L477" s="6"/>
      <c r="M477" s="6">
        <v>8984.34</v>
      </c>
      <c r="O477" s="24">
        <f t="shared" si="11"/>
        <v>3368.3500000000004</v>
      </c>
    </row>
    <row r="478" spans="9:15" x14ac:dyDescent="0.25">
      <c r="I478" s="14">
        <v>472</v>
      </c>
      <c r="K478" s="6">
        <v>7885.03</v>
      </c>
      <c r="L478" s="6"/>
      <c r="M478" s="6">
        <v>9163.48</v>
      </c>
      <c r="O478" s="24">
        <f t="shared" si="11"/>
        <v>1278.4499999999998</v>
      </c>
    </row>
    <row r="479" spans="9:15" x14ac:dyDescent="0.25">
      <c r="I479" s="14">
        <v>473</v>
      </c>
      <c r="K479" s="6">
        <v>6624.78</v>
      </c>
      <c r="L479" s="6"/>
      <c r="M479" s="6">
        <v>10349.08</v>
      </c>
      <c r="O479" s="24">
        <f t="shared" si="11"/>
        <v>3724.3</v>
      </c>
    </row>
    <row r="480" spans="9:15" x14ac:dyDescent="0.25">
      <c r="I480" s="14">
        <v>474</v>
      </c>
      <c r="K480" s="6">
        <v>7250.5</v>
      </c>
      <c r="L480" s="6"/>
      <c r="M480" s="6">
        <v>9762.1200000000008</v>
      </c>
      <c r="O480" s="24">
        <f t="shared" si="11"/>
        <v>2511.6200000000008</v>
      </c>
    </row>
    <row r="481" spans="9:15" x14ac:dyDescent="0.25">
      <c r="I481" s="14">
        <v>475</v>
      </c>
      <c r="K481" s="6">
        <v>10442.99</v>
      </c>
      <c r="L481" s="6"/>
      <c r="M481" s="6">
        <v>10040.299999999999</v>
      </c>
      <c r="O481" s="24">
        <f t="shared" si="11"/>
        <v>-402.69000000000051</v>
      </c>
    </row>
    <row r="482" spans="9:15" x14ac:dyDescent="0.25">
      <c r="I482" s="14">
        <v>476</v>
      </c>
      <c r="K482" s="6">
        <v>6626.82</v>
      </c>
      <c r="L482" s="6"/>
      <c r="M482" s="6">
        <v>10031.290000000001</v>
      </c>
      <c r="O482" s="24">
        <f t="shared" si="11"/>
        <v>3404.4700000000012</v>
      </c>
    </row>
    <row r="483" spans="9:15" x14ac:dyDescent="0.25">
      <c r="I483" s="14">
        <v>477</v>
      </c>
      <c r="K483" s="6">
        <v>7187.25</v>
      </c>
      <c r="L483" s="6"/>
      <c r="M483" s="6">
        <v>9223.16</v>
      </c>
      <c r="O483" s="24">
        <f t="shared" si="11"/>
        <v>2035.9099999999999</v>
      </c>
    </row>
    <row r="484" spans="9:15" x14ac:dyDescent="0.25">
      <c r="I484" s="14">
        <v>478</v>
      </c>
      <c r="K484" s="6">
        <v>6084.39</v>
      </c>
      <c r="L484" s="6"/>
      <c r="M484" s="6">
        <v>9755.92</v>
      </c>
      <c r="O484" s="24">
        <f t="shared" si="11"/>
        <v>3671.5299999999997</v>
      </c>
    </row>
    <row r="485" spans="9:15" x14ac:dyDescent="0.25">
      <c r="I485" s="14">
        <v>479</v>
      </c>
      <c r="K485" s="6">
        <v>6069.06</v>
      </c>
      <c r="L485" s="6"/>
      <c r="M485" s="6">
        <v>10333.790000000001</v>
      </c>
      <c r="O485" s="24">
        <f t="shared" si="11"/>
        <v>4264.7300000000005</v>
      </c>
    </row>
    <row r="486" spans="9:15" x14ac:dyDescent="0.25">
      <c r="I486" s="14">
        <v>480</v>
      </c>
      <c r="K486" s="6">
        <v>7784.78</v>
      </c>
      <c r="L486" s="6"/>
      <c r="M486" s="6">
        <v>10245.94</v>
      </c>
      <c r="O486" s="24">
        <f t="shared" si="11"/>
        <v>2461.1600000000008</v>
      </c>
    </row>
    <row r="487" spans="9:15" x14ac:dyDescent="0.25">
      <c r="I487" s="14">
        <v>481</v>
      </c>
      <c r="K487" s="6">
        <v>5588.22</v>
      </c>
      <c r="L487" s="6"/>
      <c r="M487" s="6">
        <v>11032.69</v>
      </c>
      <c r="O487" s="24">
        <f t="shared" si="11"/>
        <v>5444.47</v>
      </c>
    </row>
    <row r="488" spans="9:15" x14ac:dyDescent="0.25">
      <c r="I488" s="14">
        <v>482</v>
      </c>
      <c r="K488" s="6">
        <v>7812.19</v>
      </c>
      <c r="L488" s="6"/>
      <c r="M488" s="6">
        <v>9250.1299999999992</v>
      </c>
      <c r="O488" s="24">
        <f t="shared" si="11"/>
        <v>1437.9399999999996</v>
      </c>
    </row>
    <row r="489" spans="9:15" x14ac:dyDescent="0.25">
      <c r="I489" s="14">
        <v>483</v>
      </c>
      <c r="K489" s="6">
        <v>8008.91</v>
      </c>
      <c r="L489" s="6"/>
      <c r="M489" s="6">
        <v>10330.129999999999</v>
      </c>
      <c r="O489" s="24">
        <f t="shared" si="11"/>
        <v>2321.2199999999993</v>
      </c>
    </row>
    <row r="490" spans="9:15" x14ac:dyDescent="0.25">
      <c r="I490" s="14">
        <v>484</v>
      </c>
      <c r="K490" s="6">
        <v>7257.9</v>
      </c>
      <c r="L490" s="6"/>
      <c r="M490" s="6">
        <v>9555.67</v>
      </c>
      <c r="O490" s="24">
        <f t="shared" si="11"/>
        <v>2297.7700000000004</v>
      </c>
    </row>
    <row r="491" spans="9:15" x14ac:dyDescent="0.25">
      <c r="I491" s="14">
        <v>485</v>
      </c>
      <c r="K491" s="6">
        <v>9168.4500000000007</v>
      </c>
      <c r="L491" s="6"/>
      <c r="M491" s="6">
        <v>9422.93</v>
      </c>
      <c r="O491" s="24">
        <f t="shared" si="11"/>
        <v>254.47999999999956</v>
      </c>
    </row>
    <row r="492" spans="9:15" x14ac:dyDescent="0.25">
      <c r="I492" s="14">
        <v>486</v>
      </c>
      <c r="K492" s="6">
        <v>6143.89</v>
      </c>
      <c r="L492" s="6"/>
      <c r="M492" s="6">
        <v>9097.39</v>
      </c>
      <c r="O492" s="24">
        <f t="shared" si="11"/>
        <v>2953.4999999999991</v>
      </c>
    </row>
    <row r="493" spans="9:15" x14ac:dyDescent="0.25">
      <c r="I493" s="14">
        <v>487</v>
      </c>
      <c r="K493" s="6">
        <v>7432.76</v>
      </c>
      <c r="L493" s="6"/>
      <c r="M493" s="6">
        <v>8987.9599999999991</v>
      </c>
      <c r="O493" s="24">
        <f t="shared" si="11"/>
        <v>1555.1999999999989</v>
      </c>
    </row>
    <row r="494" spans="9:15" x14ac:dyDescent="0.25">
      <c r="I494" s="14">
        <v>488</v>
      </c>
      <c r="K494" s="6">
        <v>8740.98</v>
      </c>
      <c r="L494" s="6"/>
      <c r="M494" s="6">
        <v>9255.5400000000009</v>
      </c>
      <c r="O494" s="24">
        <f t="shared" si="11"/>
        <v>514.56000000000131</v>
      </c>
    </row>
    <row r="495" spans="9:15" x14ac:dyDescent="0.25">
      <c r="I495" s="14">
        <v>489</v>
      </c>
      <c r="K495" s="6">
        <v>8218.2800000000007</v>
      </c>
      <c r="L495" s="6"/>
      <c r="M495" s="6">
        <v>10376.82</v>
      </c>
      <c r="O495" s="24">
        <f t="shared" si="11"/>
        <v>2158.5399999999991</v>
      </c>
    </row>
    <row r="496" spans="9:15" x14ac:dyDescent="0.25">
      <c r="I496" s="14">
        <v>490</v>
      </c>
      <c r="K496" s="6">
        <v>8359.19</v>
      </c>
      <c r="L496" s="6"/>
      <c r="M496" s="6">
        <v>9872.9</v>
      </c>
      <c r="O496" s="24">
        <f t="shared" si="11"/>
        <v>1513.7099999999991</v>
      </c>
    </row>
    <row r="497" spans="9:15" x14ac:dyDescent="0.25">
      <c r="I497" s="14">
        <v>491</v>
      </c>
      <c r="K497" s="6">
        <v>10510.66</v>
      </c>
      <c r="L497" s="6"/>
      <c r="M497" s="6">
        <v>9381.99</v>
      </c>
      <c r="O497" s="24">
        <f t="shared" si="11"/>
        <v>-1128.67</v>
      </c>
    </row>
    <row r="498" spans="9:15" x14ac:dyDescent="0.25">
      <c r="I498" s="14">
        <v>492</v>
      </c>
      <c r="K498" s="6">
        <v>6594.54</v>
      </c>
      <c r="L498" s="6"/>
      <c r="M498" s="6">
        <v>9713.4599999999991</v>
      </c>
      <c r="O498" s="24">
        <f t="shared" si="11"/>
        <v>3118.9199999999992</v>
      </c>
    </row>
    <row r="499" spans="9:15" x14ac:dyDescent="0.25">
      <c r="I499" s="14">
        <v>493</v>
      </c>
      <c r="K499" s="6">
        <v>7202.89</v>
      </c>
      <c r="L499" s="6"/>
      <c r="M499" s="6">
        <v>9746</v>
      </c>
      <c r="O499" s="24">
        <f t="shared" si="11"/>
        <v>2543.1099999999997</v>
      </c>
    </row>
    <row r="500" spans="9:15" x14ac:dyDescent="0.25">
      <c r="I500" s="14">
        <v>494</v>
      </c>
      <c r="K500" s="6">
        <v>6702.7</v>
      </c>
      <c r="L500" s="6"/>
      <c r="M500" s="6">
        <v>9639.4599999999991</v>
      </c>
      <c r="O500" s="24">
        <f t="shared" si="11"/>
        <v>2936.7599999999993</v>
      </c>
    </row>
    <row r="501" spans="9:15" x14ac:dyDescent="0.25">
      <c r="I501" s="14">
        <v>495</v>
      </c>
      <c r="K501" s="6">
        <v>8154.76</v>
      </c>
      <c r="L501" s="6"/>
      <c r="M501" s="6">
        <v>10081.049999999999</v>
      </c>
      <c r="O501" s="24">
        <f t="shared" si="11"/>
        <v>1926.2899999999991</v>
      </c>
    </row>
    <row r="502" spans="9:15" x14ac:dyDescent="0.25">
      <c r="I502" s="14">
        <v>496</v>
      </c>
      <c r="K502" s="6">
        <v>7000.9</v>
      </c>
      <c r="L502" s="6"/>
      <c r="M502" s="6">
        <v>9925.07</v>
      </c>
      <c r="O502" s="24">
        <f t="shared" si="11"/>
        <v>2924.17</v>
      </c>
    </row>
    <row r="503" spans="9:15" x14ac:dyDescent="0.25">
      <c r="I503" s="14">
        <v>497</v>
      </c>
      <c r="K503" s="6">
        <v>6558.49</v>
      </c>
      <c r="L503" s="6"/>
      <c r="M503" s="6">
        <v>10522.7</v>
      </c>
      <c r="O503" s="24">
        <f t="shared" si="11"/>
        <v>3964.2100000000009</v>
      </c>
    </row>
    <row r="504" spans="9:15" x14ac:dyDescent="0.25">
      <c r="I504" s="14">
        <v>498</v>
      </c>
      <c r="K504" s="6">
        <v>5929.67</v>
      </c>
      <c r="L504" s="6"/>
      <c r="M504" s="6">
        <v>9817.7000000000007</v>
      </c>
      <c r="O504" s="24">
        <f t="shared" si="11"/>
        <v>3888.0300000000007</v>
      </c>
    </row>
    <row r="505" spans="9:15" x14ac:dyDescent="0.25">
      <c r="I505" s="14">
        <v>499</v>
      </c>
      <c r="K505" s="6">
        <v>5627.19</v>
      </c>
      <c r="L505" s="6"/>
      <c r="M505" s="6">
        <v>9972.98</v>
      </c>
      <c r="O505" s="24">
        <f t="shared" si="11"/>
        <v>4345.79</v>
      </c>
    </row>
    <row r="506" spans="9:15" x14ac:dyDescent="0.25">
      <c r="I506" s="14">
        <v>500</v>
      </c>
      <c r="K506" s="6">
        <v>5612.36</v>
      </c>
      <c r="L506" s="6"/>
      <c r="M506" s="6">
        <v>10255.25</v>
      </c>
      <c r="O506" s="24">
        <f t="shared" si="11"/>
        <v>4642.8900000000003</v>
      </c>
    </row>
    <row r="507" spans="9:15" x14ac:dyDescent="0.25">
      <c r="I507" s="14">
        <v>501</v>
      </c>
      <c r="K507" s="6">
        <v>5911.45</v>
      </c>
      <c r="L507" s="6"/>
      <c r="M507" s="6">
        <v>10155.27</v>
      </c>
      <c r="O507" s="24">
        <f t="shared" si="11"/>
        <v>4243.8200000000006</v>
      </c>
    </row>
    <row r="508" spans="9:15" x14ac:dyDescent="0.25">
      <c r="I508" s="14">
        <v>502</v>
      </c>
      <c r="K508" s="6">
        <v>5719.02</v>
      </c>
      <c r="L508" s="6"/>
      <c r="M508" s="6">
        <v>9801.42</v>
      </c>
      <c r="O508" s="24">
        <f t="shared" si="11"/>
        <v>4082.3999999999996</v>
      </c>
    </row>
    <row r="509" spans="9:15" x14ac:dyDescent="0.25">
      <c r="I509" s="14">
        <v>503</v>
      </c>
      <c r="K509" s="6">
        <v>5765.25</v>
      </c>
      <c r="L509" s="6"/>
      <c r="M509" s="6">
        <v>9354.86</v>
      </c>
      <c r="O509" s="24">
        <f t="shared" si="11"/>
        <v>3589.6100000000006</v>
      </c>
    </row>
    <row r="510" spans="9:15" x14ac:dyDescent="0.25">
      <c r="I510" s="14">
        <v>504</v>
      </c>
      <c r="K510" s="6">
        <v>9869.15</v>
      </c>
      <c r="L510" s="6"/>
      <c r="M510" s="6">
        <v>9077.15</v>
      </c>
      <c r="O510" s="24">
        <f t="shared" si="11"/>
        <v>-792</v>
      </c>
    </row>
    <row r="511" spans="9:15" x14ac:dyDescent="0.25">
      <c r="I511" s="14">
        <v>505</v>
      </c>
      <c r="K511" s="6">
        <v>7181.34</v>
      </c>
      <c r="L511" s="6"/>
      <c r="M511" s="6">
        <v>9934.65</v>
      </c>
      <c r="O511" s="24">
        <f t="shared" si="11"/>
        <v>2753.3099999999995</v>
      </c>
    </row>
    <row r="512" spans="9:15" x14ac:dyDescent="0.25">
      <c r="I512" s="14">
        <v>506</v>
      </c>
      <c r="K512" s="6">
        <v>5760.18</v>
      </c>
      <c r="L512" s="6"/>
      <c r="M512" s="6">
        <v>9927.4</v>
      </c>
      <c r="O512" s="24">
        <f t="shared" si="11"/>
        <v>4167.2199999999993</v>
      </c>
    </row>
    <row r="513" spans="9:15" x14ac:dyDescent="0.25">
      <c r="I513" s="14">
        <v>507</v>
      </c>
      <c r="K513" s="6">
        <v>5194.68</v>
      </c>
      <c r="L513" s="6"/>
      <c r="M513" s="6">
        <v>9951.4699999999993</v>
      </c>
      <c r="O513" s="24">
        <f t="shared" si="11"/>
        <v>4756.7899999999991</v>
      </c>
    </row>
    <row r="514" spans="9:15" x14ac:dyDescent="0.25">
      <c r="I514" s="14">
        <v>508</v>
      </c>
      <c r="K514" s="6">
        <v>6388.21</v>
      </c>
      <c r="L514" s="6"/>
      <c r="M514" s="6">
        <v>9453.99</v>
      </c>
      <c r="O514" s="24">
        <f t="shared" si="11"/>
        <v>3065.7799999999997</v>
      </c>
    </row>
    <row r="515" spans="9:15" x14ac:dyDescent="0.25">
      <c r="I515" s="14">
        <v>509</v>
      </c>
      <c r="K515" s="6">
        <v>7219.5</v>
      </c>
      <c r="L515" s="6"/>
      <c r="M515" s="6">
        <v>10574.28</v>
      </c>
      <c r="O515" s="24">
        <f t="shared" si="11"/>
        <v>3354.7800000000007</v>
      </c>
    </row>
    <row r="516" spans="9:15" x14ac:dyDescent="0.25">
      <c r="I516" s="14">
        <v>510</v>
      </c>
      <c r="K516" s="6">
        <v>7397.75</v>
      </c>
      <c r="L516" s="6"/>
      <c r="M516" s="6">
        <v>9810.27</v>
      </c>
      <c r="O516" s="24">
        <f t="shared" si="11"/>
        <v>2412.5200000000004</v>
      </c>
    </row>
    <row r="517" spans="9:15" x14ac:dyDescent="0.25">
      <c r="I517" s="14">
        <v>511</v>
      </c>
      <c r="K517" s="6">
        <v>6406.53</v>
      </c>
      <c r="L517" s="6"/>
      <c r="M517" s="6">
        <v>9462.2199999999993</v>
      </c>
      <c r="O517" s="24">
        <f t="shared" si="11"/>
        <v>3055.6899999999996</v>
      </c>
    </row>
    <row r="518" spans="9:15" x14ac:dyDescent="0.25">
      <c r="I518" s="14">
        <v>512</v>
      </c>
      <c r="K518" s="6">
        <v>5833.77</v>
      </c>
      <c r="L518" s="6"/>
      <c r="M518" s="6">
        <v>10413.200000000001</v>
      </c>
      <c r="O518" s="24">
        <f t="shared" si="11"/>
        <v>4579.43</v>
      </c>
    </row>
    <row r="519" spans="9:15" x14ac:dyDescent="0.25">
      <c r="I519" s="14">
        <v>513</v>
      </c>
      <c r="K519" s="6">
        <v>7118.06</v>
      </c>
      <c r="L519" s="6"/>
      <c r="M519" s="6">
        <v>10543.38</v>
      </c>
      <c r="O519" s="24">
        <f t="shared" si="11"/>
        <v>3425.3199999999988</v>
      </c>
    </row>
    <row r="520" spans="9:15" x14ac:dyDescent="0.25">
      <c r="I520" s="14">
        <v>514</v>
      </c>
      <c r="K520" s="6">
        <v>6944.92</v>
      </c>
      <c r="L520" s="6"/>
      <c r="M520" s="6">
        <v>9252.77</v>
      </c>
      <c r="O520" s="24">
        <f t="shared" ref="O520:O583" si="12">M520-K520</f>
        <v>2307.8500000000004</v>
      </c>
    </row>
    <row r="521" spans="9:15" x14ac:dyDescent="0.25">
      <c r="I521" s="14">
        <v>515</v>
      </c>
      <c r="K521" s="6">
        <v>6926.09</v>
      </c>
      <c r="L521" s="6"/>
      <c r="M521" s="6">
        <v>9902.2900000000009</v>
      </c>
      <c r="O521" s="24">
        <f t="shared" si="12"/>
        <v>2976.2000000000007</v>
      </c>
    </row>
    <row r="522" spans="9:15" x14ac:dyDescent="0.25">
      <c r="I522" s="14">
        <v>516</v>
      </c>
      <c r="K522" s="6">
        <v>6992.36</v>
      </c>
      <c r="L522" s="6"/>
      <c r="M522" s="6">
        <v>10635.26</v>
      </c>
      <c r="O522" s="24">
        <f t="shared" si="12"/>
        <v>3642.9000000000005</v>
      </c>
    </row>
    <row r="523" spans="9:15" x14ac:dyDescent="0.25">
      <c r="I523" s="14">
        <v>517</v>
      </c>
      <c r="K523" s="6">
        <v>8247.36</v>
      </c>
      <c r="L523" s="6"/>
      <c r="M523" s="6">
        <v>10342.459999999999</v>
      </c>
      <c r="O523" s="24">
        <f t="shared" si="12"/>
        <v>2095.0999999999985</v>
      </c>
    </row>
    <row r="524" spans="9:15" x14ac:dyDescent="0.25">
      <c r="I524" s="14">
        <v>518</v>
      </c>
      <c r="K524" s="6">
        <v>5804</v>
      </c>
      <c r="L524" s="6"/>
      <c r="M524" s="6">
        <v>10285.799999999999</v>
      </c>
      <c r="O524" s="24">
        <f t="shared" si="12"/>
        <v>4481.7999999999993</v>
      </c>
    </row>
    <row r="525" spans="9:15" x14ac:dyDescent="0.25">
      <c r="I525" s="14">
        <v>519</v>
      </c>
      <c r="K525" s="6">
        <v>6223.6</v>
      </c>
      <c r="L525" s="6"/>
      <c r="M525" s="6">
        <v>9916.52</v>
      </c>
      <c r="O525" s="24">
        <f t="shared" si="12"/>
        <v>3692.92</v>
      </c>
    </row>
    <row r="526" spans="9:15" x14ac:dyDescent="0.25">
      <c r="I526" s="14">
        <v>520</v>
      </c>
      <c r="K526" s="6">
        <v>6510.15</v>
      </c>
      <c r="L526" s="6"/>
      <c r="M526" s="6">
        <v>9741.26</v>
      </c>
      <c r="O526" s="24">
        <f t="shared" si="12"/>
        <v>3231.1100000000006</v>
      </c>
    </row>
    <row r="527" spans="9:15" x14ac:dyDescent="0.25">
      <c r="I527" s="14">
        <v>521</v>
      </c>
      <c r="K527" s="6">
        <v>6691.84</v>
      </c>
      <c r="L527" s="6"/>
      <c r="M527" s="6">
        <v>9754.4699999999993</v>
      </c>
      <c r="O527" s="24">
        <f t="shared" si="12"/>
        <v>3062.6299999999992</v>
      </c>
    </row>
    <row r="528" spans="9:15" x14ac:dyDescent="0.25">
      <c r="I528" s="14">
        <v>522</v>
      </c>
      <c r="K528" s="6">
        <v>6575.68</v>
      </c>
      <c r="L528" s="6"/>
      <c r="M528" s="6">
        <v>9184.85</v>
      </c>
      <c r="O528" s="24">
        <f t="shared" si="12"/>
        <v>2609.17</v>
      </c>
    </row>
    <row r="529" spans="9:15" x14ac:dyDescent="0.25">
      <c r="I529" s="14">
        <v>523</v>
      </c>
      <c r="K529" s="6">
        <v>7295.9</v>
      </c>
      <c r="L529" s="6"/>
      <c r="M529" s="6">
        <v>8884.9</v>
      </c>
      <c r="O529" s="24">
        <f t="shared" si="12"/>
        <v>1589</v>
      </c>
    </row>
    <row r="530" spans="9:15" x14ac:dyDescent="0.25">
      <c r="I530" s="14">
        <v>524</v>
      </c>
      <c r="K530" s="6">
        <v>5769.82</v>
      </c>
      <c r="L530" s="6"/>
      <c r="M530" s="6">
        <v>8671.85</v>
      </c>
      <c r="O530" s="24">
        <f t="shared" si="12"/>
        <v>2902.0300000000007</v>
      </c>
    </row>
    <row r="531" spans="9:15" x14ac:dyDescent="0.25">
      <c r="I531" s="14">
        <v>525</v>
      </c>
      <c r="K531" s="6">
        <v>7943.45</v>
      </c>
      <c r="L531" s="6"/>
      <c r="M531" s="6">
        <v>10275.790000000001</v>
      </c>
      <c r="O531" s="24">
        <f t="shared" si="12"/>
        <v>2332.3400000000011</v>
      </c>
    </row>
    <row r="532" spans="9:15" x14ac:dyDescent="0.25">
      <c r="I532" s="14">
        <v>526</v>
      </c>
      <c r="K532" s="6">
        <v>7915.86</v>
      </c>
      <c r="L532" s="6"/>
      <c r="M532" s="6">
        <v>10096.780000000001</v>
      </c>
      <c r="O532" s="24">
        <f t="shared" si="12"/>
        <v>2180.920000000001</v>
      </c>
    </row>
    <row r="533" spans="9:15" x14ac:dyDescent="0.25">
      <c r="I533" s="14">
        <v>527</v>
      </c>
      <c r="K533" s="6">
        <v>5587.61</v>
      </c>
      <c r="L533" s="6"/>
      <c r="M533" s="6">
        <v>9726.86</v>
      </c>
      <c r="O533" s="24">
        <f t="shared" si="12"/>
        <v>4139.2500000000009</v>
      </c>
    </row>
    <row r="534" spans="9:15" x14ac:dyDescent="0.25">
      <c r="I534" s="14">
        <v>528</v>
      </c>
      <c r="K534" s="6">
        <v>6564.51</v>
      </c>
      <c r="L534" s="6"/>
      <c r="M534" s="6">
        <v>9182.67</v>
      </c>
      <c r="O534" s="24">
        <f t="shared" si="12"/>
        <v>2618.16</v>
      </c>
    </row>
    <row r="535" spans="9:15" x14ac:dyDescent="0.25">
      <c r="I535" s="14">
        <v>529</v>
      </c>
      <c r="K535" s="6">
        <v>5413.51</v>
      </c>
      <c r="L535" s="6"/>
      <c r="M535" s="6">
        <v>9164.44</v>
      </c>
      <c r="O535" s="24">
        <f t="shared" si="12"/>
        <v>3750.9300000000003</v>
      </c>
    </row>
    <row r="536" spans="9:15" x14ac:dyDescent="0.25">
      <c r="I536" s="14">
        <v>530</v>
      </c>
      <c r="K536" s="6">
        <v>7520.43</v>
      </c>
      <c r="L536" s="6"/>
      <c r="M536" s="6">
        <v>9894.84</v>
      </c>
      <c r="O536" s="24">
        <f t="shared" si="12"/>
        <v>2374.41</v>
      </c>
    </row>
    <row r="537" spans="9:15" x14ac:dyDescent="0.25">
      <c r="I537" s="14">
        <v>531</v>
      </c>
      <c r="K537" s="6">
        <v>5726.22</v>
      </c>
      <c r="L537" s="6"/>
      <c r="M537" s="6">
        <v>9967.68</v>
      </c>
      <c r="O537" s="24">
        <f t="shared" si="12"/>
        <v>4241.46</v>
      </c>
    </row>
    <row r="538" spans="9:15" x14ac:dyDescent="0.25">
      <c r="I538" s="14">
        <v>532</v>
      </c>
      <c r="K538" s="6">
        <v>6056.45</v>
      </c>
      <c r="L538" s="6"/>
      <c r="M538" s="6">
        <v>9526.7800000000007</v>
      </c>
      <c r="O538" s="24">
        <f t="shared" si="12"/>
        <v>3470.3300000000008</v>
      </c>
    </row>
    <row r="539" spans="9:15" x14ac:dyDescent="0.25">
      <c r="I539" s="14">
        <v>533</v>
      </c>
      <c r="K539" s="6">
        <v>8022.54</v>
      </c>
      <c r="L539" s="6"/>
      <c r="M539" s="6">
        <v>9373.68</v>
      </c>
      <c r="O539" s="24">
        <f t="shared" si="12"/>
        <v>1351.1400000000003</v>
      </c>
    </row>
    <row r="540" spans="9:15" x14ac:dyDescent="0.25">
      <c r="I540" s="14">
        <v>534</v>
      </c>
      <c r="K540" s="6">
        <v>5489.45</v>
      </c>
      <c r="L540" s="6"/>
      <c r="M540" s="6">
        <v>9287.2000000000007</v>
      </c>
      <c r="O540" s="24">
        <f t="shared" si="12"/>
        <v>3797.7500000000009</v>
      </c>
    </row>
    <row r="541" spans="9:15" x14ac:dyDescent="0.25">
      <c r="I541" s="14">
        <v>535</v>
      </c>
      <c r="K541" s="6">
        <v>6018.17</v>
      </c>
      <c r="L541" s="6"/>
      <c r="M541" s="6">
        <v>9041.85</v>
      </c>
      <c r="O541" s="24">
        <f t="shared" si="12"/>
        <v>3023.6800000000003</v>
      </c>
    </row>
    <row r="542" spans="9:15" x14ac:dyDescent="0.25">
      <c r="I542" s="14">
        <v>536</v>
      </c>
      <c r="K542" s="6">
        <v>6668.11</v>
      </c>
      <c r="L542" s="6"/>
      <c r="M542" s="6">
        <v>9844.9500000000007</v>
      </c>
      <c r="O542" s="24">
        <f t="shared" si="12"/>
        <v>3176.8400000000011</v>
      </c>
    </row>
    <row r="543" spans="9:15" x14ac:dyDescent="0.25">
      <c r="I543" s="14">
        <v>537</v>
      </c>
      <c r="K543" s="6">
        <v>6311.42</v>
      </c>
      <c r="L543" s="6"/>
      <c r="M543" s="6">
        <v>9449.2099999999991</v>
      </c>
      <c r="O543" s="24">
        <f t="shared" si="12"/>
        <v>3137.7899999999991</v>
      </c>
    </row>
    <row r="544" spans="9:15" x14ac:dyDescent="0.25">
      <c r="I544" s="14">
        <v>538</v>
      </c>
      <c r="K544" s="6">
        <v>5969.95</v>
      </c>
      <c r="L544" s="6"/>
      <c r="M544" s="6">
        <v>10528.07</v>
      </c>
      <c r="O544" s="24">
        <f t="shared" si="12"/>
        <v>4558.12</v>
      </c>
    </row>
    <row r="545" spans="9:15" x14ac:dyDescent="0.25">
      <c r="I545" s="14">
        <v>539</v>
      </c>
      <c r="K545" s="6">
        <v>9660.15</v>
      </c>
      <c r="L545" s="6"/>
      <c r="M545" s="6">
        <v>9738.5400000000009</v>
      </c>
      <c r="O545" s="24">
        <f t="shared" si="12"/>
        <v>78.390000000001237</v>
      </c>
    </row>
    <row r="546" spans="9:15" x14ac:dyDescent="0.25">
      <c r="I546" s="14">
        <v>540</v>
      </c>
      <c r="K546" s="6">
        <v>8101.44</v>
      </c>
      <c r="L546" s="6"/>
      <c r="M546" s="6">
        <v>9352.86</v>
      </c>
      <c r="O546" s="24">
        <f t="shared" si="12"/>
        <v>1251.420000000001</v>
      </c>
    </row>
    <row r="547" spans="9:15" x14ac:dyDescent="0.25">
      <c r="I547" s="14">
        <v>541</v>
      </c>
      <c r="K547" s="6">
        <v>6075.73</v>
      </c>
      <c r="L547" s="6"/>
      <c r="M547" s="6">
        <v>9147.02</v>
      </c>
      <c r="O547" s="24">
        <f t="shared" si="12"/>
        <v>3071.2900000000009</v>
      </c>
    </row>
    <row r="548" spans="9:15" x14ac:dyDescent="0.25">
      <c r="I548" s="14">
        <v>542</v>
      </c>
      <c r="K548" s="6">
        <v>6500.67</v>
      </c>
      <c r="L548" s="6"/>
      <c r="M548" s="6">
        <v>9745.94</v>
      </c>
      <c r="O548" s="24">
        <f t="shared" si="12"/>
        <v>3245.2700000000004</v>
      </c>
    </row>
    <row r="549" spans="9:15" x14ac:dyDescent="0.25">
      <c r="I549" s="14">
        <v>543</v>
      </c>
      <c r="K549" s="6">
        <v>6103.75</v>
      </c>
      <c r="L549" s="6"/>
      <c r="M549" s="6">
        <v>9900.2000000000007</v>
      </c>
      <c r="O549" s="24">
        <f t="shared" si="12"/>
        <v>3796.4500000000007</v>
      </c>
    </row>
    <row r="550" spans="9:15" x14ac:dyDescent="0.25">
      <c r="I550" s="14">
        <v>544</v>
      </c>
      <c r="K550" s="6">
        <v>7344.63</v>
      </c>
      <c r="L550" s="6"/>
      <c r="M550" s="6">
        <v>9847.82</v>
      </c>
      <c r="O550" s="24">
        <f t="shared" si="12"/>
        <v>2503.1899999999996</v>
      </c>
    </row>
    <row r="551" spans="9:15" x14ac:dyDescent="0.25">
      <c r="I551" s="14">
        <v>545</v>
      </c>
      <c r="K551" s="6">
        <v>5542.54</v>
      </c>
      <c r="L551" s="6"/>
      <c r="M551" s="6">
        <v>10329.129999999999</v>
      </c>
      <c r="O551" s="24">
        <f t="shared" si="12"/>
        <v>4786.5899999999992</v>
      </c>
    </row>
    <row r="552" spans="9:15" x14ac:dyDescent="0.25">
      <c r="I552" s="14">
        <v>546</v>
      </c>
      <c r="K552" s="6">
        <v>6453.9</v>
      </c>
      <c r="L552" s="6"/>
      <c r="M552" s="6">
        <v>9458.15</v>
      </c>
      <c r="O552" s="24">
        <f t="shared" si="12"/>
        <v>3004.25</v>
      </c>
    </row>
    <row r="553" spans="9:15" x14ac:dyDescent="0.25">
      <c r="I553" s="14">
        <v>547</v>
      </c>
      <c r="K553" s="6">
        <v>7318.7</v>
      </c>
      <c r="L553" s="6"/>
      <c r="M553" s="6">
        <v>10828.96</v>
      </c>
      <c r="O553" s="24">
        <f t="shared" si="12"/>
        <v>3510.2599999999993</v>
      </c>
    </row>
    <row r="554" spans="9:15" x14ac:dyDescent="0.25">
      <c r="I554" s="14">
        <v>548</v>
      </c>
      <c r="K554" s="6">
        <v>5874.29</v>
      </c>
      <c r="L554" s="6"/>
      <c r="M554" s="6">
        <v>9582.35</v>
      </c>
      <c r="O554" s="24">
        <f t="shared" si="12"/>
        <v>3708.0600000000004</v>
      </c>
    </row>
    <row r="555" spans="9:15" x14ac:dyDescent="0.25">
      <c r="I555" s="14">
        <v>549</v>
      </c>
      <c r="K555" s="6">
        <v>6074.62</v>
      </c>
      <c r="L555" s="6"/>
      <c r="M555" s="6">
        <v>9555.24</v>
      </c>
      <c r="O555" s="24">
        <f t="shared" si="12"/>
        <v>3480.62</v>
      </c>
    </row>
    <row r="556" spans="9:15" x14ac:dyDescent="0.25">
      <c r="I556" s="14">
        <v>550</v>
      </c>
      <c r="K556" s="6">
        <v>8233.74</v>
      </c>
      <c r="L556" s="6"/>
      <c r="M556" s="6">
        <v>10131.59</v>
      </c>
      <c r="O556" s="24">
        <f t="shared" si="12"/>
        <v>1897.8500000000004</v>
      </c>
    </row>
    <row r="557" spans="9:15" x14ac:dyDescent="0.25">
      <c r="I557" s="14">
        <v>551</v>
      </c>
      <c r="K557" s="6">
        <v>6982.83</v>
      </c>
      <c r="L557" s="6"/>
      <c r="M557" s="6">
        <v>9878.86</v>
      </c>
      <c r="O557" s="24">
        <f t="shared" si="12"/>
        <v>2896.0300000000007</v>
      </c>
    </row>
    <row r="558" spans="9:15" x14ac:dyDescent="0.25">
      <c r="I558" s="14">
        <v>552</v>
      </c>
      <c r="K558" s="6">
        <v>8469.66</v>
      </c>
      <c r="L558" s="6"/>
      <c r="M558" s="6">
        <v>9428.82</v>
      </c>
      <c r="O558" s="24">
        <f t="shared" si="12"/>
        <v>959.15999999999985</v>
      </c>
    </row>
    <row r="559" spans="9:15" x14ac:dyDescent="0.25">
      <c r="I559" s="14">
        <v>553</v>
      </c>
      <c r="K559" s="6">
        <v>6205.01</v>
      </c>
      <c r="L559" s="6"/>
      <c r="M559" s="6">
        <v>8962.11</v>
      </c>
      <c r="O559" s="24">
        <f t="shared" si="12"/>
        <v>2757.1000000000004</v>
      </c>
    </row>
    <row r="560" spans="9:15" x14ac:dyDescent="0.25">
      <c r="I560" s="14">
        <v>554</v>
      </c>
      <c r="K560" s="6">
        <v>7043.24</v>
      </c>
      <c r="L560" s="6"/>
      <c r="M560" s="6">
        <v>10144.61</v>
      </c>
      <c r="O560" s="24">
        <f t="shared" si="12"/>
        <v>3101.3700000000008</v>
      </c>
    </row>
    <row r="561" spans="9:15" x14ac:dyDescent="0.25">
      <c r="I561" s="14">
        <v>555</v>
      </c>
      <c r="K561" s="6">
        <v>7832.65</v>
      </c>
      <c r="L561" s="6"/>
      <c r="M561" s="6">
        <v>9211.14</v>
      </c>
      <c r="O561" s="24">
        <f t="shared" si="12"/>
        <v>1378.4899999999998</v>
      </c>
    </row>
    <row r="562" spans="9:15" x14ac:dyDescent="0.25">
      <c r="I562" s="14">
        <v>556</v>
      </c>
      <c r="K562" s="6">
        <v>6657.99</v>
      </c>
      <c r="L562" s="6"/>
      <c r="M562" s="6">
        <v>9958.5300000000007</v>
      </c>
      <c r="O562" s="24">
        <f t="shared" si="12"/>
        <v>3300.5400000000009</v>
      </c>
    </row>
    <row r="563" spans="9:15" x14ac:dyDescent="0.25">
      <c r="I563" s="14">
        <v>557</v>
      </c>
      <c r="K563" s="6">
        <v>7111.03</v>
      </c>
      <c r="L563" s="6"/>
      <c r="M563" s="6">
        <v>10118.49</v>
      </c>
      <c r="O563" s="24">
        <f t="shared" si="12"/>
        <v>3007.46</v>
      </c>
    </row>
    <row r="564" spans="9:15" x14ac:dyDescent="0.25">
      <c r="I564" s="14">
        <v>558</v>
      </c>
      <c r="K564" s="6">
        <v>7160.73</v>
      </c>
      <c r="L564" s="6"/>
      <c r="M564" s="6">
        <v>10251.530000000001</v>
      </c>
      <c r="O564" s="24">
        <f t="shared" si="12"/>
        <v>3090.8000000000011</v>
      </c>
    </row>
    <row r="565" spans="9:15" x14ac:dyDescent="0.25">
      <c r="I565" s="14">
        <v>559</v>
      </c>
      <c r="K565" s="6">
        <v>5730.32</v>
      </c>
      <c r="L565" s="6"/>
      <c r="M565" s="6">
        <v>9422.3799999999992</v>
      </c>
      <c r="O565" s="24">
        <f t="shared" si="12"/>
        <v>3692.0599999999995</v>
      </c>
    </row>
    <row r="566" spans="9:15" x14ac:dyDescent="0.25">
      <c r="I566" s="14">
        <v>560</v>
      </c>
      <c r="K566" s="6">
        <v>8944.42</v>
      </c>
      <c r="L566" s="6"/>
      <c r="M566" s="6">
        <v>8807.3700000000008</v>
      </c>
      <c r="O566" s="24">
        <f t="shared" si="12"/>
        <v>-137.04999999999927</v>
      </c>
    </row>
    <row r="567" spans="9:15" x14ac:dyDescent="0.25">
      <c r="I567" s="14">
        <v>561</v>
      </c>
      <c r="K567" s="6">
        <v>6449.17</v>
      </c>
      <c r="L567" s="6"/>
      <c r="M567" s="6">
        <v>9427.36</v>
      </c>
      <c r="O567" s="24">
        <f t="shared" si="12"/>
        <v>2978.1900000000005</v>
      </c>
    </row>
    <row r="568" spans="9:15" x14ac:dyDescent="0.25">
      <c r="I568" s="14">
        <v>562</v>
      </c>
      <c r="K568" s="6">
        <v>7844.41</v>
      </c>
      <c r="L568" s="6"/>
      <c r="M568" s="6">
        <v>9589.84</v>
      </c>
      <c r="O568" s="24">
        <f t="shared" si="12"/>
        <v>1745.4300000000003</v>
      </c>
    </row>
    <row r="569" spans="9:15" x14ac:dyDescent="0.25">
      <c r="I569" s="14">
        <v>563</v>
      </c>
      <c r="K569" s="6">
        <v>6432.37</v>
      </c>
      <c r="L569" s="6"/>
      <c r="M569" s="6">
        <v>10545.08</v>
      </c>
      <c r="O569" s="24">
        <f t="shared" si="12"/>
        <v>4112.71</v>
      </c>
    </row>
    <row r="570" spans="9:15" x14ac:dyDescent="0.25">
      <c r="I570" s="14">
        <v>564</v>
      </c>
      <c r="K570" s="6">
        <v>8346.32</v>
      </c>
      <c r="L570" s="6"/>
      <c r="M570" s="6">
        <v>10069.58</v>
      </c>
      <c r="O570" s="24">
        <f t="shared" si="12"/>
        <v>1723.2600000000002</v>
      </c>
    </row>
    <row r="571" spans="9:15" x14ac:dyDescent="0.25">
      <c r="I571" s="14">
        <v>565</v>
      </c>
      <c r="K571" s="6">
        <v>8411.01</v>
      </c>
      <c r="L571" s="6"/>
      <c r="M571" s="6">
        <v>8991.35</v>
      </c>
      <c r="O571" s="24">
        <f t="shared" si="12"/>
        <v>580.34000000000015</v>
      </c>
    </row>
    <row r="572" spans="9:15" x14ac:dyDescent="0.25">
      <c r="I572" s="14">
        <v>566</v>
      </c>
      <c r="K572" s="6">
        <v>5623.63</v>
      </c>
      <c r="L572" s="6"/>
      <c r="M572" s="6">
        <v>10755.54</v>
      </c>
      <c r="O572" s="24">
        <f t="shared" si="12"/>
        <v>5131.9100000000008</v>
      </c>
    </row>
    <row r="573" spans="9:15" x14ac:dyDescent="0.25">
      <c r="I573" s="14">
        <v>567</v>
      </c>
      <c r="K573" s="6">
        <v>5728.59</v>
      </c>
      <c r="L573" s="6"/>
      <c r="M573" s="6">
        <v>9184.51</v>
      </c>
      <c r="O573" s="24">
        <f t="shared" si="12"/>
        <v>3455.92</v>
      </c>
    </row>
    <row r="574" spans="9:15" x14ac:dyDescent="0.25">
      <c r="I574" s="14">
        <v>568</v>
      </c>
      <c r="K574" s="6">
        <v>7918.7</v>
      </c>
      <c r="L574" s="6"/>
      <c r="M574" s="6">
        <v>9830</v>
      </c>
      <c r="O574" s="24">
        <f t="shared" si="12"/>
        <v>1911.3000000000002</v>
      </c>
    </row>
    <row r="575" spans="9:15" x14ac:dyDescent="0.25">
      <c r="I575" s="14">
        <v>569</v>
      </c>
      <c r="K575" s="6">
        <v>7130.35</v>
      </c>
      <c r="L575" s="6"/>
      <c r="M575" s="6">
        <v>9751.57</v>
      </c>
      <c r="O575" s="24">
        <f t="shared" si="12"/>
        <v>2621.2199999999993</v>
      </c>
    </row>
    <row r="576" spans="9:15" x14ac:dyDescent="0.25">
      <c r="I576" s="14">
        <v>570</v>
      </c>
      <c r="K576" s="6">
        <v>6563.88</v>
      </c>
      <c r="L576" s="6"/>
      <c r="M576" s="6">
        <v>9585.86</v>
      </c>
      <c r="O576" s="24">
        <f t="shared" si="12"/>
        <v>3021.9800000000005</v>
      </c>
    </row>
    <row r="577" spans="9:15" x14ac:dyDescent="0.25">
      <c r="I577" s="14">
        <v>571</v>
      </c>
      <c r="K577" s="6">
        <v>8250.7199999999993</v>
      </c>
      <c r="L577" s="6"/>
      <c r="M577" s="6">
        <v>9812.2900000000009</v>
      </c>
      <c r="O577" s="24">
        <f t="shared" si="12"/>
        <v>1561.5700000000015</v>
      </c>
    </row>
    <row r="578" spans="9:15" x14ac:dyDescent="0.25">
      <c r="I578" s="14">
        <v>572</v>
      </c>
      <c r="K578" s="6">
        <v>7075.74</v>
      </c>
      <c r="L578" s="6"/>
      <c r="M578" s="6">
        <v>9136.0400000000009</v>
      </c>
      <c r="O578" s="24">
        <f t="shared" si="12"/>
        <v>2060.3000000000011</v>
      </c>
    </row>
    <row r="579" spans="9:15" x14ac:dyDescent="0.25">
      <c r="I579" s="14">
        <v>573</v>
      </c>
      <c r="K579" s="6">
        <v>6648.44</v>
      </c>
      <c r="L579" s="6"/>
      <c r="M579" s="6">
        <v>9873.75</v>
      </c>
      <c r="O579" s="24">
        <f t="shared" si="12"/>
        <v>3225.3100000000004</v>
      </c>
    </row>
    <row r="580" spans="9:15" x14ac:dyDescent="0.25">
      <c r="I580" s="14">
        <v>574</v>
      </c>
      <c r="K580" s="6">
        <v>6962</v>
      </c>
      <c r="L580" s="6"/>
      <c r="M580" s="6">
        <v>10933.46</v>
      </c>
      <c r="O580" s="24">
        <f t="shared" si="12"/>
        <v>3971.4599999999991</v>
      </c>
    </row>
    <row r="581" spans="9:15" x14ac:dyDescent="0.25">
      <c r="I581" s="14">
        <v>575</v>
      </c>
      <c r="K581" s="6">
        <v>7117.91</v>
      </c>
      <c r="L581" s="6"/>
      <c r="M581" s="6">
        <v>11037.44</v>
      </c>
      <c r="O581" s="24">
        <f t="shared" si="12"/>
        <v>3919.5300000000007</v>
      </c>
    </row>
    <row r="582" spans="9:15" x14ac:dyDescent="0.25">
      <c r="I582" s="14">
        <v>576</v>
      </c>
      <c r="K582" s="6">
        <v>5990.55</v>
      </c>
      <c r="L582" s="6"/>
      <c r="M582" s="6">
        <v>9384.2099999999991</v>
      </c>
      <c r="O582" s="24">
        <f t="shared" si="12"/>
        <v>3393.6599999999989</v>
      </c>
    </row>
    <row r="583" spans="9:15" x14ac:dyDescent="0.25">
      <c r="I583" s="14">
        <v>577</v>
      </c>
      <c r="K583" s="6">
        <v>6351.6</v>
      </c>
      <c r="L583" s="6"/>
      <c r="M583" s="6">
        <v>9564.9</v>
      </c>
      <c r="O583" s="24">
        <f t="shared" si="12"/>
        <v>3213.2999999999993</v>
      </c>
    </row>
    <row r="584" spans="9:15" x14ac:dyDescent="0.25">
      <c r="I584" s="14">
        <v>578</v>
      </c>
      <c r="K584" s="6">
        <v>7780.77</v>
      </c>
      <c r="L584" s="6"/>
      <c r="M584" s="6">
        <v>10411.719999999999</v>
      </c>
      <c r="O584" s="24">
        <f t="shared" ref="O584:O647" si="13">M584-K584</f>
        <v>2630.9499999999989</v>
      </c>
    </row>
    <row r="585" spans="9:15" x14ac:dyDescent="0.25">
      <c r="I585" s="14">
        <v>579</v>
      </c>
      <c r="K585" s="6">
        <v>6879.78</v>
      </c>
      <c r="L585" s="6"/>
      <c r="M585" s="6">
        <v>10089.57</v>
      </c>
      <c r="O585" s="24">
        <f t="shared" si="13"/>
        <v>3209.79</v>
      </c>
    </row>
    <row r="586" spans="9:15" x14ac:dyDescent="0.25">
      <c r="I586" s="14">
        <v>580</v>
      </c>
      <c r="K586" s="6">
        <v>8120.72</v>
      </c>
      <c r="L586" s="6"/>
      <c r="M586" s="6">
        <v>9301.77</v>
      </c>
      <c r="O586" s="24">
        <f t="shared" si="13"/>
        <v>1181.0500000000002</v>
      </c>
    </row>
    <row r="587" spans="9:15" x14ac:dyDescent="0.25">
      <c r="I587" s="14">
        <v>581</v>
      </c>
      <c r="K587" s="6">
        <v>6093.24</v>
      </c>
      <c r="L587" s="6"/>
      <c r="M587" s="6">
        <v>10102.82</v>
      </c>
      <c r="O587" s="24">
        <f t="shared" si="13"/>
        <v>4009.58</v>
      </c>
    </row>
    <row r="588" spans="9:15" x14ac:dyDescent="0.25">
      <c r="I588" s="14">
        <v>582</v>
      </c>
      <c r="K588" s="6">
        <v>5639.96</v>
      </c>
      <c r="L588" s="6"/>
      <c r="M588" s="6">
        <v>10184.41</v>
      </c>
      <c r="O588" s="24">
        <f t="shared" si="13"/>
        <v>4544.45</v>
      </c>
    </row>
    <row r="589" spans="9:15" x14ac:dyDescent="0.25">
      <c r="I589" s="14">
        <v>583</v>
      </c>
      <c r="K589" s="6">
        <v>8368.73</v>
      </c>
      <c r="L589" s="6"/>
      <c r="M589" s="6">
        <v>9718.2099999999991</v>
      </c>
      <c r="O589" s="24">
        <f t="shared" si="13"/>
        <v>1349.4799999999996</v>
      </c>
    </row>
    <row r="590" spans="9:15" x14ac:dyDescent="0.25">
      <c r="I590" s="14">
        <v>584</v>
      </c>
      <c r="K590" s="6">
        <v>5228.62</v>
      </c>
      <c r="L590" s="6"/>
      <c r="M590" s="6">
        <v>9280.86</v>
      </c>
      <c r="O590" s="24">
        <f t="shared" si="13"/>
        <v>4052.2400000000007</v>
      </c>
    </row>
    <row r="591" spans="9:15" x14ac:dyDescent="0.25">
      <c r="I591" s="14">
        <v>585</v>
      </c>
      <c r="K591" s="6">
        <v>7936.03</v>
      </c>
      <c r="L591" s="6"/>
      <c r="M591" s="6">
        <v>9526.94</v>
      </c>
      <c r="O591" s="24">
        <f t="shared" si="13"/>
        <v>1590.9100000000008</v>
      </c>
    </row>
    <row r="592" spans="9:15" x14ac:dyDescent="0.25">
      <c r="I592" s="14">
        <v>586</v>
      </c>
      <c r="K592" s="6">
        <v>9449.2999999999993</v>
      </c>
      <c r="L592" s="6"/>
      <c r="M592" s="6">
        <v>10352.82</v>
      </c>
      <c r="O592" s="24">
        <f t="shared" si="13"/>
        <v>903.52000000000044</v>
      </c>
    </row>
    <row r="593" spans="9:15" x14ac:dyDescent="0.25">
      <c r="I593" s="14">
        <v>587</v>
      </c>
      <c r="K593" s="6">
        <v>8548.2800000000007</v>
      </c>
      <c r="L593" s="6"/>
      <c r="M593" s="6">
        <v>9807.32</v>
      </c>
      <c r="O593" s="24">
        <f t="shared" si="13"/>
        <v>1259.0399999999991</v>
      </c>
    </row>
    <row r="594" spans="9:15" x14ac:dyDescent="0.25">
      <c r="I594" s="14">
        <v>588</v>
      </c>
      <c r="K594" s="6">
        <v>7045.45</v>
      </c>
      <c r="L594" s="6"/>
      <c r="M594" s="6">
        <v>9374.68</v>
      </c>
      <c r="O594" s="24">
        <f t="shared" si="13"/>
        <v>2329.2300000000005</v>
      </c>
    </row>
    <row r="595" spans="9:15" x14ac:dyDescent="0.25">
      <c r="I595" s="14">
        <v>589</v>
      </c>
      <c r="K595" s="6">
        <v>6213.9</v>
      </c>
      <c r="L595" s="6"/>
      <c r="M595" s="6">
        <v>9310.8799999999992</v>
      </c>
      <c r="O595" s="24">
        <f t="shared" si="13"/>
        <v>3096.9799999999996</v>
      </c>
    </row>
    <row r="596" spans="9:15" x14ac:dyDescent="0.25">
      <c r="I596" s="14">
        <v>590</v>
      </c>
      <c r="K596" s="6">
        <v>6443.45</v>
      </c>
      <c r="L596" s="6"/>
      <c r="M596" s="6">
        <v>9751.44</v>
      </c>
      <c r="O596" s="24">
        <f t="shared" si="13"/>
        <v>3307.9900000000007</v>
      </c>
    </row>
    <row r="597" spans="9:15" x14ac:dyDescent="0.25">
      <c r="I597" s="14">
        <v>591</v>
      </c>
      <c r="K597" s="6">
        <v>7024.15</v>
      </c>
      <c r="L597" s="6"/>
      <c r="M597" s="6">
        <v>10379.86</v>
      </c>
      <c r="O597" s="24">
        <f t="shared" si="13"/>
        <v>3355.7100000000009</v>
      </c>
    </row>
    <row r="598" spans="9:15" x14ac:dyDescent="0.25">
      <c r="I598" s="14">
        <v>592</v>
      </c>
      <c r="K598" s="6">
        <v>6838.33</v>
      </c>
      <c r="L598" s="6"/>
      <c r="M598" s="6">
        <v>10233.9</v>
      </c>
      <c r="O598" s="24">
        <f t="shared" si="13"/>
        <v>3395.5699999999997</v>
      </c>
    </row>
    <row r="599" spans="9:15" x14ac:dyDescent="0.25">
      <c r="I599" s="14">
        <v>593</v>
      </c>
      <c r="K599" s="6">
        <v>7135.87</v>
      </c>
      <c r="L599" s="6"/>
      <c r="M599" s="6">
        <v>9693.1</v>
      </c>
      <c r="O599" s="24">
        <f t="shared" si="13"/>
        <v>2557.2300000000005</v>
      </c>
    </row>
    <row r="600" spans="9:15" x14ac:dyDescent="0.25">
      <c r="I600" s="14">
        <v>594</v>
      </c>
      <c r="K600" s="6">
        <v>7068.6</v>
      </c>
      <c r="L600" s="6"/>
      <c r="M600" s="6">
        <v>10043.33</v>
      </c>
      <c r="O600" s="24">
        <f t="shared" si="13"/>
        <v>2974.7299999999996</v>
      </c>
    </row>
    <row r="601" spans="9:15" x14ac:dyDescent="0.25">
      <c r="I601" s="14">
        <v>595</v>
      </c>
      <c r="K601" s="6">
        <v>7045.72</v>
      </c>
      <c r="L601" s="6"/>
      <c r="M601" s="6">
        <v>10088.92</v>
      </c>
      <c r="O601" s="24">
        <f t="shared" si="13"/>
        <v>3043.2</v>
      </c>
    </row>
    <row r="602" spans="9:15" x14ac:dyDescent="0.25">
      <c r="I602" s="14">
        <v>596</v>
      </c>
      <c r="K602" s="6">
        <v>7480.56</v>
      </c>
      <c r="L602" s="6"/>
      <c r="M602" s="6">
        <v>10105.780000000001</v>
      </c>
      <c r="O602" s="24">
        <f t="shared" si="13"/>
        <v>2625.2200000000003</v>
      </c>
    </row>
    <row r="603" spans="9:15" x14ac:dyDescent="0.25">
      <c r="I603" s="14">
        <v>597</v>
      </c>
      <c r="K603" s="6">
        <v>9001.07</v>
      </c>
      <c r="L603" s="6"/>
      <c r="M603" s="6">
        <v>10426.32</v>
      </c>
      <c r="O603" s="24">
        <f t="shared" si="13"/>
        <v>1425.25</v>
      </c>
    </row>
    <row r="604" spans="9:15" x14ac:dyDescent="0.25">
      <c r="I604" s="14">
        <v>598</v>
      </c>
      <c r="K604" s="6">
        <v>7086.2</v>
      </c>
      <c r="L604" s="6"/>
      <c r="M604" s="6">
        <v>9822.5300000000007</v>
      </c>
      <c r="O604" s="24">
        <f t="shared" si="13"/>
        <v>2736.3300000000008</v>
      </c>
    </row>
    <row r="605" spans="9:15" x14ac:dyDescent="0.25">
      <c r="I605" s="14">
        <v>599</v>
      </c>
      <c r="K605" s="6">
        <v>7505.39</v>
      </c>
      <c r="L605" s="6"/>
      <c r="M605" s="6">
        <v>9547.6299999999992</v>
      </c>
      <c r="O605" s="24">
        <f t="shared" si="13"/>
        <v>2042.2399999999989</v>
      </c>
    </row>
    <row r="606" spans="9:15" x14ac:dyDescent="0.25">
      <c r="I606" s="14">
        <v>600</v>
      </c>
      <c r="K606" s="6">
        <v>5866.22</v>
      </c>
      <c r="L606" s="6"/>
      <c r="M606" s="6">
        <v>10422.459999999999</v>
      </c>
      <c r="O606" s="24">
        <f t="shared" si="13"/>
        <v>4556.2399999999989</v>
      </c>
    </row>
    <row r="607" spans="9:15" x14ac:dyDescent="0.25">
      <c r="I607" s="14">
        <v>601</v>
      </c>
      <c r="K607" s="6">
        <v>6077.96</v>
      </c>
      <c r="L607" s="6"/>
      <c r="M607" s="6">
        <v>10513.94</v>
      </c>
      <c r="O607" s="24">
        <f t="shared" si="13"/>
        <v>4435.9800000000005</v>
      </c>
    </row>
    <row r="608" spans="9:15" x14ac:dyDescent="0.25">
      <c r="I608" s="14">
        <v>602</v>
      </c>
      <c r="K608" s="6">
        <v>6962.65</v>
      </c>
      <c r="L608" s="6"/>
      <c r="M608" s="6">
        <v>10266.969999999999</v>
      </c>
      <c r="O608" s="24">
        <f t="shared" si="13"/>
        <v>3304.3199999999997</v>
      </c>
    </row>
    <row r="609" spans="9:15" x14ac:dyDescent="0.25">
      <c r="I609" s="14">
        <v>603</v>
      </c>
      <c r="K609" s="6">
        <v>8986.99</v>
      </c>
      <c r="L609" s="6"/>
      <c r="M609" s="6">
        <v>9395.77</v>
      </c>
      <c r="O609" s="24">
        <f t="shared" si="13"/>
        <v>408.78000000000065</v>
      </c>
    </row>
    <row r="610" spans="9:15" x14ac:dyDescent="0.25">
      <c r="I610" s="14">
        <v>604</v>
      </c>
      <c r="K610" s="6">
        <v>5908.6</v>
      </c>
      <c r="L610" s="6"/>
      <c r="M610" s="6">
        <v>9937.16</v>
      </c>
      <c r="O610" s="24">
        <f t="shared" si="13"/>
        <v>4028.5599999999995</v>
      </c>
    </row>
    <row r="611" spans="9:15" x14ac:dyDescent="0.25">
      <c r="I611" s="14">
        <v>605</v>
      </c>
      <c r="K611" s="6">
        <v>8025.19</v>
      </c>
      <c r="L611" s="6"/>
      <c r="M611" s="6">
        <v>9697.4599999999991</v>
      </c>
      <c r="O611" s="24">
        <f t="shared" si="13"/>
        <v>1672.2699999999995</v>
      </c>
    </row>
    <row r="612" spans="9:15" x14ac:dyDescent="0.25">
      <c r="I612" s="14">
        <v>606</v>
      </c>
      <c r="K612" s="6">
        <v>6486.51</v>
      </c>
      <c r="L612" s="6"/>
      <c r="M612" s="6">
        <v>10093.530000000001</v>
      </c>
      <c r="O612" s="24">
        <f t="shared" si="13"/>
        <v>3607.0200000000004</v>
      </c>
    </row>
    <row r="613" spans="9:15" x14ac:dyDescent="0.25">
      <c r="I613" s="14">
        <v>607</v>
      </c>
      <c r="K613" s="6">
        <v>8531.68</v>
      </c>
      <c r="L613" s="6"/>
      <c r="M613" s="6">
        <v>9031.67</v>
      </c>
      <c r="O613" s="24">
        <f t="shared" si="13"/>
        <v>499.98999999999978</v>
      </c>
    </row>
    <row r="614" spans="9:15" x14ac:dyDescent="0.25">
      <c r="I614" s="14">
        <v>608</v>
      </c>
      <c r="K614" s="6">
        <v>8251.09</v>
      </c>
      <c r="L614" s="6"/>
      <c r="M614" s="6">
        <v>9540.2099999999991</v>
      </c>
      <c r="O614" s="24">
        <f t="shared" si="13"/>
        <v>1289.119999999999</v>
      </c>
    </row>
    <row r="615" spans="9:15" x14ac:dyDescent="0.25">
      <c r="I615" s="14">
        <v>609</v>
      </c>
      <c r="K615" s="6">
        <v>8501.7900000000009</v>
      </c>
      <c r="L615" s="6"/>
      <c r="M615" s="6">
        <v>9378.0400000000009</v>
      </c>
      <c r="O615" s="24">
        <f t="shared" si="13"/>
        <v>876.25</v>
      </c>
    </row>
    <row r="616" spans="9:15" x14ac:dyDescent="0.25">
      <c r="I616" s="14">
        <v>610</v>
      </c>
      <c r="K616" s="6">
        <v>8144.61</v>
      </c>
      <c r="L616" s="6"/>
      <c r="M616" s="6">
        <v>9823.7800000000007</v>
      </c>
      <c r="O616" s="24">
        <f t="shared" si="13"/>
        <v>1679.170000000001</v>
      </c>
    </row>
    <row r="617" spans="9:15" x14ac:dyDescent="0.25">
      <c r="I617" s="14">
        <v>611</v>
      </c>
      <c r="K617" s="6">
        <v>7574.98</v>
      </c>
      <c r="L617" s="6"/>
      <c r="M617" s="6">
        <v>10323.41</v>
      </c>
      <c r="O617" s="24">
        <f t="shared" si="13"/>
        <v>2748.4300000000003</v>
      </c>
    </row>
    <row r="618" spans="9:15" x14ac:dyDescent="0.25">
      <c r="I618" s="14">
        <v>612</v>
      </c>
      <c r="K618" s="6">
        <v>5540.06</v>
      </c>
      <c r="L618" s="6"/>
      <c r="M618" s="6">
        <v>9247.6200000000008</v>
      </c>
      <c r="O618" s="24">
        <f t="shared" si="13"/>
        <v>3707.5600000000004</v>
      </c>
    </row>
    <row r="619" spans="9:15" x14ac:dyDescent="0.25">
      <c r="I619" s="14">
        <v>613</v>
      </c>
      <c r="K619" s="6">
        <v>5589.71</v>
      </c>
      <c r="L619" s="6"/>
      <c r="M619" s="6">
        <v>9363.94</v>
      </c>
      <c r="O619" s="24">
        <f t="shared" si="13"/>
        <v>3774.2300000000005</v>
      </c>
    </row>
    <row r="620" spans="9:15" x14ac:dyDescent="0.25">
      <c r="I620" s="14">
        <v>614</v>
      </c>
      <c r="K620" s="6">
        <v>6823.63</v>
      </c>
      <c r="L620" s="6"/>
      <c r="M620" s="6">
        <v>9927.0400000000009</v>
      </c>
      <c r="O620" s="24">
        <f t="shared" si="13"/>
        <v>3103.4100000000008</v>
      </c>
    </row>
    <row r="621" spans="9:15" x14ac:dyDescent="0.25">
      <c r="I621" s="14">
        <v>615</v>
      </c>
      <c r="K621" s="6">
        <v>6996.55</v>
      </c>
      <c r="L621" s="6"/>
      <c r="M621" s="6">
        <v>9784.34</v>
      </c>
      <c r="O621" s="24">
        <f t="shared" si="13"/>
        <v>2787.79</v>
      </c>
    </row>
    <row r="622" spans="9:15" x14ac:dyDescent="0.25">
      <c r="I622" s="14">
        <v>616</v>
      </c>
      <c r="K622" s="6">
        <v>8244.9500000000007</v>
      </c>
      <c r="L622" s="6"/>
      <c r="M622" s="6">
        <v>9729.93</v>
      </c>
      <c r="O622" s="24">
        <f t="shared" si="13"/>
        <v>1484.9799999999996</v>
      </c>
    </row>
    <row r="623" spans="9:15" x14ac:dyDescent="0.25">
      <c r="I623" s="14">
        <v>617</v>
      </c>
      <c r="K623" s="6">
        <v>5770.62</v>
      </c>
      <c r="L623" s="6"/>
      <c r="M623" s="6">
        <v>10080.629999999999</v>
      </c>
      <c r="O623" s="24">
        <f t="shared" si="13"/>
        <v>4310.0099999999993</v>
      </c>
    </row>
    <row r="624" spans="9:15" x14ac:dyDescent="0.25">
      <c r="I624" s="14">
        <v>618</v>
      </c>
      <c r="K624" s="6">
        <v>6916.15</v>
      </c>
      <c r="L624" s="6"/>
      <c r="M624" s="6">
        <v>9796.4599999999991</v>
      </c>
      <c r="O624" s="24">
        <f t="shared" si="13"/>
        <v>2880.3099999999995</v>
      </c>
    </row>
    <row r="625" spans="9:15" x14ac:dyDescent="0.25">
      <c r="I625" s="14">
        <v>619</v>
      </c>
      <c r="K625" s="6">
        <v>9231.16</v>
      </c>
      <c r="L625" s="6"/>
      <c r="M625" s="6">
        <v>9413.86</v>
      </c>
      <c r="O625" s="24">
        <f t="shared" si="13"/>
        <v>182.70000000000073</v>
      </c>
    </row>
    <row r="626" spans="9:15" x14ac:dyDescent="0.25">
      <c r="I626" s="14">
        <v>620</v>
      </c>
      <c r="K626" s="6">
        <v>6006.24</v>
      </c>
      <c r="L626" s="6"/>
      <c r="M626" s="6">
        <v>10115.84</v>
      </c>
      <c r="O626" s="24">
        <f t="shared" si="13"/>
        <v>4109.6000000000004</v>
      </c>
    </row>
    <row r="627" spans="9:15" x14ac:dyDescent="0.25">
      <c r="I627" s="14">
        <v>621</v>
      </c>
      <c r="K627" s="6">
        <v>7467.24</v>
      </c>
      <c r="L627" s="6"/>
      <c r="M627" s="6">
        <v>10635.74</v>
      </c>
      <c r="O627" s="24">
        <f t="shared" si="13"/>
        <v>3168.5</v>
      </c>
    </row>
    <row r="628" spans="9:15" x14ac:dyDescent="0.25">
      <c r="I628" s="14">
        <v>622</v>
      </c>
      <c r="K628" s="6">
        <v>6116.3</v>
      </c>
      <c r="L628" s="6"/>
      <c r="M628" s="6">
        <v>8867.51</v>
      </c>
      <c r="O628" s="24">
        <f t="shared" si="13"/>
        <v>2751.21</v>
      </c>
    </row>
    <row r="629" spans="9:15" x14ac:dyDescent="0.25">
      <c r="I629" s="14">
        <v>623</v>
      </c>
      <c r="K629" s="6">
        <v>5879.63</v>
      </c>
      <c r="L629" s="6"/>
      <c r="M629" s="6">
        <v>8806.4</v>
      </c>
      <c r="O629" s="24">
        <f t="shared" si="13"/>
        <v>2926.7699999999995</v>
      </c>
    </row>
    <row r="630" spans="9:15" x14ac:dyDescent="0.25">
      <c r="I630" s="14">
        <v>624</v>
      </c>
      <c r="K630" s="6">
        <v>6875.58</v>
      </c>
      <c r="L630" s="6"/>
      <c r="M630" s="6">
        <v>9822.69</v>
      </c>
      <c r="O630" s="24">
        <f t="shared" si="13"/>
        <v>2947.1100000000006</v>
      </c>
    </row>
    <row r="631" spans="9:15" x14ac:dyDescent="0.25">
      <c r="I631" s="14">
        <v>625</v>
      </c>
      <c r="K631" s="6">
        <v>5917.36</v>
      </c>
      <c r="L631" s="6"/>
      <c r="M631" s="6">
        <v>10064.94</v>
      </c>
      <c r="O631" s="24">
        <f t="shared" si="13"/>
        <v>4147.5800000000008</v>
      </c>
    </row>
    <row r="632" spans="9:15" x14ac:dyDescent="0.25">
      <c r="I632" s="14">
        <v>626</v>
      </c>
      <c r="K632" s="6">
        <v>5510.33</v>
      </c>
      <c r="L632" s="6"/>
      <c r="M632" s="6">
        <v>9984.99</v>
      </c>
      <c r="O632" s="24">
        <f t="shared" si="13"/>
        <v>4474.66</v>
      </c>
    </row>
    <row r="633" spans="9:15" x14ac:dyDescent="0.25">
      <c r="I633" s="14">
        <v>627</v>
      </c>
      <c r="K633" s="6">
        <v>7001.33</v>
      </c>
      <c r="L633" s="6"/>
      <c r="M633" s="6">
        <v>9960.26</v>
      </c>
      <c r="O633" s="24">
        <f t="shared" si="13"/>
        <v>2958.9300000000003</v>
      </c>
    </row>
    <row r="634" spans="9:15" x14ac:dyDescent="0.25">
      <c r="I634" s="14">
        <v>628</v>
      </c>
      <c r="K634" s="6">
        <v>7991.69</v>
      </c>
      <c r="L634" s="6"/>
      <c r="M634" s="6">
        <v>10300.6</v>
      </c>
      <c r="O634" s="24">
        <f t="shared" si="13"/>
        <v>2308.9100000000008</v>
      </c>
    </row>
    <row r="635" spans="9:15" x14ac:dyDescent="0.25">
      <c r="I635" s="14">
        <v>629</v>
      </c>
      <c r="K635" s="6">
        <v>6902.54</v>
      </c>
      <c r="L635" s="6"/>
      <c r="M635" s="6">
        <v>9838.56</v>
      </c>
      <c r="O635" s="24">
        <f t="shared" si="13"/>
        <v>2936.0199999999995</v>
      </c>
    </row>
    <row r="636" spans="9:15" x14ac:dyDescent="0.25">
      <c r="I636" s="14">
        <v>630</v>
      </c>
      <c r="K636" s="6">
        <v>9765.39</v>
      </c>
      <c r="L636" s="6"/>
      <c r="M636" s="6">
        <v>10136.030000000001</v>
      </c>
      <c r="O636" s="24">
        <f t="shared" si="13"/>
        <v>370.64000000000124</v>
      </c>
    </row>
    <row r="637" spans="9:15" x14ac:dyDescent="0.25">
      <c r="I637" s="14">
        <v>631</v>
      </c>
      <c r="K637" s="6">
        <v>6898</v>
      </c>
      <c r="L637" s="6"/>
      <c r="M637" s="6">
        <v>9758.24</v>
      </c>
      <c r="O637" s="24">
        <f t="shared" si="13"/>
        <v>2860.24</v>
      </c>
    </row>
    <row r="638" spans="9:15" x14ac:dyDescent="0.25">
      <c r="I638" s="14">
        <v>632</v>
      </c>
      <c r="K638" s="6">
        <v>8411.94</v>
      </c>
      <c r="L638" s="6"/>
      <c r="M638" s="6">
        <v>10232.459999999999</v>
      </c>
      <c r="O638" s="24">
        <f t="shared" si="13"/>
        <v>1820.5199999999986</v>
      </c>
    </row>
    <row r="639" spans="9:15" x14ac:dyDescent="0.25">
      <c r="I639" s="14">
        <v>633</v>
      </c>
      <c r="K639" s="6">
        <v>8133.15</v>
      </c>
      <c r="L639" s="6"/>
      <c r="M639" s="6">
        <v>9735.89</v>
      </c>
      <c r="O639" s="24">
        <f t="shared" si="13"/>
        <v>1602.7399999999998</v>
      </c>
    </row>
    <row r="640" spans="9:15" x14ac:dyDescent="0.25">
      <c r="I640" s="14">
        <v>634</v>
      </c>
      <c r="K640" s="6">
        <v>6724.36</v>
      </c>
      <c r="L640" s="6"/>
      <c r="M640" s="6">
        <v>9419.6</v>
      </c>
      <c r="O640" s="24">
        <f t="shared" si="13"/>
        <v>2695.2400000000007</v>
      </c>
    </row>
    <row r="641" spans="9:15" x14ac:dyDescent="0.25">
      <c r="I641" s="14">
        <v>635</v>
      </c>
      <c r="K641" s="6">
        <v>7055.87</v>
      </c>
      <c r="L641" s="6"/>
      <c r="M641" s="6">
        <v>10408.92</v>
      </c>
      <c r="O641" s="24">
        <f t="shared" si="13"/>
        <v>3353.05</v>
      </c>
    </row>
    <row r="642" spans="9:15" x14ac:dyDescent="0.25">
      <c r="I642" s="14">
        <v>636</v>
      </c>
      <c r="K642" s="6">
        <v>6395.46</v>
      </c>
      <c r="L642" s="6"/>
      <c r="M642" s="6">
        <v>10076.91</v>
      </c>
      <c r="O642" s="24">
        <f t="shared" si="13"/>
        <v>3681.45</v>
      </c>
    </row>
    <row r="643" spans="9:15" x14ac:dyDescent="0.25">
      <c r="I643" s="14">
        <v>637</v>
      </c>
      <c r="K643" s="6">
        <v>5765.46</v>
      </c>
      <c r="L643" s="6"/>
      <c r="M643" s="6">
        <v>9460.27</v>
      </c>
      <c r="O643" s="24">
        <f t="shared" si="13"/>
        <v>3694.8100000000004</v>
      </c>
    </row>
    <row r="644" spans="9:15" x14ac:dyDescent="0.25">
      <c r="I644" s="14">
        <v>638</v>
      </c>
      <c r="K644" s="6">
        <v>5820.58</v>
      </c>
      <c r="L644" s="6"/>
      <c r="M644" s="6">
        <v>10755.9</v>
      </c>
      <c r="O644" s="24">
        <f t="shared" si="13"/>
        <v>4935.32</v>
      </c>
    </row>
    <row r="645" spans="9:15" x14ac:dyDescent="0.25">
      <c r="I645" s="14">
        <v>639</v>
      </c>
      <c r="K645" s="6">
        <v>5933.27</v>
      </c>
      <c r="L645" s="6"/>
      <c r="M645" s="6">
        <v>9971.89</v>
      </c>
      <c r="O645" s="24">
        <f t="shared" si="13"/>
        <v>4038.619999999999</v>
      </c>
    </row>
    <row r="646" spans="9:15" x14ac:dyDescent="0.25">
      <c r="I646" s="14">
        <v>640</v>
      </c>
      <c r="K646" s="6">
        <v>6150.85</v>
      </c>
      <c r="L646" s="6"/>
      <c r="M646" s="6">
        <v>9907.69</v>
      </c>
      <c r="O646" s="24">
        <f t="shared" si="13"/>
        <v>3756.84</v>
      </c>
    </row>
    <row r="647" spans="9:15" x14ac:dyDescent="0.25">
      <c r="I647" s="14">
        <v>641</v>
      </c>
      <c r="K647" s="6">
        <v>6960.12</v>
      </c>
      <c r="L647" s="6"/>
      <c r="M647" s="6">
        <v>9037.64</v>
      </c>
      <c r="O647" s="24">
        <f t="shared" si="13"/>
        <v>2077.5199999999995</v>
      </c>
    </row>
    <row r="648" spans="9:15" x14ac:dyDescent="0.25">
      <c r="I648" s="14">
        <v>642</v>
      </c>
      <c r="K648" s="6">
        <v>6795.82</v>
      </c>
      <c r="L648" s="6"/>
      <c r="M648" s="6">
        <v>10139.91</v>
      </c>
      <c r="O648" s="24">
        <f t="shared" ref="O648:O711" si="14">M648-K648</f>
        <v>3344.09</v>
      </c>
    </row>
    <row r="649" spans="9:15" x14ac:dyDescent="0.25">
      <c r="I649" s="14">
        <v>643</v>
      </c>
      <c r="K649" s="6">
        <v>8849.56</v>
      </c>
      <c r="L649" s="6"/>
      <c r="M649" s="6">
        <v>9835.75</v>
      </c>
      <c r="O649" s="24">
        <f t="shared" si="14"/>
        <v>986.19000000000051</v>
      </c>
    </row>
    <row r="650" spans="9:15" x14ac:dyDescent="0.25">
      <c r="I650" s="14">
        <v>644</v>
      </c>
      <c r="K650" s="6">
        <v>6023.05</v>
      </c>
      <c r="L650" s="6"/>
      <c r="M650" s="6">
        <v>8969.86</v>
      </c>
      <c r="O650" s="24">
        <f t="shared" si="14"/>
        <v>2946.8100000000004</v>
      </c>
    </row>
    <row r="651" spans="9:15" x14ac:dyDescent="0.25">
      <c r="I651" s="14">
        <v>645</v>
      </c>
      <c r="K651" s="6">
        <v>7078.79</v>
      </c>
      <c r="L651" s="6"/>
      <c r="M651" s="6">
        <v>9399.4500000000007</v>
      </c>
      <c r="O651" s="24">
        <f t="shared" si="14"/>
        <v>2320.6600000000008</v>
      </c>
    </row>
    <row r="652" spans="9:15" x14ac:dyDescent="0.25">
      <c r="I652" s="14">
        <v>646</v>
      </c>
      <c r="K652" s="6">
        <v>7442.49</v>
      </c>
      <c r="L652" s="6"/>
      <c r="M652" s="6">
        <v>9298.99</v>
      </c>
      <c r="O652" s="24">
        <f t="shared" si="14"/>
        <v>1856.5</v>
      </c>
    </row>
    <row r="653" spans="9:15" x14ac:dyDescent="0.25">
      <c r="I653" s="14">
        <v>647</v>
      </c>
      <c r="K653" s="6">
        <v>5550.78</v>
      </c>
      <c r="L653" s="6"/>
      <c r="M653" s="6">
        <v>9603.01</v>
      </c>
      <c r="O653" s="24">
        <f t="shared" si="14"/>
        <v>4052.2300000000005</v>
      </c>
    </row>
    <row r="654" spans="9:15" x14ac:dyDescent="0.25">
      <c r="I654" s="14">
        <v>648</v>
      </c>
      <c r="K654" s="6">
        <v>7425.37</v>
      </c>
      <c r="L654" s="6"/>
      <c r="M654" s="6">
        <v>9541.5</v>
      </c>
      <c r="O654" s="24">
        <f t="shared" si="14"/>
        <v>2116.13</v>
      </c>
    </row>
    <row r="655" spans="9:15" x14ac:dyDescent="0.25">
      <c r="I655" s="14">
        <v>649</v>
      </c>
      <c r="K655" s="6">
        <v>5961.64</v>
      </c>
      <c r="L655" s="6"/>
      <c r="M655" s="6">
        <v>9785.0300000000007</v>
      </c>
      <c r="O655" s="24">
        <f t="shared" si="14"/>
        <v>3823.3900000000003</v>
      </c>
    </row>
    <row r="656" spans="9:15" x14ac:dyDescent="0.25">
      <c r="I656" s="14">
        <v>650</v>
      </c>
      <c r="K656" s="6">
        <v>5774.59</v>
      </c>
      <c r="L656" s="6"/>
      <c r="M656" s="6">
        <v>10213.870000000001</v>
      </c>
      <c r="O656" s="24">
        <f t="shared" si="14"/>
        <v>4439.2800000000007</v>
      </c>
    </row>
    <row r="657" spans="9:15" x14ac:dyDescent="0.25">
      <c r="I657" s="14">
        <v>651</v>
      </c>
      <c r="K657" s="6">
        <v>6613.29</v>
      </c>
      <c r="L657" s="6"/>
      <c r="M657" s="6">
        <v>9411.1200000000008</v>
      </c>
      <c r="O657" s="24">
        <f t="shared" si="14"/>
        <v>2797.8300000000008</v>
      </c>
    </row>
    <row r="658" spans="9:15" x14ac:dyDescent="0.25">
      <c r="I658" s="14">
        <v>652</v>
      </c>
      <c r="K658" s="6">
        <v>7467.45</v>
      </c>
      <c r="L658" s="6"/>
      <c r="M658" s="6">
        <v>9690.9500000000007</v>
      </c>
      <c r="O658" s="24">
        <f t="shared" si="14"/>
        <v>2223.5000000000009</v>
      </c>
    </row>
    <row r="659" spans="9:15" x14ac:dyDescent="0.25">
      <c r="I659" s="14">
        <v>653</v>
      </c>
      <c r="K659" s="6">
        <v>6551.06</v>
      </c>
      <c r="L659" s="6"/>
      <c r="M659" s="6">
        <v>9797.42</v>
      </c>
      <c r="O659" s="24">
        <f t="shared" si="14"/>
        <v>3246.3599999999997</v>
      </c>
    </row>
    <row r="660" spans="9:15" x14ac:dyDescent="0.25">
      <c r="I660" s="14">
        <v>654</v>
      </c>
      <c r="K660" s="6">
        <v>6893.19</v>
      </c>
      <c r="L660" s="6"/>
      <c r="M660" s="6">
        <v>9296.4599999999991</v>
      </c>
      <c r="O660" s="24">
        <f t="shared" si="14"/>
        <v>2403.2699999999995</v>
      </c>
    </row>
    <row r="661" spans="9:15" x14ac:dyDescent="0.25">
      <c r="I661" s="14">
        <v>655</v>
      </c>
      <c r="K661" s="6">
        <v>5678.97</v>
      </c>
      <c r="L661" s="6"/>
      <c r="M661" s="6">
        <v>9862.35</v>
      </c>
      <c r="O661" s="24">
        <f t="shared" si="14"/>
        <v>4183.38</v>
      </c>
    </row>
    <row r="662" spans="9:15" x14ac:dyDescent="0.25">
      <c r="I662" s="14">
        <v>656</v>
      </c>
      <c r="K662" s="6">
        <v>6603.5</v>
      </c>
      <c r="L662" s="6"/>
      <c r="M662" s="6">
        <v>9000.2199999999993</v>
      </c>
      <c r="O662" s="24">
        <f t="shared" si="14"/>
        <v>2396.7199999999993</v>
      </c>
    </row>
    <row r="663" spans="9:15" x14ac:dyDescent="0.25">
      <c r="I663" s="14">
        <v>657</v>
      </c>
      <c r="K663" s="6">
        <v>6041.28</v>
      </c>
      <c r="L663" s="6"/>
      <c r="M663" s="6">
        <v>9667.9500000000007</v>
      </c>
      <c r="O663" s="24">
        <f t="shared" si="14"/>
        <v>3626.670000000001</v>
      </c>
    </row>
    <row r="664" spans="9:15" x14ac:dyDescent="0.25">
      <c r="I664" s="14">
        <v>658</v>
      </c>
      <c r="K664" s="6">
        <v>7285.34</v>
      </c>
      <c r="L664" s="6"/>
      <c r="M664" s="6">
        <v>9824.1299999999992</v>
      </c>
      <c r="O664" s="24">
        <f t="shared" si="14"/>
        <v>2538.7899999999991</v>
      </c>
    </row>
    <row r="665" spans="9:15" x14ac:dyDescent="0.25">
      <c r="I665" s="14">
        <v>659</v>
      </c>
      <c r="K665" s="6">
        <v>7633.83</v>
      </c>
      <c r="L665" s="6"/>
      <c r="M665" s="6">
        <v>9598.2800000000007</v>
      </c>
      <c r="O665" s="24">
        <f t="shared" si="14"/>
        <v>1964.4500000000007</v>
      </c>
    </row>
    <row r="666" spans="9:15" x14ac:dyDescent="0.25">
      <c r="I666" s="14">
        <v>660</v>
      </c>
      <c r="K666" s="6">
        <v>7301.54</v>
      </c>
      <c r="L666" s="6"/>
      <c r="M666" s="6">
        <v>10560.88</v>
      </c>
      <c r="O666" s="24">
        <f t="shared" si="14"/>
        <v>3259.3399999999992</v>
      </c>
    </row>
    <row r="667" spans="9:15" x14ac:dyDescent="0.25">
      <c r="I667" s="14">
        <v>661</v>
      </c>
      <c r="K667" s="6">
        <v>6189.48</v>
      </c>
      <c r="L667" s="6"/>
      <c r="M667" s="6">
        <v>9625.3799999999992</v>
      </c>
      <c r="O667" s="24">
        <f t="shared" si="14"/>
        <v>3435.8999999999996</v>
      </c>
    </row>
    <row r="668" spans="9:15" x14ac:dyDescent="0.25">
      <c r="I668" s="14">
        <v>662</v>
      </c>
      <c r="K668" s="6">
        <v>7481.71</v>
      </c>
      <c r="L668" s="6"/>
      <c r="M668" s="6">
        <v>9538.5300000000007</v>
      </c>
      <c r="O668" s="24">
        <f t="shared" si="14"/>
        <v>2056.8200000000006</v>
      </c>
    </row>
    <row r="669" spans="9:15" x14ac:dyDescent="0.25">
      <c r="I669" s="14">
        <v>663</v>
      </c>
      <c r="K669" s="6">
        <v>9120.66</v>
      </c>
      <c r="L669" s="6"/>
      <c r="M669" s="6">
        <v>9876.7999999999993</v>
      </c>
      <c r="O669" s="24">
        <f t="shared" si="14"/>
        <v>756.13999999999942</v>
      </c>
    </row>
    <row r="670" spans="9:15" x14ac:dyDescent="0.25">
      <c r="I670" s="14">
        <v>664</v>
      </c>
      <c r="K670" s="6">
        <v>5913</v>
      </c>
      <c r="L670" s="6"/>
      <c r="M670" s="6">
        <v>9162.2900000000009</v>
      </c>
      <c r="O670" s="24">
        <f t="shared" si="14"/>
        <v>3249.2900000000009</v>
      </c>
    </row>
    <row r="671" spans="9:15" x14ac:dyDescent="0.25">
      <c r="I671" s="14">
        <v>665</v>
      </c>
      <c r="K671" s="6">
        <v>5767.71</v>
      </c>
      <c r="L671" s="6"/>
      <c r="M671" s="6">
        <v>9470.0499999999993</v>
      </c>
      <c r="O671" s="24">
        <f t="shared" si="14"/>
        <v>3702.3399999999992</v>
      </c>
    </row>
    <row r="672" spans="9:15" x14ac:dyDescent="0.25">
      <c r="I672" s="14">
        <v>666</v>
      </c>
      <c r="K672" s="6">
        <v>6761.48</v>
      </c>
      <c r="L672" s="6"/>
      <c r="M672" s="6">
        <v>9441.08</v>
      </c>
      <c r="O672" s="24">
        <f t="shared" si="14"/>
        <v>2679.6000000000004</v>
      </c>
    </row>
    <row r="673" spans="9:15" x14ac:dyDescent="0.25">
      <c r="I673" s="14">
        <v>667</v>
      </c>
      <c r="K673" s="6">
        <v>8387.81</v>
      </c>
      <c r="L673" s="6"/>
      <c r="M673" s="6">
        <v>10620.27</v>
      </c>
      <c r="O673" s="24">
        <f t="shared" si="14"/>
        <v>2232.4600000000009</v>
      </c>
    </row>
    <row r="674" spans="9:15" x14ac:dyDescent="0.25">
      <c r="I674" s="14">
        <v>668</v>
      </c>
      <c r="K674" s="6">
        <v>6201.99</v>
      </c>
      <c r="L674" s="6"/>
      <c r="M674" s="6">
        <v>9552.4699999999993</v>
      </c>
      <c r="O674" s="24">
        <f t="shared" si="14"/>
        <v>3350.4799999999996</v>
      </c>
    </row>
    <row r="675" spans="9:15" x14ac:dyDescent="0.25">
      <c r="I675" s="14">
        <v>669</v>
      </c>
      <c r="K675" s="6">
        <v>7836.01</v>
      </c>
      <c r="L675" s="6"/>
      <c r="M675" s="6">
        <v>10107.120000000001</v>
      </c>
      <c r="O675" s="24">
        <f t="shared" si="14"/>
        <v>2271.1100000000006</v>
      </c>
    </row>
    <row r="676" spans="9:15" x14ac:dyDescent="0.25">
      <c r="I676" s="14">
        <v>670</v>
      </c>
      <c r="K676" s="6">
        <v>7937.45</v>
      </c>
      <c r="L676" s="6"/>
      <c r="M676" s="6">
        <v>9251.16</v>
      </c>
      <c r="O676" s="24">
        <f t="shared" si="14"/>
        <v>1313.71</v>
      </c>
    </row>
    <row r="677" spans="9:15" x14ac:dyDescent="0.25">
      <c r="I677" s="14">
        <v>671</v>
      </c>
      <c r="K677" s="6">
        <v>6398.42</v>
      </c>
      <c r="L677" s="6"/>
      <c r="M677" s="6">
        <v>9257.17</v>
      </c>
      <c r="O677" s="24">
        <f t="shared" si="14"/>
        <v>2858.75</v>
      </c>
    </row>
    <row r="678" spans="9:15" x14ac:dyDescent="0.25">
      <c r="I678" s="14">
        <v>672</v>
      </c>
      <c r="K678" s="6">
        <v>6716.29</v>
      </c>
      <c r="L678" s="6"/>
      <c r="M678" s="6">
        <v>9893.61</v>
      </c>
      <c r="O678" s="24">
        <f t="shared" si="14"/>
        <v>3177.3200000000006</v>
      </c>
    </row>
    <row r="679" spans="9:15" x14ac:dyDescent="0.25">
      <c r="I679" s="14">
        <v>673</v>
      </c>
      <c r="K679" s="6">
        <v>5885.04</v>
      </c>
      <c r="L679" s="6"/>
      <c r="M679" s="6">
        <v>9329.89</v>
      </c>
      <c r="O679" s="24">
        <f t="shared" si="14"/>
        <v>3444.8499999999995</v>
      </c>
    </row>
    <row r="680" spans="9:15" x14ac:dyDescent="0.25">
      <c r="I680" s="14">
        <v>674</v>
      </c>
      <c r="K680" s="6">
        <v>5912.71</v>
      </c>
      <c r="L680" s="6"/>
      <c r="M680" s="6">
        <v>9966.42</v>
      </c>
      <c r="O680" s="24">
        <f t="shared" si="14"/>
        <v>4053.71</v>
      </c>
    </row>
    <row r="681" spans="9:15" x14ac:dyDescent="0.25">
      <c r="I681" s="14">
        <v>675</v>
      </c>
      <c r="K681" s="6">
        <v>6354.46</v>
      </c>
      <c r="L681" s="6"/>
      <c r="M681" s="6">
        <v>9443.0400000000009</v>
      </c>
      <c r="O681" s="24">
        <f t="shared" si="14"/>
        <v>3088.5800000000008</v>
      </c>
    </row>
    <row r="682" spans="9:15" x14ac:dyDescent="0.25">
      <c r="I682" s="14">
        <v>676</v>
      </c>
      <c r="K682" s="6">
        <v>8952.7900000000009</v>
      </c>
      <c r="L682" s="6"/>
      <c r="M682" s="6">
        <v>9655.98</v>
      </c>
      <c r="O682" s="24">
        <f t="shared" si="14"/>
        <v>703.18999999999869</v>
      </c>
    </row>
    <row r="683" spans="9:15" x14ac:dyDescent="0.25">
      <c r="I683" s="14">
        <v>677</v>
      </c>
      <c r="K683" s="6">
        <v>6591.98</v>
      </c>
      <c r="L683" s="6"/>
      <c r="M683" s="6">
        <v>10236.24</v>
      </c>
      <c r="O683" s="24">
        <f t="shared" si="14"/>
        <v>3644.26</v>
      </c>
    </row>
    <row r="684" spans="9:15" x14ac:dyDescent="0.25">
      <c r="I684" s="14">
        <v>678</v>
      </c>
      <c r="K684" s="6">
        <v>9157.2199999999993</v>
      </c>
      <c r="L684" s="6"/>
      <c r="M684" s="6">
        <v>10132.18</v>
      </c>
      <c r="O684" s="24">
        <f t="shared" si="14"/>
        <v>974.96000000000095</v>
      </c>
    </row>
    <row r="685" spans="9:15" x14ac:dyDescent="0.25">
      <c r="I685" s="14">
        <v>679</v>
      </c>
      <c r="K685" s="6">
        <v>6435.19</v>
      </c>
      <c r="L685" s="6"/>
      <c r="M685" s="6">
        <v>9290.07</v>
      </c>
      <c r="O685" s="24">
        <f t="shared" si="14"/>
        <v>2854.88</v>
      </c>
    </row>
    <row r="686" spans="9:15" x14ac:dyDescent="0.25">
      <c r="I686" s="14">
        <v>680</v>
      </c>
      <c r="K686" s="6">
        <v>6650.08</v>
      </c>
      <c r="L686" s="6"/>
      <c r="M686" s="6">
        <v>10252.65</v>
      </c>
      <c r="O686" s="24">
        <f t="shared" si="14"/>
        <v>3602.5699999999997</v>
      </c>
    </row>
    <row r="687" spans="9:15" x14ac:dyDescent="0.25">
      <c r="I687" s="14">
        <v>681</v>
      </c>
      <c r="K687" s="6">
        <v>8352.4500000000007</v>
      </c>
      <c r="L687" s="6"/>
      <c r="M687" s="6">
        <v>9936.06</v>
      </c>
      <c r="O687" s="24">
        <f t="shared" si="14"/>
        <v>1583.6099999999988</v>
      </c>
    </row>
    <row r="688" spans="9:15" x14ac:dyDescent="0.25">
      <c r="I688" s="14">
        <v>682</v>
      </c>
      <c r="K688" s="6">
        <v>8072.35</v>
      </c>
      <c r="L688" s="6"/>
      <c r="M688" s="6">
        <v>9669.52</v>
      </c>
      <c r="O688" s="24">
        <f t="shared" si="14"/>
        <v>1597.17</v>
      </c>
    </row>
    <row r="689" spans="9:15" x14ac:dyDescent="0.25">
      <c r="I689" s="14">
        <v>683</v>
      </c>
      <c r="K689" s="6">
        <v>6189.36</v>
      </c>
      <c r="L689" s="6"/>
      <c r="M689" s="6">
        <v>9991.2900000000009</v>
      </c>
      <c r="O689" s="24">
        <f t="shared" si="14"/>
        <v>3801.9300000000012</v>
      </c>
    </row>
    <row r="690" spans="9:15" x14ac:dyDescent="0.25">
      <c r="I690" s="14">
        <v>684</v>
      </c>
      <c r="K690" s="6">
        <v>5755.95</v>
      </c>
      <c r="L690" s="6"/>
      <c r="M690" s="6">
        <v>10094.5</v>
      </c>
      <c r="O690" s="24">
        <f t="shared" si="14"/>
        <v>4338.55</v>
      </c>
    </row>
    <row r="691" spans="9:15" x14ac:dyDescent="0.25">
      <c r="I691" s="14">
        <v>685</v>
      </c>
      <c r="K691" s="6">
        <v>7798.35</v>
      </c>
      <c r="L691" s="6"/>
      <c r="M691" s="6">
        <v>9298.52</v>
      </c>
      <c r="O691" s="24">
        <f t="shared" si="14"/>
        <v>1500.17</v>
      </c>
    </row>
    <row r="692" spans="9:15" x14ac:dyDescent="0.25">
      <c r="I692" s="14">
        <v>686</v>
      </c>
      <c r="K692" s="6">
        <v>6018.84</v>
      </c>
      <c r="L692" s="6"/>
      <c r="M692" s="6">
        <v>9944.86</v>
      </c>
      <c r="O692" s="24">
        <f t="shared" si="14"/>
        <v>3926.0200000000004</v>
      </c>
    </row>
    <row r="693" spans="9:15" x14ac:dyDescent="0.25">
      <c r="I693" s="14">
        <v>687</v>
      </c>
      <c r="K693" s="6">
        <v>5502.32</v>
      </c>
      <c r="L693" s="6"/>
      <c r="M693" s="6">
        <v>8617.1299999999992</v>
      </c>
      <c r="O693" s="24">
        <f t="shared" si="14"/>
        <v>3114.8099999999995</v>
      </c>
    </row>
    <row r="694" spans="9:15" x14ac:dyDescent="0.25">
      <c r="I694" s="14">
        <v>688</v>
      </c>
      <c r="K694" s="6">
        <v>7262.16</v>
      </c>
      <c r="L694" s="6"/>
      <c r="M694" s="6">
        <v>9643.89</v>
      </c>
      <c r="O694" s="24">
        <f t="shared" si="14"/>
        <v>2381.7299999999996</v>
      </c>
    </row>
    <row r="695" spans="9:15" x14ac:dyDescent="0.25">
      <c r="I695" s="14">
        <v>689</v>
      </c>
      <c r="K695" s="6">
        <v>8105.49</v>
      </c>
      <c r="L695" s="6"/>
      <c r="M695" s="6">
        <v>10091.6</v>
      </c>
      <c r="O695" s="24">
        <f t="shared" si="14"/>
        <v>1986.1100000000006</v>
      </c>
    </row>
    <row r="696" spans="9:15" x14ac:dyDescent="0.25">
      <c r="I696" s="14">
        <v>690</v>
      </c>
      <c r="K696" s="6">
        <v>9213.08</v>
      </c>
      <c r="L696" s="6"/>
      <c r="M696" s="6">
        <v>9649.7800000000007</v>
      </c>
      <c r="O696" s="24">
        <f t="shared" si="14"/>
        <v>436.70000000000073</v>
      </c>
    </row>
    <row r="697" spans="9:15" x14ac:dyDescent="0.25">
      <c r="I697" s="14">
        <v>691</v>
      </c>
      <c r="K697" s="6">
        <v>5761.51</v>
      </c>
      <c r="L697" s="6"/>
      <c r="M697" s="6">
        <v>10051.86</v>
      </c>
      <c r="O697" s="24">
        <f t="shared" si="14"/>
        <v>4290.3500000000004</v>
      </c>
    </row>
    <row r="698" spans="9:15" x14ac:dyDescent="0.25">
      <c r="I698" s="14">
        <v>692</v>
      </c>
      <c r="K698" s="6">
        <v>5548.21</v>
      </c>
      <c r="L698" s="6"/>
      <c r="M698" s="6">
        <v>9531.82</v>
      </c>
      <c r="O698" s="24">
        <f t="shared" si="14"/>
        <v>3983.6099999999997</v>
      </c>
    </row>
    <row r="699" spans="9:15" x14ac:dyDescent="0.25">
      <c r="I699" s="14">
        <v>693</v>
      </c>
      <c r="K699" s="6">
        <v>6617.29</v>
      </c>
      <c r="L699" s="6"/>
      <c r="M699" s="6">
        <v>9118.9599999999991</v>
      </c>
      <c r="O699" s="24">
        <f t="shared" si="14"/>
        <v>2501.6699999999992</v>
      </c>
    </row>
    <row r="700" spans="9:15" x14ac:dyDescent="0.25">
      <c r="I700" s="14">
        <v>694</v>
      </c>
      <c r="K700" s="6">
        <v>7865.8</v>
      </c>
      <c r="L700" s="6"/>
      <c r="M700" s="6">
        <v>9741.75</v>
      </c>
      <c r="O700" s="24">
        <f t="shared" si="14"/>
        <v>1875.9499999999998</v>
      </c>
    </row>
    <row r="701" spans="9:15" x14ac:dyDescent="0.25">
      <c r="I701" s="14">
        <v>695</v>
      </c>
      <c r="K701" s="6">
        <v>6368.36</v>
      </c>
      <c r="L701" s="6"/>
      <c r="M701" s="6">
        <v>10071.82</v>
      </c>
      <c r="O701" s="24">
        <f t="shared" si="14"/>
        <v>3703.46</v>
      </c>
    </row>
    <row r="702" spans="9:15" x14ac:dyDescent="0.25">
      <c r="I702" s="14">
        <v>696</v>
      </c>
      <c r="K702" s="6">
        <v>10004.5</v>
      </c>
      <c r="L702" s="6"/>
      <c r="M702" s="6">
        <v>10477.950000000001</v>
      </c>
      <c r="O702" s="24">
        <f t="shared" si="14"/>
        <v>473.45000000000073</v>
      </c>
    </row>
    <row r="703" spans="9:15" x14ac:dyDescent="0.25">
      <c r="I703" s="14">
        <v>697</v>
      </c>
      <c r="K703" s="6">
        <v>6100.87</v>
      </c>
      <c r="L703" s="6"/>
      <c r="M703" s="6">
        <v>9509.39</v>
      </c>
      <c r="O703" s="24">
        <f t="shared" si="14"/>
        <v>3408.5199999999995</v>
      </c>
    </row>
    <row r="704" spans="9:15" x14ac:dyDescent="0.25">
      <c r="I704" s="14">
        <v>698</v>
      </c>
      <c r="K704" s="6">
        <v>6546.93</v>
      </c>
      <c r="L704" s="6"/>
      <c r="M704" s="6">
        <v>9522.15</v>
      </c>
      <c r="O704" s="24">
        <f t="shared" si="14"/>
        <v>2975.2199999999993</v>
      </c>
    </row>
    <row r="705" spans="9:15" x14ac:dyDescent="0.25">
      <c r="I705" s="14">
        <v>699</v>
      </c>
      <c r="K705" s="6">
        <v>5568.26</v>
      </c>
      <c r="L705" s="6"/>
      <c r="M705" s="6">
        <v>9960.06</v>
      </c>
      <c r="O705" s="24">
        <f t="shared" si="14"/>
        <v>4391.7999999999993</v>
      </c>
    </row>
    <row r="706" spans="9:15" x14ac:dyDescent="0.25">
      <c r="I706" s="14">
        <v>700</v>
      </c>
      <c r="K706" s="6">
        <v>8413.7800000000007</v>
      </c>
      <c r="L706" s="6"/>
      <c r="M706" s="6">
        <v>9606.2900000000009</v>
      </c>
      <c r="O706" s="24">
        <f t="shared" si="14"/>
        <v>1192.5100000000002</v>
      </c>
    </row>
    <row r="707" spans="9:15" x14ac:dyDescent="0.25">
      <c r="I707" s="14">
        <v>701</v>
      </c>
      <c r="K707" s="6">
        <v>6019.74</v>
      </c>
      <c r="L707" s="6"/>
      <c r="M707" s="6">
        <v>9464.43</v>
      </c>
      <c r="O707" s="24">
        <f t="shared" si="14"/>
        <v>3444.6900000000005</v>
      </c>
    </row>
    <row r="708" spans="9:15" x14ac:dyDescent="0.25">
      <c r="I708" s="14">
        <v>702</v>
      </c>
      <c r="K708" s="6">
        <v>8474.7999999999993</v>
      </c>
      <c r="L708" s="6"/>
      <c r="M708" s="6">
        <v>9983.5</v>
      </c>
      <c r="O708" s="24">
        <f t="shared" si="14"/>
        <v>1508.7000000000007</v>
      </c>
    </row>
    <row r="709" spans="9:15" x14ac:dyDescent="0.25">
      <c r="I709" s="14">
        <v>703</v>
      </c>
      <c r="K709" s="6">
        <v>6935.47</v>
      </c>
      <c r="L709" s="6"/>
      <c r="M709" s="6">
        <v>9855.59</v>
      </c>
      <c r="O709" s="24">
        <f t="shared" si="14"/>
        <v>2920.12</v>
      </c>
    </row>
    <row r="710" spans="9:15" x14ac:dyDescent="0.25">
      <c r="I710" s="14">
        <v>704</v>
      </c>
      <c r="K710" s="6">
        <v>5910.99</v>
      </c>
      <c r="L710" s="6"/>
      <c r="M710" s="6">
        <v>9797.7900000000009</v>
      </c>
      <c r="O710" s="24">
        <f t="shared" si="14"/>
        <v>3886.8000000000011</v>
      </c>
    </row>
    <row r="711" spans="9:15" x14ac:dyDescent="0.25">
      <c r="I711" s="14">
        <v>705</v>
      </c>
      <c r="K711" s="6">
        <v>6321.27</v>
      </c>
      <c r="L711" s="6"/>
      <c r="M711" s="6">
        <v>9205.7199999999993</v>
      </c>
      <c r="O711" s="24">
        <f t="shared" si="14"/>
        <v>2884.4499999999989</v>
      </c>
    </row>
    <row r="712" spans="9:15" x14ac:dyDescent="0.25">
      <c r="I712" s="14">
        <v>706</v>
      </c>
      <c r="K712" s="6">
        <v>9151.9500000000007</v>
      </c>
      <c r="L712" s="6"/>
      <c r="M712" s="6">
        <v>9516.2199999999993</v>
      </c>
      <c r="O712" s="24">
        <f t="shared" ref="O712:O775" si="15">M712-K712</f>
        <v>364.26999999999862</v>
      </c>
    </row>
    <row r="713" spans="9:15" x14ac:dyDescent="0.25">
      <c r="I713" s="14">
        <v>707</v>
      </c>
      <c r="K713" s="6">
        <v>8756.42</v>
      </c>
      <c r="L713" s="6"/>
      <c r="M713" s="6">
        <v>9207.76</v>
      </c>
      <c r="O713" s="24">
        <f t="shared" si="15"/>
        <v>451.34000000000015</v>
      </c>
    </row>
    <row r="714" spans="9:15" x14ac:dyDescent="0.25">
      <c r="I714" s="14">
        <v>708</v>
      </c>
      <c r="K714" s="6">
        <v>12178.35</v>
      </c>
      <c r="L714" s="6"/>
      <c r="M714" s="6">
        <v>10137.57</v>
      </c>
      <c r="O714" s="24">
        <f t="shared" si="15"/>
        <v>-2040.7800000000007</v>
      </c>
    </row>
    <row r="715" spans="9:15" x14ac:dyDescent="0.25">
      <c r="I715" s="14">
        <v>709</v>
      </c>
      <c r="K715" s="6">
        <v>8105.48</v>
      </c>
      <c r="L715" s="6"/>
      <c r="M715" s="6">
        <v>9439.34</v>
      </c>
      <c r="O715" s="24">
        <f t="shared" si="15"/>
        <v>1333.8600000000006</v>
      </c>
    </row>
    <row r="716" spans="9:15" x14ac:dyDescent="0.25">
      <c r="I716" s="14">
        <v>710</v>
      </c>
      <c r="K716" s="6">
        <v>6868.18</v>
      </c>
      <c r="L716" s="6"/>
      <c r="M716" s="6">
        <v>9107.18</v>
      </c>
      <c r="O716" s="24">
        <f t="shared" si="15"/>
        <v>2239</v>
      </c>
    </row>
    <row r="717" spans="9:15" x14ac:dyDescent="0.25">
      <c r="I717" s="14">
        <v>711</v>
      </c>
      <c r="K717" s="6">
        <v>8424.9</v>
      </c>
      <c r="L717" s="6"/>
      <c r="M717" s="6">
        <v>10399.15</v>
      </c>
      <c r="O717" s="24">
        <f t="shared" si="15"/>
        <v>1974.25</v>
      </c>
    </row>
    <row r="718" spans="9:15" x14ac:dyDescent="0.25">
      <c r="I718" s="14">
        <v>712</v>
      </c>
      <c r="K718" s="6">
        <v>5916.8</v>
      </c>
      <c r="L718" s="6"/>
      <c r="M718" s="6">
        <v>10083.48</v>
      </c>
      <c r="O718" s="24">
        <f t="shared" si="15"/>
        <v>4166.6799999999994</v>
      </c>
    </row>
    <row r="719" spans="9:15" x14ac:dyDescent="0.25">
      <c r="I719" s="14">
        <v>713</v>
      </c>
      <c r="K719" s="6">
        <v>9742.51</v>
      </c>
      <c r="L719" s="6"/>
      <c r="M719" s="6">
        <v>9861.64</v>
      </c>
      <c r="O719" s="24">
        <f t="shared" si="15"/>
        <v>119.1299999999992</v>
      </c>
    </row>
    <row r="720" spans="9:15" x14ac:dyDescent="0.25">
      <c r="I720" s="14">
        <v>714</v>
      </c>
      <c r="K720" s="6">
        <v>7525.8</v>
      </c>
      <c r="L720" s="6"/>
      <c r="M720" s="6">
        <v>9837.6299999999992</v>
      </c>
      <c r="O720" s="24">
        <f t="shared" si="15"/>
        <v>2311.829999999999</v>
      </c>
    </row>
    <row r="721" spans="9:15" x14ac:dyDescent="0.25">
      <c r="I721" s="14">
        <v>715</v>
      </c>
      <c r="K721" s="6">
        <v>8050.42</v>
      </c>
      <c r="L721" s="6"/>
      <c r="M721" s="6">
        <v>10068.48</v>
      </c>
      <c r="O721" s="24">
        <f t="shared" si="15"/>
        <v>2018.0599999999995</v>
      </c>
    </row>
    <row r="722" spans="9:15" x14ac:dyDescent="0.25">
      <c r="I722" s="14">
        <v>716</v>
      </c>
      <c r="K722" s="6">
        <v>7487.13</v>
      </c>
      <c r="L722" s="6"/>
      <c r="M722" s="6">
        <v>9042.16</v>
      </c>
      <c r="O722" s="24">
        <f t="shared" si="15"/>
        <v>1555.0299999999997</v>
      </c>
    </row>
    <row r="723" spans="9:15" x14ac:dyDescent="0.25">
      <c r="I723" s="14">
        <v>717</v>
      </c>
      <c r="K723" s="6">
        <v>6487.33</v>
      </c>
      <c r="L723" s="6"/>
      <c r="M723" s="6">
        <v>10132.58</v>
      </c>
      <c r="O723" s="24">
        <f t="shared" si="15"/>
        <v>3645.25</v>
      </c>
    </row>
    <row r="724" spans="9:15" x14ac:dyDescent="0.25">
      <c r="I724" s="14">
        <v>718</v>
      </c>
      <c r="K724" s="6">
        <v>5620.39</v>
      </c>
      <c r="L724" s="6"/>
      <c r="M724" s="6">
        <v>9813.41</v>
      </c>
      <c r="O724" s="24">
        <f t="shared" si="15"/>
        <v>4193.0199999999995</v>
      </c>
    </row>
    <row r="725" spans="9:15" x14ac:dyDescent="0.25">
      <c r="I725" s="14">
        <v>719</v>
      </c>
      <c r="K725" s="6">
        <v>8314.76</v>
      </c>
      <c r="L725" s="6"/>
      <c r="M725" s="6">
        <v>10066.530000000001</v>
      </c>
      <c r="O725" s="24">
        <f t="shared" si="15"/>
        <v>1751.7700000000004</v>
      </c>
    </row>
    <row r="726" spans="9:15" x14ac:dyDescent="0.25">
      <c r="I726" s="14">
        <v>720</v>
      </c>
      <c r="K726" s="6">
        <v>8115.02</v>
      </c>
      <c r="L726" s="6"/>
      <c r="M726" s="6">
        <v>8655.75</v>
      </c>
      <c r="O726" s="24">
        <f t="shared" si="15"/>
        <v>540.72999999999956</v>
      </c>
    </row>
    <row r="727" spans="9:15" x14ac:dyDescent="0.25">
      <c r="I727" s="14">
        <v>721</v>
      </c>
      <c r="K727" s="6">
        <v>7650.56</v>
      </c>
      <c r="L727" s="6"/>
      <c r="M727" s="6">
        <v>9562.24</v>
      </c>
      <c r="O727" s="24">
        <f t="shared" si="15"/>
        <v>1911.6799999999994</v>
      </c>
    </row>
    <row r="728" spans="9:15" x14ac:dyDescent="0.25">
      <c r="I728" s="14">
        <v>722</v>
      </c>
      <c r="K728" s="6">
        <v>5774.17</v>
      </c>
      <c r="L728" s="6"/>
      <c r="M728" s="6">
        <v>9578.08</v>
      </c>
      <c r="O728" s="24">
        <f t="shared" si="15"/>
        <v>3803.91</v>
      </c>
    </row>
    <row r="729" spans="9:15" x14ac:dyDescent="0.25">
      <c r="I729" s="14">
        <v>723</v>
      </c>
      <c r="K729" s="6">
        <v>6647.73</v>
      </c>
      <c r="L729" s="6"/>
      <c r="M729" s="6">
        <v>9793.9</v>
      </c>
      <c r="O729" s="24">
        <f t="shared" si="15"/>
        <v>3146.17</v>
      </c>
    </row>
    <row r="730" spans="9:15" x14ac:dyDescent="0.25">
      <c r="I730" s="14">
        <v>724</v>
      </c>
      <c r="K730" s="6">
        <v>5776.4</v>
      </c>
      <c r="L730" s="6"/>
      <c r="M730" s="6">
        <v>10278.93</v>
      </c>
      <c r="O730" s="24">
        <f t="shared" si="15"/>
        <v>4502.5300000000007</v>
      </c>
    </row>
    <row r="731" spans="9:15" x14ac:dyDescent="0.25">
      <c r="I731" s="14">
        <v>725</v>
      </c>
      <c r="K731" s="6">
        <v>5777.41</v>
      </c>
      <c r="L731" s="6"/>
      <c r="M731" s="6">
        <v>10218</v>
      </c>
      <c r="O731" s="24">
        <f t="shared" si="15"/>
        <v>4440.59</v>
      </c>
    </row>
    <row r="732" spans="9:15" x14ac:dyDescent="0.25">
      <c r="I732" s="14">
        <v>726</v>
      </c>
      <c r="K732" s="6">
        <v>6822</v>
      </c>
      <c r="L732" s="6"/>
      <c r="M732" s="6">
        <v>9786.44</v>
      </c>
      <c r="O732" s="24">
        <f t="shared" si="15"/>
        <v>2964.4400000000005</v>
      </c>
    </row>
    <row r="733" spans="9:15" x14ac:dyDescent="0.25">
      <c r="I733" s="14">
        <v>727</v>
      </c>
      <c r="K733" s="6">
        <v>8631.9599999999991</v>
      </c>
      <c r="L733" s="6"/>
      <c r="M733" s="6">
        <v>10218.780000000001</v>
      </c>
      <c r="O733" s="24">
        <f t="shared" si="15"/>
        <v>1586.8200000000015</v>
      </c>
    </row>
    <row r="734" spans="9:15" x14ac:dyDescent="0.25">
      <c r="I734" s="14">
        <v>728</v>
      </c>
      <c r="K734" s="6">
        <v>7165.26</v>
      </c>
      <c r="L734" s="6"/>
      <c r="M734" s="6">
        <v>9443.5</v>
      </c>
      <c r="O734" s="24">
        <f t="shared" si="15"/>
        <v>2278.2399999999998</v>
      </c>
    </row>
    <row r="735" spans="9:15" x14ac:dyDescent="0.25">
      <c r="I735" s="14">
        <v>729</v>
      </c>
      <c r="K735" s="6">
        <v>8435.4699999999993</v>
      </c>
      <c r="L735" s="6"/>
      <c r="M735" s="6">
        <v>9748.16</v>
      </c>
      <c r="O735" s="24">
        <f t="shared" si="15"/>
        <v>1312.6900000000005</v>
      </c>
    </row>
    <row r="736" spans="9:15" x14ac:dyDescent="0.25">
      <c r="I736" s="14">
        <v>730</v>
      </c>
      <c r="K736" s="6">
        <v>6551.44</v>
      </c>
      <c r="L736" s="6"/>
      <c r="M736" s="6">
        <v>10376.52</v>
      </c>
      <c r="O736" s="24">
        <f t="shared" si="15"/>
        <v>3825.0800000000008</v>
      </c>
    </row>
    <row r="737" spans="9:15" x14ac:dyDescent="0.25">
      <c r="I737" s="14">
        <v>731</v>
      </c>
      <c r="K737" s="6">
        <v>7071.36</v>
      </c>
      <c r="L737" s="6"/>
      <c r="M737" s="6">
        <v>9741.4599999999991</v>
      </c>
      <c r="O737" s="24">
        <f t="shared" si="15"/>
        <v>2670.0999999999995</v>
      </c>
    </row>
    <row r="738" spans="9:15" x14ac:dyDescent="0.25">
      <c r="I738" s="14">
        <v>732</v>
      </c>
      <c r="K738" s="6">
        <v>8136.97</v>
      </c>
      <c r="L738" s="6"/>
      <c r="M738" s="6">
        <v>9118.1</v>
      </c>
      <c r="O738" s="24">
        <f t="shared" si="15"/>
        <v>981.13000000000011</v>
      </c>
    </row>
    <row r="739" spans="9:15" x14ac:dyDescent="0.25">
      <c r="I739" s="14">
        <v>733</v>
      </c>
      <c r="K739" s="6">
        <v>6019.95</v>
      </c>
      <c r="L739" s="6"/>
      <c r="M739" s="6">
        <v>11666.39</v>
      </c>
      <c r="O739" s="24">
        <f t="shared" si="15"/>
        <v>5646.44</v>
      </c>
    </row>
    <row r="740" spans="9:15" x14ac:dyDescent="0.25">
      <c r="I740" s="14">
        <v>734</v>
      </c>
      <c r="K740" s="6">
        <v>8298.59</v>
      </c>
      <c r="L740" s="6"/>
      <c r="M740" s="6">
        <v>9497.49</v>
      </c>
      <c r="O740" s="24">
        <f t="shared" si="15"/>
        <v>1198.8999999999996</v>
      </c>
    </row>
    <row r="741" spans="9:15" x14ac:dyDescent="0.25">
      <c r="I741" s="14">
        <v>735</v>
      </c>
      <c r="K741" s="6">
        <v>7095.9</v>
      </c>
      <c r="L741" s="6"/>
      <c r="M741" s="6">
        <v>10940.11</v>
      </c>
      <c r="O741" s="24">
        <f t="shared" si="15"/>
        <v>3844.2100000000009</v>
      </c>
    </row>
    <row r="742" spans="9:15" x14ac:dyDescent="0.25">
      <c r="I742" s="14">
        <v>736</v>
      </c>
      <c r="K742" s="6">
        <v>11410.29</v>
      </c>
      <c r="L742" s="6"/>
      <c r="M742" s="6">
        <v>9136.7199999999993</v>
      </c>
      <c r="O742" s="24">
        <f t="shared" si="15"/>
        <v>-2273.5700000000015</v>
      </c>
    </row>
    <row r="743" spans="9:15" x14ac:dyDescent="0.25">
      <c r="I743" s="14">
        <v>737</v>
      </c>
      <c r="K743" s="6">
        <v>8013.35</v>
      </c>
      <c r="L743" s="6"/>
      <c r="M743" s="6">
        <v>10083.959999999999</v>
      </c>
      <c r="O743" s="24">
        <f t="shared" si="15"/>
        <v>2070.6099999999988</v>
      </c>
    </row>
    <row r="744" spans="9:15" x14ac:dyDescent="0.25">
      <c r="I744" s="14">
        <v>738</v>
      </c>
      <c r="K744" s="6">
        <v>5821.61</v>
      </c>
      <c r="L744" s="6"/>
      <c r="M744" s="6">
        <v>9630.43</v>
      </c>
      <c r="O744" s="24">
        <f t="shared" si="15"/>
        <v>3808.8200000000006</v>
      </c>
    </row>
    <row r="745" spans="9:15" x14ac:dyDescent="0.25">
      <c r="I745" s="14">
        <v>739</v>
      </c>
      <c r="K745" s="6">
        <v>9350.34</v>
      </c>
      <c r="L745" s="6"/>
      <c r="M745" s="6">
        <v>11146.16</v>
      </c>
      <c r="O745" s="24">
        <f t="shared" si="15"/>
        <v>1795.8199999999997</v>
      </c>
    </row>
    <row r="746" spans="9:15" x14ac:dyDescent="0.25">
      <c r="I746" s="14">
        <v>740</v>
      </c>
      <c r="K746" s="6">
        <v>7692.58</v>
      </c>
      <c r="L746" s="6"/>
      <c r="M746" s="6">
        <v>10957.47</v>
      </c>
      <c r="O746" s="24">
        <f t="shared" si="15"/>
        <v>3264.8899999999994</v>
      </c>
    </row>
    <row r="747" spans="9:15" x14ac:dyDescent="0.25">
      <c r="I747" s="14">
        <v>741</v>
      </c>
      <c r="K747" s="6">
        <v>7335.29</v>
      </c>
      <c r="L747" s="6"/>
      <c r="M747" s="6">
        <v>10265.790000000001</v>
      </c>
      <c r="O747" s="24">
        <f t="shared" si="15"/>
        <v>2930.5000000000009</v>
      </c>
    </row>
    <row r="748" spans="9:15" x14ac:dyDescent="0.25">
      <c r="I748" s="14">
        <v>742</v>
      </c>
      <c r="K748" s="6">
        <v>5769.27</v>
      </c>
      <c r="L748" s="6"/>
      <c r="M748" s="6">
        <v>9499.4</v>
      </c>
      <c r="O748" s="24">
        <f t="shared" si="15"/>
        <v>3730.1299999999992</v>
      </c>
    </row>
    <row r="749" spans="9:15" x14ac:dyDescent="0.25">
      <c r="I749" s="14">
        <v>743</v>
      </c>
      <c r="K749" s="6">
        <v>8541.2999999999993</v>
      </c>
      <c r="L749" s="6"/>
      <c r="M749" s="6">
        <v>9505.66</v>
      </c>
      <c r="O749" s="24">
        <f t="shared" si="15"/>
        <v>964.36000000000058</v>
      </c>
    </row>
    <row r="750" spans="9:15" x14ac:dyDescent="0.25">
      <c r="I750" s="14">
        <v>744</v>
      </c>
      <c r="K750" s="6">
        <v>6336.92</v>
      </c>
      <c r="L750" s="6"/>
      <c r="M750" s="6">
        <v>10088.18</v>
      </c>
      <c r="O750" s="24">
        <f t="shared" si="15"/>
        <v>3751.26</v>
      </c>
    </row>
    <row r="751" spans="9:15" x14ac:dyDescent="0.25">
      <c r="I751" s="14">
        <v>745</v>
      </c>
      <c r="K751" s="6">
        <v>7923.87</v>
      </c>
      <c r="L751" s="6"/>
      <c r="M751" s="6">
        <v>9788.66</v>
      </c>
      <c r="O751" s="24">
        <f t="shared" si="15"/>
        <v>1864.79</v>
      </c>
    </row>
    <row r="752" spans="9:15" x14ac:dyDescent="0.25">
      <c r="I752" s="14">
        <v>746</v>
      </c>
      <c r="K752" s="6">
        <v>6531.8</v>
      </c>
      <c r="L752" s="6"/>
      <c r="M752" s="6">
        <v>9784.98</v>
      </c>
      <c r="O752" s="24">
        <f t="shared" si="15"/>
        <v>3253.1799999999994</v>
      </c>
    </row>
    <row r="753" spans="9:15" x14ac:dyDescent="0.25">
      <c r="I753" s="14">
        <v>747</v>
      </c>
      <c r="K753" s="6">
        <v>6835.86</v>
      </c>
      <c r="L753" s="6"/>
      <c r="M753" s="6">
        <v>9758.4699999999993</v>
      </c>
      <c r="O753" s="24">
        <f t="shared" si="15"/>
        <v>2922.6099999999997</v>
      </c>
    </row>
    <row r="754" spans="9:15" x14ac:dyDescent="0.25">
      <c r="I754" s="14">
        <v>748</v>
      </c>
      <c r="K754" s="6">
        <v>9363.2199999999993</v>
      </c>
      <c r="L754" s="6"/>
      <c r="M754" s="6">
        <v>9820.7999999999993</v>
      </c>
      <c r="O754" s="24">
        <f t="shared" si="15"/>
        <v>457.57999999999993</v>
      </c>
    </row>
    <row r="755" spans="9:15" x14ac:dyDescent="0.25">
      <c r="I755" s="14">
        <v>749</v>
      </c>
      <c r="K755" s="6">
        <v>5965.57</v>
      </c>
      <c r="L755" s="6"/>
      <c r="M755" s="6">
        <v>9631.52</v>
      </c>
      <c r="O755" s="24">
        <f t="shared" si="15"/>
        <v>3665.9500000000007</v>
      </c>
    </row>
    <row r="756" spans="9:15" x14ac:dyDescent="0.25">
      <c r="I756" s="14">
        <v>750</v>
      </c>
      <c r="K756" s="6">
        <v>5890.12</v>
      </c>
      <c r="L756" s="6"/>
      <c r="M756" s="6">
        <v>9832.07</v>
      </c>
      <c r="O756" s="24">
        <f t="shared" si="15"/>
        <v>3941.95</v>
      </c>
    </row>
    <row r="757" spans="9:15" x14ac:dyDescent="0.25">
      <c r="I757" s="14">
        <v>751</v>
      </c>
      <c r="K757" s="6">
        <v>5735.75</v>
      </c>
      <c r="L757" s="6"/>
      <c r="M757" s="6">
        <v>10308.35</v>
      </c>
      <c r="O757" s="24">
        <f t="shared" si="15"/>
        <v>4572.6000000000004</v>
      </c>
    </row>
    <row r="758" spans="9:15" x14ac:dyDescent="0.25">
      <c r="I758" s="14">
        <v>752</v>
      </c>
      <c r="K758" s="6">
        <v>6603.34</v>
      </c>
      <c r="L758" s="6"/>
      <c r="M758" s="6">
        <v>9654.31</v>
      </c>
      <c r="O758" s="24">
        <f t="shared" si="15"/>
        <v>3050.9699999999993</v>
      </c>
    </row>
    <row r="759" spans="9:15" x14ac:dyDescent="0.25">
      <c r="I759" s="14">
        <v>753</v>
      </c>
      <c r="K759" s="6">
        <v>8051.45</v>
      </c>
      <c r="L759" s="6"/>
      <c r="M759" s="6">
        <v>10337.18</v>
      </c>
      <c r="O759" s="24">
        <f t="shared" si="15"/>
        <v>2285.7300000000005</v>
      </c>
    </row>
    <row r="760" spans="9:15" x14ac:dyDescent="0.25">
      <c r="I760" s="14">
        <v>754</v>
      </c>
      <c r="K760" s="6">
        <v>7396.51</v>
      </c>
      <c r="L760" s="6"/>
      <c r="M760" s="6">
        <v>9720.65</v>
      </c>
      <c r="O760" s="24">
        <f t="shared" si="15"/>
        <v>2324.1399999999994</v>
      </c>
    </row>
    <row r="761" spans="9:15" x14ac:dyDescent="0.25">
      <c r="I761" s="14">
        <v>755</v>
      </c>
      <c r="K761" s="6">
        <v>6127.84</v>
      </c>
      <c r="L761" s="6"/>
      <c r="M761" s="6">
        <v>10223.81</v>
      </c>
      <c r="O761" s="24">
        <f t="shared" si="15"/>
        <v>4095.9699999999993</v>
      </c>
    </row>
    <row r="762" spans="9:15" x14ac:dyDescent="0.25">
      <c r="I762" s="14">
        <v>756</v>
      </c>
      <c r="K762" s="6">
        <v>8684.91</v>
      </c>
      <c r="L762" s="6"/>
      <c r="M762" s="6">
        <v>9065.18</v>
      </c>
      <c r="O762" s="24">
        <f t="shared" si="15"/>
        <v>380.27000000000044</v>
      </c>
    </row>
    <row r="763" spans="9:15" x14ac:dyDescent="0.25">
      <c r="I763" s="14">
        <v>757</v>
      </c>
      <c r="K763" s="6">
        <v>7314.12</v>
      </c>
      <c r="L763" s="6"/>
      <c r="M763" s="6">
        <v>11387.56</v>
      </c>
      <c r="O763" s="24">
        <f t="shared" si="15"/>
        <v>4073.4399999999996</v>
      </c>
    </row>
    <row r="764" spans="9:15" x14ac:dyDescent="0.25">
      <c r="I764" s="14">
        <v>758</v>
      </c>
      <c r="K764" s="6">
        <v>5640.93</v>
      </c>
      <c r="L764" s="6"/>
      <c r="M764" s="6">
        <v>9687.07</v>
      </c>
      <c r="O764" s="24">
        <f t="shared" si="15"/>
        <v>4046.1399999999994</v>
      </c>
    </row>
    <row r="765" spans="9:15" x14ac:dyDescent="0.25">
      <c r="I765" s="14">
        <v>759</v>
      </c>
      <c r="K765" s="6">
        <v>6426.28</v>
      </c>
      <c r="L765" s="6"/>
      <c r="M765" s="6">
        <v>10108.049999999999</v>
      </c>
      <c r="O765" s="24">
        <f t="shared" si="15"/>
        <v>3681.7699999999995</v>
      </c>
    </row>
    <row r="766" spans="9:15" x14ac:dyDescent="0.25">
      <c r="I766" s="14">
        <v>760</v>
      </c>
      <c r="K766" s="6">
        <v>6822.12</v>
      </c>
      <c r="L766" s="6"/>
      <c r="M766" s="6">
        <v>9267.36</v>
      </c>
      <c r="O766" s="24">
        <f t="shared" si="15"/>
        <v>2445.2400000000007</v>
      </c>
    </row>
    <row r="767" spans="9:15" x14ac:dyDescent="0.25">
      <c r="I767" s="14">
        <v>761</v>
      </c>
      <c r="K767" s="6">
        <v>7124.19</v>
      </c>
      <c r="L767" s="6"/>
      <c r="M767" s="6">
        <v>9991.9599999999991</v>
      </c>
      <c r="O767" s="24">
        <f t="shared" si="15"/>
        <v>2867.7699999999995</v>
      </c>
    </row>
    <row r="768" spans="9:15" x14ac:dyDescent="0.25">
      <c r="I768" s="14">
        <v>762</v>
      </c>
      <c r="K768" s="6">
        <v>5817.46</v>
      </c>
      <c r="L768" s="6"/>
      <c r="M768" s="6">
        <v>9812.7000000000007</v>
      </c>
      <c r="O768" s="24">
        <f t="shared" si="15"/>
        <v>3995.2400000000007</v>
      </c>
    </row>
    <row r="769" spans="9:15" x14ac:dyDescent="0.25">
      <c r="I769" s="14">
        <v>763</v>
      </c>
      <c r="K769" s="6">
        <v>7376.68</v>
      </c>
      <c r="L769" s="6"/>
      <c r="M769" s="6">
        <v>10925.76</v>
      </c>
      <c r="O769" s="24">
        <f t="shared" si="15"/>
        <v>3549.08</v>
      </c>
    </row>
    <row r="770" spans="9:15" x14ac:dyDescent="0.25">
      <c r="I770" s="14">
        <v>764</v>
      </c>
      <c r="K770" s="6">
        <v>7325.17</v>
      </c>
      <c r="L770" s="6"/>
      <c r="M770" s="6">
        <v>9241.65</v>
      </c>
      <c r="O770" s="24">
        <f t="shared" si="15"/>
        <v>1916.4799999999996</v>
      </c>
    </row>
    <row r="771" spans="9:15" x14ac:dyDescent="0.25">
      <c r="I771" s="14">
        <v>765</v>
      </c>
      <c r="K771" s="6">
        <v>6816</v>
      </c>
      <c r="L771" s="6"/>
      <c r="M771" s="6">
        <v>9722.9</v>
      </c>
      <c r="O771" s="24">
        <f t="shared" si="15"/>
        <v>2906.8999999999996</v>
      </c>
    </row>
    <row r="772" spans="9:15" x14ac:dyDescent="0.25">
      <c r="I772" s="14">
        <v>766</v>
      </c>
      <c r="K772" s="6">
        <v>7132.72</v>
      </c>
      <c r="L772" s="6"/>
      <c r="M772" s="6">
        <v>9956.84</v>
      </c>
      <c r="O772" s="24">
        <f t="shared" si="15"/>
        <v>2824.12</v>
      </c>
    </row>
    <row r="773" spans="9:15" x14ac:dyDescent="0.25">
      <c r="I773" s="14">
        <v>767</v>
      </c>
      <c r="K773" s="6">
        <v>8280.18</v>
      </c>
      <c r="L773" s="6"/>
      <c r="M773" s="6">
        <v>9568.1299999999992</v>
      </c>
      <c r="O773" s="24">
        <f t="shared" si="15"/>
        <v>1287.9499999999989</v>
      </c>
    </row>
    <row r="774" spans="9:15" x14ac:dyDescent="0.25">
      <c r="I774" s="14">
        <v>768</v>
      </c>
      <c r="K774" s="6">
        <v>7703.33</v>
      </c>
      <c r="L774" s="6"/>
      <c r="M774" s="6">
        <v>10488.39</v>
      </c>
      <c r="O774" s="24">
        <f t="shared" si="15"/>
        <v>2785.0599999999995</v>
      </c>
    </row>
    <row r="775" spans="9:15" x14ac:dyDescent="0.25">
      <c r="I775" s="14">
        <v>769</v>
      </c>
      <c r="K775" s="6">
        <v>5726.5</v>
      </c>
      <c r="L775" s="6"/>
      <c r="M775" s="6">
        <v>10767.73</v>
      </c>
      <c r="O775" s="24">
        <f t="shared" si="15"/>
        <v>5041.2299999999996</v>
      </c>
    </row>
    <row r="776" spans="9:15" x14ac:dyDescent="0.25">
      <c r="I776" s="14">
        <v>770</v>
      </c>
      <c r="K776" s="6">
        <v>5801.18</v>
      </c>
      <c r="L776" s="6"/>
      <c r="M776" s="6">
        <v>9870.08</v>
      </c>
      <c r="O776" s="24">
        <f t="shared" ref="O776:O839" si="16">M776-K776</f>
        <v>4068.8999999999996</v>
      </c>
    </row>
    <row r="777" spans="9:15" x14ac:dyDescent="0.25">
      <c r="I777" s="14">
        <v>771</v>
      </c>
      <c r="K777" s="6">
        <v>8127.94</v>
      </c>
      <c r="L777" s="6"/>
      <c r="M777" s="6">
        <v>10247.16</v>
      </c>
      <c r="O777" s="24">
        <f t="shared" si="16"/>
        <v>2119.2200000000003</v>
      </c>
    </row>
    <row r="778" spans="9:15" x14ac:dyDescent="0.25">
      <c r="I778" s="14">
        <v>772</v>
      </c>
      <c r="K778" s="6">
        <v>6656.79</v>
      </c>
      <c r="L778" s="6"/>
      <c r="M778" s="6">
        <v>10519.4</v>
      </c>
      <c r="O778" s="24">
        <f t="shared" si="16"/>
        <v>3862.6099999999997</v>
      </c>
    </row>
    <row r="779" spans="9:15" x14ac:dyDescent="0.25">
      <c r="I779" s="14">
        <v>773</v>
      </c>
      <c r="K779" s="6">
        <v>5994.06</v>
      </c>
      <c r="L779" s="6"/>
      <c r="M779" s="6">
        <v>9125.2900000000009</v>
      </c>
      <c r="O779" s="24">
        <f t="shared" si="16"/>
        <v>3131.2300000000005</v>
      </c>
    </row>
    <row r="780" spans="9:15" x14ac:dyDescent="0.25">
      <c r="I780" s="14">
        <v>774</v>
      </c>
      <c r="K780" s="6">
        <v>7216.66</v>
      </c>
      <c r="L780" s="6"/>
      <c r="M780" s="6">
        <v>9247.2900000000009</v>
      </c>
      <c r="O780" s="24">
        <f t="shared" si="16"/>
        <v>2030.630000000001</v>
      </c>
    </row>
    <row r="781" spans="9:15" x14ac:dyDescent="0.25">
      <c r="I781" s="14">
        <v>775</v>
      </c>
      <c r="K781" s="6">
        <v>7458.16</v>
      </c>
      <c r="L781" s="6"/>
      <c r="M781" s="6">
        <v>10010.14</v>
      </c>
      <c r="O781" s="24">
        <f t="shared" si="16"/>
        <v>2551.9799999999996</v>
      </c>
    </row>
    <row r="782" spans="9:15" x14ac:dyDescent="0.25">
      <c r="I782" s="14">
        <v>776</v>
      </c>
      <c r="K782" s="6">
        <v>6152.04</v>
      </c>
      <c r="L782" s="6"/>
      <c r="M782" s="6">
        <v>9756.06</v>
      </c>
      <c r="O782" s="24">
        <f t="shared" si="16"/>
        <v>3604.0199999999995</v>
      </c>
    </row>
    <row r="783" spans="9:15" x14ac:dyDescent="0.25">
      <c r="I783" s="14">
        <v>777</v>
      </c>
      <c r="K783" s="6">
        <v>6221.2</v>
      </c>
      <c r="L783" s="6"/>
      <c r="M783" s="6">
        <v>10439.950000000001</v>
      </c>
      <c r="O783" s="24">
        <f t="shared" si="16"/>
        <v>4218.7500000000009</v>
      </c>
    </row>
    <row r="784" spans="9:15" x14ac:dyDescent="0.25">
      <c r="I784" s="14">
        <v>778</v>
      </c>
      <c r="K784" s="6">
        <v>8164.48</v>
      </c>
      <c r="L784" s="6"/>
      <c r="M784" s="6">
        <v>9756.74</v>
      </c>
      <c r="O784" s="24">
        <f t="shared" si="16"/>
        <v>1592.2600000000002</v>
      </c>
    </row>
    <row r="785" spans="9:15" x14ac:dyDescent="0.25">
      <c r="I785" s="14">
        <v>779</v>
      </c>
      <c r="K785" s="6">
        <v>6575.56</v>
      </c>
      <c r="L785" s="6"/>
      <c r="M785" s="6">
        <v>10071.11</v>
      </c>
      <c r="O785" s="24">
        <f t="shared" si="16"/>
        <v>3495.55</v>
      </c>
    </row>
    <row r="786" spans="9:15" x14ac:dyDescent="0.25">
      <c r="I786" s="14">
        <v>780</v>
      </c>
      <c r="K786" s="6">
        <v>7328.51</v>
      </c>
      <c r="L786" s="6"/>
      <c r="M786" s="6">
        <v>9429.31</v>
      </c>
      <c r="O786" s="24">
        <f t="shared" si="16"/>
        <v>2100.7999999999993</v>
      </c>
    </row>
    <row r="787" spans="9:15" x14ac:dyDescent="0.25">
      <c r="I787" s="14">
        <v>781</v>
      </c>
      <c r="K787" s="6">
        <v>6233.14</v>
      </c>
      <c r="L787" s="6"/>
      <c r="M787" s="6">
        <v>8999.4500000000007</v>
      </c>
      <c r="O787" s="24">
        <f t="shared" si="16"/>
        <v>2766.3100000000004</v>
      </c>
    </row>
    <row r="788" spans="9:15" x14ac:dyDescent="0.25">
      <c r="I788" s="14">
        <v>782</v>
      </c>
      <c r="K788" s="6">
        <v>5926.48</v>
      </c>
      <c r="L788" s="6"/>
      <c r="M788" s="6">
        <v>9538.5400000000009</v>
      </c>
      <c r="O788" s="24">
        <f t="shared" si="16"/>
        <v>3612.0600000000013</v>
      </c>
    </row>
    <row r="789" spans="9:15" x14ac:dyDescent="0.25">
      <c r="I789" s="14">
        <v>783</v>
      </c>
      <c r="K789" s="6">
        <v>8381.34</v>
      </c>
      <c r="L789" s="6"/>
      <c r="M789" s="6">
        <v>10578.35</v>
      </c>
      <c r="O789" s="24">
        <f t="shared" si="16"/>
        <v>2197.0100000000002</v>
      </c>
    </row>
    <row r="790" spans="9:15" x14ac:dyDescent="0.25">
      <c r="I790" s="14">
        <v>784</v>
      </c>
      <c r="K790" s="6">
        <v>7002.29</v>
      </c>
      <c r="L790" s="6"/>
      <c r="M790" s="6">
        <v>9537.2199999999993</v>
      </c>
      <c r="O790" s="24">
        <f t="shared" si="16"/>
        <v>2534.9299999999994</v>
      </c>
    </row>
    <row r="791" spans="9:15" x14ac:dyDescent="0.25">
      <c r="I791" s="14">
        <v>785</v>
      </c>
      <c r="K791" s="6">
        <v>7056.18</v>
      </c>
      <c r="L791" s="6"/>
      <c r="M791" s="6">
        <v>9206.49</v>
      </c>
      <c r="O791" s="24">
        <f t="shared" si="16"/>
        <v>2150.3099999999995</v>
      </c>
    </row>
    <row r="792" spans="9:15" x14ac:dyDescent="0.25">
      <c r="I792" s="14">
        <v>786</v>
      </c>
      <c r="K792" s="6">
        <v>7261.53</v>
      </c>
      <c r="L792" s="6"/>
      <c r="M792" s="6">
        <v>9893.15</v>
      </c>
      <c r="O792" s="24">
        <f t="shared" si="16"/>
        <v>2631.62</v>
      </c>
    </row>
    <row r="793" spans="9:15" x14ac:dyDescent="0.25">
      <c r="I793" s="14">
        <v>787</v>
      </c>
      <c r="K793" s="6">
        <v>6508.67</v>
      </c>
      <c r="L793" s="6"/>
      <c r="M793" s="6">
        <v>9816.59</v>
      </c>
      <c r="O793" s="24">
        <f t="shared" si="16"/>
        <v>3307.92</v>
      </c>
    </row>
    <row r="794" spans="9:15" x14ac:dyDescent="0.25">
      <c r="I794" s="14">
        <v>788</v>
      </c>
      <c r="K794" s="6">
        <v>6975.07</v>
      </c>
      <c r="L794" s="6"/>
      <c r="M794" s="6">
        <v>9269.1</v>
      </c>
      <c r="O794" s="24">
        <f t="shared" si="16"/>
        <v>2294.0300000000007</v>
      </c>
    </row>
    <row r="795" spans="9:15" x14ac:dyDescent="0.25">
      <c r="I795" s="14">
        <v>789</v>
      </c>
      <c r="K795" s="6">
        <v>9192.1</v>
      </c>
      <c r="L795" s="6"/>
      <c r="M795" s="6">
        <v>10065.540000000001</v>
      </c>
      <c r="O795" s="24">
        <f t="shared" si="16"/>
        <v>873.44000000000051</v>
      </c>
    </row>
    <row r="796" spans="9:15" x14ac:dyDescent="0.25">
      <c r="I796" s="14">
        <v>790</v>
      </c>
      <c r="K796" s="6">
        <v>7025.88</v>
      </c>
      <c r="L796" s="6"/>
      <c r="M796" s="6">
        <v>9112.57</v>
      </c>
      <c r="O796" s="24">
        <f t="shared" si="16"/>
        <v>2086.6899999999996</v>
      </c>
    </row>
    <row r="797" spans="9:15" x14ac:dyDescent="0.25">
      <c r="I797" s="14">
        <v>791</v>
      </c>
      <c r="K797" s="6">
        <v>8413.48</v>
      </c>
      <c r="L797" s="6"/>
      <c r="M797" s="6">
        <v>10356.93</v>
      </c>
      <c r="O797" s="24">
        <f t="shared" si="16"/>
        <v>1943.4500000000007</v>
      </c>
    </row>
    <row r="798" spans="9:15" x14ac:dyDescent="0.25">
      <c r="I798" s="14">
        <v>792</v>
      </c>
      <c r="K798" s="6">
        <v>6259.97</v>
      </c>
      <c r="L798" s="6"/>
      <c r="M798" s="6">
        <v>10173.19</v>
      </c>
      <c r="O798" s="24">
        <f t="shared" si="16"/>
        <v>3913.2200000000003</v>
      </c>
    </row>
    <row r="799" spans="9:15" x14ac:dyDescent="0.25">
      <c r="I799" s="14">
        <v>793</v>
      </c>
      <c r="K799" s="6">
        <v>6788.07</v>
      </c>
      <c r="L799" s="6"/>
      <c r="M799" s="6">
        <v>9237.83</v>
      </c>
      <c r="O799" s="24">
        <f t="shared" si="16"/>
        <v>2449.7600000000002</v>
      </c>
    </row>
    <row r="800" spans="9:15" x14ac:dyDescent="0.25">
      <c r="I800" s="14">
        <v>794</v>
      </c>
      <c r="K800" s="6">
        <v>7340.87</v>
      </c>
      <c r="L800" s="6"/>
      <c r="M800" s="6">
        <v>9563.6</v>
      </c>
      <c r="O800" s="24">
        <f t="shared" si="16"/>
        <v>2222.7300000000005</v>
      </c>
    </row>
    <row r="801" spans="9:15" x14ac:dyDescent="0.25">
      <c r="I801" s="14">
        <v>795</v>
      </c>
      <c r="K801" s="6">
        <v>7192.82</v>
      </c>
      <c r="L801" s="6"/>
      <c r="M801" s="6">
        <v>10195.51</v>
      </c>
      <c r="O801" s="24">
        <f t="shared" si="16"/>
        <v>3002.6900000000005</v>
      </c>
    </row>
    <row r="802" spans="9:15" x14ac:dyDescent="0.25">
      <c r="I802" s="14">
        <v>796</v>
      </c>
      <c r="K802" s="6">
        <v>7527.04</v>
      </c>
      <c r="L802" s="6"/>
      <c r="M802" s="6">
        <v>9848.1</v>
      </c>
      <c r="O802" s="24">
        <f t="shared" si="16"/>
        <v>2321.0600000000004</v>
      </c>
    </row>
    <row r="803" spans="9:15" x14ac:dyDescent="0.25">
      <c r="I803" s="14">
        <v>797</v>
      </c>
      <c r="K803" s="6">
        <v>7405.53</v>
      </c>
      <c r="L803" s="6"/>
      <c r="M803" s="6">
        <v>9587.7999999999993</v>
      </c>
      <c r="O803" s="24">
        <f t="shared" si="16"/>
        <v>2182.2699999999995</v>
      </c>
    </row>
    <row r="804" spans="9:15" x14ac:dyDescent="0.25">
      <c r="I804" s="14">
        <v>798</v>
      </c>
      <c r="K804" s="6">
        <v>7404.31</v>
      </c>
      <c r="L804" s="6"/>
      <c r="M804" s="6">
        <v>9573.36</v>
      </c>
      <c r="O804" s="24">
        <f t="shared" si="16"/>
        <v>2169.0500000000002</v>
      </c>
    </row>
    <row r="805" spans="9:15" x14ac:dyDescent="0.25">
      <c r="I805" s="14">
        <v>799</v>
      </c>
      <c r="K805" s="6">
        <v>6648.59</v>
      </c>
      <c r="L805" s="6"/>
      <c r="M805" s="6">
        <v>9898.8700000000008</v>
      </c>
      <c r="O805" s="24">
        <f t="shared" si="16"/>
        <v>3250.2800000000007</v>
      </c>
    </row>
    <row r="806" spans="9:15" x14ac:dyDescent="0.25">
      <c r="I806" s="14">
        <v>800</v>
      </c>
      <c r="K806" s="6">
        <v>6145.11</v>
      </c>
      <c r="L806" s="6"/>
      <c r="M806" s="6">
        <v>9559.2900000000009</v>
      </c>
      <c r="O806" s="24">
        <f t="shared" si="16"/>
        <v>3414.1800000000012</v>
      </c>
    </row>
    <row r="807" spans="9:15" x14ac:dyDescent="0.25">
      <c r="I807" s="14">
        <v>801</v>
      </c>
      <c r="K807" s="6">
        <v>6496.73</v>
      </c>
      <c r="L807" s="6"/>
      <c r="M807" s="6">
        <v>10318.26</v>
      </c>
      <c r="O807" s="24">
        <f t="shared" si="16"/>
        <v>3821.5300000000007</v>
      </c>
    </row>
    <row r="808" spans="9:15" x14ac:dyDescent="0.25">
      <c r="I808" s="14">
        <v>802</v>
      </c>
      <c r="K808" s="6">
        <v>8112.48</v>
      </c>
      <c r="L808" s="6"/>
      <c r="M808" s="6">
        <v>9817.2199999999993</v>
      </c>
      <c r="O808" s="24">
        <f t="shared" si="16"/>
        <v>1704.7399999999998</v>
      </c>
    </row>
    <row r="809" spans="9:15" x14ac:dyDescent="0.25">
      <c r="I809" s="14">
        <v>803</v>
      </c>
      <c r="K809" s="6">
        <v>5684.08</v>
      </c>
      <c r="L809" s="6"/>
      <c r="M809" s="6">
        <v>10548.92</v>
      </c>
      <c r="O809" s="24">
        <f t="shared" si="16"/>
        <v>4864.84</v>
      </c>
    </row>
    <row r="810" spans="9:15" x14ac:dyDescent="0.25">
      <c r="I810" s="14">
        <v>804</v>
      </c>
      <c r="K810" s="6">
        <v>6647.01</v>
      </c>
      <c r="L810" s="6"/>
      <c r="M810" s="6">
        <v>9831.19</v>
      </c>
      <c r="O810" s="24">
        <f t="shared" si="16"/>
        <v>3184.1800000000003</v>
      </c>
    </row>
    <row r="811" spans="9:15" x14ac:dyDescent="0.25">
      <c r="I811" s="14">
        <v>805</v>
      </c>
      <c r="K811" s="6">
        <v>5836.08</v>
      </c>
      <c r="L811" s="6"/>
      <c r="M811" s="6">
        <v>10460.379999999999</v>
      </c>
      <c r="O811" s="24">
        <f t="shared" si="16"/>
        <v>4624.2999999999993</v>
      </c>
    </row>
    <row r="812" spans="9:15" x14ac:dyDescent="0.25">
      <c r="I812" s="14">
        <v>806</v>
      </c>
      <c r="K812" s="6">
        <v>6427.03</v>
      </c>
      <c r="L812" s="6"/>
      <c r="M812" s="6">
        <v>9174</v>
      </c>
      <c r="O812" s="24">
        <f t="shared" si="16"/>
        <v>2746.9700000000003</v>
      </c>
    </row>
    <row r="813" spans="9:15" x14ac:dyDescent="0.25">
      <c r="I813" s="14">
        <v>807</v>
      </c>
      <c r="K813" s="6">
        <v>8368.42</v>
      </c>
      <c r="L813" s="6"/>
      <c r="M813" s="6">
        <v>10005.16</v>
      </c>
      <c r="O813" s="24">
        <f t="shared" si="16"/>
        <v>1636.7399999999998</v>
      </c>
    </row>
    <row r="814" spans="9:15" x14ac:dyDescent="0.25">
      <c r="I814" s="14">
        <v>808</v>
      </c>
      <c r="K814" s="6">
        <v>7140.57</v>
      </c>
      <c r="L814" s="6"/>
      <c r="M814" s="6">
        <v>10436.83</v>
      </c>
      <c r="O814" s="24">
        <f t="shared" si="16"/>
        <v>3296.26</v>
      </c>
    </row>
    <row r="815" spans="9:15" x14ac:dyDescent="0.25">
      <c r="I815" s="14">
        <v>809</v>
      </c>
      <c r="K815" s="6">
        <v>6978.56</v>
      </c>
      <c r="L815" s="6"/>
      <c r="M815" s="6">
        <v>9239.6299999999992</v>
      </c>
      <c r="O815" s="24">
        <f t="shared" si="16"/>
        <v>2261.0699999999988</v>
      </c>
    </row>
    <row r="816" spans="9:15" x14ac:dyDescent="0.25">
      <c r="I816" s="14">
        <v>810</v>
      </c>
      <c r="K816" s="6">
        <v>6848.64</v>
      </c>
      <c r="L816" s="6"/>
      <c r="M816" s="6">
        <v>9952.43</v>
      </c>
      <c r="O816" s="24">
        <f t="shared" si="16"/>
        <v>3103.79</v>
      </c>
    </row>
    <row r="817" spans="9:15" x14ac:dyDescent="0.25">
      <c r="I817" s="14">
        <v>811</v>
      </c>
      <c r="K817" s="6">
        <v>6211.89</v>
      </c>
      <c r="L817" s="6"/>
      <c r="M817" s="6">
        <v>9866.69</v>
      </c>
      <c r="O817" s="24">
        <f t="shared" si="16"/>
        <v>3654.8</v>
      </c>
    </row>
    <row r="818" spans="9:15" x14ac:dyDescent="0.25">
      <c r="I818" s="14">
        <v>812</v>
      </c>
      <c r="K818" s="6">
        <v>5285.57</v>
      </c>
      <c r="L818" s="6"/>
      <c r="M818" s="6">
        <v>8940.27</v>
      </c>
      <c r="O818" s="24">
        <f t="shared" si="16"/>
        <v>3654.7000000000007</v>
      </c>
    </row>
    <row r="819" spans="9:15" x14ac:dyDescent="0.25">
      <c r="I819" s="14">
        <v>813</v>
      </c>
      <c r="K819" s="6">
        <v>8416.1200000000008</v>
      </c>
      <c r="L819" s="6"/>
      <c r="M819" s="6">
        <v>10193.280000000001</v>
      </c>
      <c r="O819" s="24">
        <f t="shared" si="16"/>
        <v>1777.1599999999999</v>
      </c>
    </row>
    <row r="820" spans="9:15" x14ac:dyDescent="0.25">
      <c r="I820" s="14">
        <v>814</v>
      </c>
      <c r="K820" s="6">
        <v>7567.12</v>
      </c>
      <c r="L820" s="6"/>
      <c r="M820" s="6">
        <v>10121.89</v>
      </c>
      <c r="O820" s="24">
        <f t="shared" si="16"/>
        <v>2554.7699999999995</v>
      </c>
    </row>
    <row r="821" spans="9:15" x14ac:dyDescent="0.25">
      <c r="I821" s="14">
        <v>815</v>
      </c>
      <c r="K821" s="6">
        <v>5319.93</v>
      </c>
      <c r="L821" s="6"/>
      <c r="M821" s="6">
        <v>9372.41</v>
      </c>
      <c r="O821" s="24">
        <f t="shared" si="16"/>
        <v>4052.4799999999996</v>
      </c>
    </row>
    <row r="822" spans="9:15" x14ac:dyDescent="0.25">
      <c r="I822" s="14">
        <v>816</v>
      </c>
      <c r="K822" s="6">
        <v>7256.62</v>
      </c>
      <c r="L822" s="6"/>
      <c r="M822" s="6">
        <v>9450.67</v>
      </c>
      <c r="O822" s="24">
        <f t="shared" si="16"/>
        <v>2194.0500000000002</v>
      </c>
    </row>
    <row r="823" spans="9:15" x14ac:dyDescent="0.25">
      <c r="I823" s="14">
        <v>817</v>
      </c>
      <c r="K823" s="6">
        <v>7288.83</v>
      </c>
      <c r="L823" s="6"/>
      <c r="M823" s="6">
        <v>9951.02</v>
      </c>
      <c r="O823" s="24">
        <f t="shared" si="16"/>
        <v>2662.1900000000005</v>
      </c>
    </row>
    <row r="824" spans="9:15" x14ac:dyDescent="0.25">
      <c r="I824" s="14">
        <v>818</v>
      </c>
      <c r="K824" s="6">
        <v>6847.6</v>
      </c>
      <c r="L824" s="6"/>
      <c r="M824" s="6">
        <v>10318.030000000001</v>
      </c>
      <c r="O824" s="24">
        <f t="shared" si="16"/>
        <v>3470.4300000000003</v>
      </c>
    </row>
    <row r="825" spans="9:15" x14ac:dyDescent="0.25">
      <c r="I825" s="14">
        <v>819</v>
      </c>
      <c r="K825" s="6">
        <v>5879.01</v>
      </c>
      <c r="L825" s="6"/>
      <c r="M825" s="6">
        <v>10354.99</v>
      </c>
      <c r="O825" s="24">
        <f t="shared" si="16"/>
        <v>4475.9799999999996</v>
      </c>
    </row>
    <row r="826" spans="9:15" x14ac:dyDescent="0.25">
      <c r="I826" s="14">
        <v>820</v>
      </c>
      <c r="K826" s="6">
        <v>9410.91</v>
      </c>
      <c r="L826" s="6"/>
      <c r="M826" s="6">
        <v>8992.09</v>
      </c>
      <c r="O826" s="24">
        <f t="shared" si="16"/>
        <v>-418.81999999999971</v>
      </c>
    </row>
    <row r="827" spans="9:15" x14ac:dyDescent="0.25">
      <c r="I827" s="14">
        <v>821</v>
      </c>
      <c r="K827" s="6">
        <v>6079.06</v>
      </c>
      <c r="L827" s="6"/>
      <c r="M827" s="6">
        <v>10295.209999999999</v>
      </c>
      <c r="O827" s="24">
        <f t="shared" si="16"/>
        <v>4216.1499999999987</v>
      </c>
    </row>
    <row r="828" spans="9:15" x14ac:dyDescent="0.25">
      <c r="I828" s="14">
        <v>822</v>
      </c>
      <c r="K828" s="6">
        <v>5685.54</v>
      </c>
      <c r="L828" s="6"/>
      <c r="M828" s="6">
        <v>9373.17</v>
      </c>
      <c r="O828" s="24">
        <f t="shared" si="16"/>
        <v>3687.63</v>
      </c>
    </row>
    <row r="829" spans="9:15" x14ac:dyDescent="0.25">
      <c r="I829" s="14">
        <v>823</v>
      </c>
      <c r="K829" s="6">
        <v>7138.85</v>
      </c>
      <c r="L829" s="6"/>
      <c r="M829" s="6">
        <v>9937.02</v>
      </c>
      <c r="O829" s="24">
        <f t="shared" si="16"/>
        <v>2798.17</v>
      </c>
    </row>
    <row r="830" spans="9:15" x14ac:dyDescent="0.25">
      <c r="I830" s="14">
        <v>824</v>
      </c>
      <c r="K830" s="6">
        <v>8309.98</v>
      </c>
      <c r="L830" s="6"/>
      <c r="M830" s="6">
        <v>9902.85</v>
      </c>
      <c r="O830" s="24">
        <f t="shared" si="16"/>
        <v>1592.8700000000008</v>
      </c>
    </row>
    <row r="831" spans="9:15" x14ac:dyDescent="0.25">
      <c r="I831" s="14">
        <v>825</v>
      </c>
      <c r="K831" s="6">
        <v>7663.68</v>
      </c>
      <c r="L831" s="6"/>
      <c r="M831" s="6">
        <v>10858.6</v>
      </c>
      <c r="O831" s="24">
        <f t="shared" si="16"/>
        <v>3194.92</v>
      </c>
    </row>
    <row r="832" spans="9:15" x14ac:dyDescent="0.25">
      <c r="I832" s="14">
        <v>826</v>
      </c>
      <c r="K832" s="6">
        <v>7417.75</v>
      </c>
      <c r="L832" s="6"/>
      <c r="M832" s="6">
        <v>9591.56</v>
      </c>
      <c r="O832" s="24">
        <f t="shared" si="16"/>
        <v>2173.8099999999995</v>
      </c>
    </row>
    <row r="833" spans="9:15" x14ac:dyDescent="0.25">
      <c r="I833" s="14">
        <v>827</v>
      </c>
      <c r="K833" s="6">
        <v>6873.71</v>
      </c>
      <c r="L833" s="6"/>
      <c r="M833" s="6">
        <v>9834.75</v>
      </c>
      <c r="O833" s="24">
        <f t="shared" si="16"/>
        <v>2961.04</v>
      </c>
    </row>
    <row r="834" spans="9:15" x14ac:dyDescent="0.25">
      <c r="I834" s="14">
        <v>828</v>
      </c>
      <c r="K834" s="6">
        <v>5741.26</v>
      </c>
      <c r="L834" s="6"/>
      <c r="M834" s="6">
        <v>9990.91</v>
      </c>
      <c r="O834" s="24">
        <f t="shared" si="16"/>
        <v>4249.6499999999996</v>
      </c>
    </row>
    <row r="835" spans="9:15" x14ac:dyDescent="0.25">
      <c r="I835" s="14">
        <v>829</v>
      </c>
      <c r="K835" s="6">
        <v>7222.4</v>
      </c>
      <c r="L835" s="6"/>
      <c r="M835" s="6">
        <v>9557.24</v>
      </c>
      <c r="O835" s="24">
        <f t="shared" si="16"/>
        <v>2334.84</v>
      </c>
    </row>
    <row r="836" spans="9:15" x14ac:dyDescent="0.25">
      <c r="I836" s="14">
        <v>830</v>
      </c>
      <c r="K836" s="6">
        <v>6313.66</v>
      </c>
      <c r="L836" s="6"/>
      <c r="M836" s="6">
        <v>10146.879999999999</v>
      </c>
      <c r="O836" s="24">
        <f t="shared" si="16"/>
        <v>3833.2199999999993</v>
      </c>
    </row>
    <row r="837" spans="9:15" x14ac:dyDescent="0.25">
      <c r="I837" s="14">
        <v>831</v>
      </c>
      <c r="K837" s="6">
        <v>9614.15</v>
      </c>
      <c r="L837" s="6"/>
      <c r="M837" s="6">
        <v>10177.59</v>
      </c>
      <c r="O837" s="24">
        <f t="shared" si="16"/>
        <v>563.44000000000051</v>
      </c>
    </row>
    <row r="838" spans="9:15" x14ac:dyDescent="0.25">
      <c r="I838" s="14">
        <v>832</v>
      </c>
      <c r="K838" s="6">
        <v>7467.28</v>
      </c>
      <c r="L838" s="6"/>
      <c r="M838" s="6">
        <v>10113</v>
      </c>
      <c r="O838" s="24">
        <f t="shared" si="16"/>
        <v>2645.7200000000003</v>
      </c>
    </row>
    <row r="839" spans="9:15" x14ac:dyDescent="0.25">
      <c r="I839" s="14">
        <v>833</v>
      </c>
      <c r="K839" s="6">
        <v>7906.74</v>
      </c>
      <c r="L839" s="6"/>
      <c r="M839" s="6">
        <v>10087.39</v>
      </c>
      <c r="O839" s="24">
        <f t="shared" si="16"/>
        <v>2180.6499999999996</v>
      </c>
    </row>
    <row r="840" spans="9:15" x14ac:dyDescent="0.25">
      <c r="I840" s="14">
        <v>834</v>
      </c>
      <c r="K840" s="6">
        <v>6167.6</v>
      </c>
      <c r="L840" s="6"/>
      <c r="M840" s="6">
        <v>9060.2999999999993</v>
      </c>
      <c r="O840" s="24">
        <f t="shared" ref="O840:O903" si="17">M840-K840</f>
        <v>2892.6999999999989</v>
      </c>
    </row>
    <row r="841" spans="9:15" x14ac:dyDescent="0.25">
      <c r="I841" s="14">
        <v>835</v>
      </c>
      <c r="K841" s="6">
        <v>8978.5499999999993</v>
      </c>
      <c r="L841" s="6"/>
      <c r="M841" s="6">
        <v>10281.84</v>
      </c>
      <c r="O841" s="24">
        <f t="shared" si="17"/>
        <v>1303.2900000000009</v>
      </c>
    </row>
    <row r="842" spans="9:15" x14ac:dyDescent="0.25">
      <c r="I842" s="14">
        <v>836</v>
      </c>
      <c r="K842" s="6">
        <v>7785.38</v>
      </c>
      <c r="L842" s="6"/>
      <c r="M842" s="6">
        <v>10151.549999999999</v>
      </c>
      <c r="O842" s="24">
        <f t="shared" si="17"/>
        <v>2366.1699999999992</v>
      </c>
    </row>
    <row r="843" spans="9:15" x14ac:dyDescent="0.25">
      <c r="I843" s="14">
        <v>837</v>
      </c>
      <c r="K843" s="6">
        <v>6235.9</v>
      </c>
      <c r="L843" s="6"/>
      <c r="M843" s="6">
        <v>9811</v>
      </c>
      <c r="O843" s="24">
        <f t="shared" si="17"/>
        <v>3575.1000000000004</v>
      </c>
    </row>
    <row r="844" spans="9:15" x14ac:dyDescent="0.25">
      <c r="I844" s="14">
        <v>838</v>
      </c>
      <c r="K844" s="6">
        <v>5077.59</v>
      </c>
      <c r="L844" s="6"/>
      <c r="M844" s="6">
        <v>8770.4599999999991</v>
      </c>
      <c r="O844" s="24">
        <f t="shared" si="17"/>
        <v>3692.869999999999</v>
      </c>
    </row>
    <row r="845" spans="9:15" x14ac:dyDescent="0.25">
      <c r="I845" s="14">
        <v>839</v>
      </c>
      <c r="K845" s="6">
        <v>8378.08</v>
      </c>
      <c r="L845" s="6"/>
      <c r="M845" s="6">
        <v>8918.68</v>
      </c>
      <c r="O845" s="24">
        <f t="shared" si="17"/>
        <v>540.60000000000036</v>
      </c>
    </row>
    <row r="846" spans="9:15" x14ac:dyDescent="0.25">
      <c r="I846" s="14">
        <v>840</v>
      </c>
      <c r="K846" s="6">
        <v>8462.2999999999993</v>
      </c>
      <c r="L846" s="6"/>
      <c r="M846" s="6">
        <v>10251.26</v>
      </c>
      <c r="O846" s="24">
        <f t="shared" si="17"/>
        <v>1788.9600000000009</v>
      </c>
    </row>
    <row r="847" spans="9:15" x14ac:dyDescent="0.25">
      <c r="I847" s="14">
        <v>841</v>
      </c>
      <c r="K847" s="6">
        <v>8986.61</v>
      </c>
      <c r="L847" s="6"/>
      <c r="M847" s="6">
        <v>9539.85</v>
      </c>
      <c r="O847" s="24">
        <f t="shared" si="17"/>
        <v>553.23999999999978</v>
      </c>
    </row>
    <row r="848" spans="9:15" x14ac:dyDescent="0.25">
      <c r="I848" s="14">
        <v>842</v>
      </c>
      <c r="K848" s="6">
        <v>5545.11</v>
      </c>
      <c r="L848" s="6"/>
      <c r="M848" s="6">
        <v>9321.31</v>
      </c>
      <c r="O848" s="24">
        <f t="shared" si="17"/>
        <v>3776.2</v>
      </c>
    </row>
    <row r="849" spans="9:15" x14ac:dyDescent="0.25">
      <c r="I849" s="14">
        <v>843</v>
      </c>
      <c r="K849" s="6">
        <v>5544.06</v>
      </c>
      <c r="L849" s="6"/>
      <c r="M849" s="6">
        <v>9772.7000000000007</v>
      </c>
      <c r="O849" s="24">
        <f t="shared" si="17"/>
        <v>4228.6400000000003</v>
      </c>
    </row>
    <row r="850" spans="9:15" x14ac:dyDescent="0.25">
      <c r="I850" s="14">
        <v>844</v>
      </c>
      <c r="K850" s="6">
        <v>7568.3</v>
      </c>
      <c r="L850" s="6"/>
      <c r="M850" s="6">
        <v>10124.200000000001</v>
      </c>
      <c r="O850" s="24">
        <f t="shared" si="17"/>
        <v>2555.9000000000005</v>
      </c>
    </row>
    <row r="851" spans="9:15" x14ac:dyDescent="0.25">
      <c r="I851" s="14">
        <v>845</v>
      </c>
      <c r="K851" s="6">
        <v>6987.58</v>
      </c>
      <c r="L851" s="6"/>
      <c r="M851" s="6">
        <v>9157.65</v>
      </c>
      <c r="O851" s="24">
        <f t="shared" si="17"/>
        <v>2170.0699999999997</v>
      </c>
    </row>
    <row r="852" spans="9:15" x14ac:dyDescent="0.25">
      <c r="I852" s="14">
        <v>846</v>
      </c>
      <c r="K852" s="6">
        <v>7694.52</v>
      </c>
      <c r="L852" s="6"/>
      <c r="M852" s="6">
        <v>9408.3799999999992</v>
      </c>
      <c r="O852" s="24">
        <f t="shared" si="17"/>
        <v>1713.8599999999988</v>
      </c>
    </row>
    <row r="853" spans="9:15" x14ac:dyDescent="0.25">
      <c r="I853" s="14">
        <v>847</v>
      </c>
      <c r="K853" s="6">
        <v>8512.82</v>
      </c>
      <c r="L853" s="6"/>
      <c r="M853" s="6">
        <v>9327.6</v>
      </c>
      <c r="O853" s="24">
        <f t="shared" si="17"/>
        <v>814.78000000000065</v>
      </c>
    </row>
    <row r="854" spans="9:15" x14ac:dyDescent="0.25">
      <c r="I854" s="14">
        <v>848</v>
      </c>
      <c r="K854" s="6">
        <v>6605.19</v>
      </c>
      <c r="L854" s="6"/>
      <c r="M854" s="6">
        <v>9513.41</v>
      </c>
      <c r="O854" s="24">
        <f t="shared" si="17"/>
        <v>2908.2200000000003</v>
      </c>
    </row>
    <row r="855" spans="9:15" x14ac:dyDescent="0.25">
      <c r="I855" s="14">
        <v>849</v>
      </c>
      <c r="K855" s="6">
        <v>6767.54</v>
      </c>
      <c r="L855" s="6"/>
      <c r="M855" s="6">
        <v>9348.14</v>
      </c>
      <c r="O855" s="24">
        <f t="shared" si="17"/>
        <v>2580.5999999999995</v>
      </c>
    </row>
    <row r="856" spans="9:15" x14ac:dyDescent="0.25">
      <c r="I856" s="14">
        <v>850</v>
      </c>
      <c r="K856" s="6">
        <v>7357.08</v>
      </c>
      <c r="L856" s="6"/>
      <c r="M856" s="6">
        <v>9902.49</v>
      </c>
      <c r="O856" s="24">
        <f t="shared" si="17"/>
        <v>2545.41</v>
      </c>
    </row>
    <row r="857" spans="9:15" x14ac:dyDescent="0.25">
      <c r="I857" s="14">
        <v>851</v>
      </c>
      <c r="K857" s="6">
        <v>6864.16</v>
      </c>
      <c r="L857" s="6"/>
      <c r="M857" s="6">
        <v>9645.3700000000008</v>
      </c>
      <c r="O857" s="24">
        <f t="shared" si="17"/>
        <v>2781.2100000000009</v>
      </c>
    </row>
    <row r="858" spans="9:15" x14ac:dyDescent="0.25">
      <c r="I858" s="14">
        <v>852</v>
      </c>
      <c r="K858" s="6">
        <v>6970.02</v>
      </c>
      <c r="L858" s="6"/>
      <c r="M858" s="6">
        <v>8988.34</v>
      </c>
      <c r="O858" s="24">
        <f t="shared" si="17"/>
        <v>2018.3199999999997</v>
      </c>
    </row>
    <row r="859" spans="9:15" x14ac:dyDescent="0.25">
      <c r="I859" s="14">
        <v>853</v>
      </c>
      <c r="K859" s="6">
        <v>6940.85</v>
      </c>
      <c r="L859" s="6"/>
      <c r="M859" s="6">
        <v>9528.65</v>
      </c>
      <c r="O859" s="24">
        <f t="shared" si="17"/>
        <v>2587.7999999999993</v>
      </c>
    </row>
    <row r="860" spans="9:15" x14ac:dyDescent="0.25">
      <c r="I860" s="14">
        <v>854</v>
      </c>
      <c r="K860" s="6">
        <v>6968.01</v>
      </c>
      <c r="L860" s="6"/>
      <c r="M860" s="6">
        <v>9124.35</v>
      </c>
      <c r="O860" s="24">
        <f t="shared" si="17"/>
        <v>2156.34</v>
      </c>
    </row>
    <row r="861" spans="9:15" x14ac:dyDescent="0.25">
      <c r="I861" s="14">
        <v>855</v>
      </c>
      <c r="K861" s="6">
        <v>8941.98</v>
      </c>
      <c r="L861" s="6"/>
      <c r="M861" s="6">
        <v>10284.700000000001</v>
      </c>
      <c r="O861" s="24">
        <f t="shared" si="17"/>
        <v>1342.7200000000012</v>
      </c>
    </row>
    <row r="862" spans="9:15" x14ac:dyDescent="0.25">
      <c r="I862" s="14">
        <v>856</v>
      </c>
      <c r="K862" s="6">
        <v>7042.76</v>
      </c>
      <c r="L862" s="6"/>
      <c r="M862" s="6">
        <v>9460.99</v>
      </c>
      <c r="O862" s="24">
        <f t="shared" si="17"/>
        <v>2418.2299999999996</v>
      </c>
    </row>
    <row r="863" spans="9:15" x14ac:dyDescent="0.25">
      <c r="I863" s="14">
        <v>857</v>
      </c>
      <c r="K863" s="6">
        <v>11067.51</v>
      </c>
      <c r="L863" s="6"/>
      <c r="M863" s="6">
        <v>9377.15</v>
      </c>
      <c r="O863" s="24">
        <f t="shared" si="17"/>
        <v>-1690.3600000000006</v>
      </c>
    </row>
    <row r="864" spans="9:15" x14ac:dyDescent="0.25">
      <c r="I864" s="14">
        <v>858</v>
      </c>
      <c r="K864" s="6">
        <v>5680.43</v>
      </c>
      <c r="L864" s="6"/>
      <c r="M864" s="6">
        <v>9172.48</v>
      </c>
      <c r="O864" s="24">
        <f t="shared" si="17"/>
        <v>3492.0499999999993</v>
      </c>
    </row>
    <row r="865" spans="9:15" x14ac:dyDescent="0.25">
      <c r="I865" s="14">
        <v>859</v>
      </c>
      <c r="K865" s="6">
        <v>8002.96</v>
      </c>
      <c r="L865" s="6"/>
      <c r="M865" s="6">
        <v>10357.41</v>
      </c>
      <c r="O865" s="24">
        <f t="shared" si="17"/>
        <v>2354.4499999999998</v>
      </c>
    </row>
    <row r="866" spans="9:15" x14ac:dyDescent="0.25">
      <c r="I866" s="14">
        <v>860</v>
      </c>
      <c r="K866" s="6">
        <v>7204.09</v>
      </c>
      <c r="L866" s="6"/>
      <c r="M866" s="6">
        <v>10078.35</v>
      </c>
      <c r="O866" s="24">
        <f t="shared" si="17"/>
        <v>2874.26</v>
      </c>
    </row>
    <row r="867" spans="9:15" x14ac:dyDescent="0.25">
      <c r="I867" s="14">
        <v>861</v>
      </c>
      <c r="K867" s="6">
        <v>7485.19</v>
      </c>
      <c r="L867" s="6"/>
      <c r="M867" s="6">
        <v>11038.31</v>
      </c>
      <c r="O867" s="24">
        <f t="shared" si="17"/>
        <v>3553.12</v>
      </c>
    </row>
    <row r="868" spans="9:15" x14ac:dyDescent="0.25">
      <c r="I868" s="14">
        <v>862</v>
      </c>
      <c r="K868" s="6">
        <v>5529.64</v>
      </c>
      <c r="L868" s="6"/>
      <c r="M868" s="6">
        <v>9048.0300000000007</v>
      </c>
      <c r="O868" s="24">
        <f t="shared" si="17"/>
        <v>3518.3900000000003</v>
      </c>
    </row>
    <row r="869" spans="9:15" x14ac:dyDescent="0.25">
      <c r="I869" s="14">
        <v>863</v>
      </c>
      <c r="K869" s="6">
        <v>6265.41</v>
      </c>
      <c r="L869" s="6"/>
      <c r="M869" s="6">
        <v>9704.6200000000008</v>
      </c>
      <c r="O869" s="24">
        <f t="shared" si="17"/>
        <v>3439.2100000000009</v>
      </c>
    </row>
    <row r="870" spans="9:15" x14ac:dyDescent="0.25">
      <c r="I870" s="14">
        <v>864</v>
      </c>
      <c r="K870" s="6">
        <v>5817.63</v>
      </c>
      <c r="L870" s="6"/>
      <c r="M870" s="6">
        <v>10338.6</v>
      </c>
      <c r="O870" s="24">
        <f t="shared" si="17"/>
        <v>4520.97</v>
      </c>
    </row>
    <row r="871" spans="9:15" x14ac:dyDescent="0.25">
      <c r="I871" s="14">
        <v>865</v>
      </c>
      <c r="K871" s="6">
        <v>7619.28</v>
      </c>
      <c r="L871" s="6"/>
      <c r="M871" s="6">
        <v>9803.58</v>
      </c>
      <c r="O871" s="24">
        <f t="shared" si="17"/>
        <v>2184.3000000000002</v>
      </c>
    </row>
    <row r="872" spans="9:15" x14ac:dyDescent="0.25">
      <c r="I872" s="14">
        <v>866</v>
      </c>
      <c r="K872" s="6">
        <v>6839.54</v>
      </c>
      <c r="L872" s="6"/>
      <c r="M872" s="6">
        <v>9339.15</v>
      </c>
      <c r="O872" s="24">
        <f t="shared" si="17"/>
        <v>2499.6099999999997</v>
      </c>
    </row>
    <row r="873" spans="9:15" x14ac:dyDescent="0.25">
      <c r="I873" s="14">
        <v>867</v>
      </c>
      <c r="K873" s="6">
        <v>5917.64</v>
      </c>
      <c r="L873" s="6"/>
      <c r="M873" s="6">
        <v>9525.48</v>
      </c>
      <c r="O873" s="24">
        <f t="shared" si="17"/>
        <v>3607.8399999999992</v>
      </c>
    </row>
    <row r="874" spans="9:15" x14ac:dyDescent="0.25">
      <c r="I874" s="14">
        <v>868</v>
      </c>
      <c r="K874" s="6">
        <v>7419.22</v>
      </c>
      <c r="L874" s="6"/>
      <c r="M874" s="6">
        <v>9272.43</v>
      </c>
      <c r="O874" s="24">
        <f t="shared" si="17"/>
        <v>1853.21</v>
      </c>
    </row>
    <row r="875" spans="9:15" x14ac:dyDescent="0.25">
      <c r="I875" s="14">
        <v>869</v>
      </c>
      <c r="K875" s="6">
        <v>5377.42</v>
      </c>
      <c r="L875" s="6"/>
      <c r="M875" s="6">
        <v>10439.129999999999</v>
      </c>
      <c r="O875" s="24">
        <f t="shared" si="17"/>
        <v>5061.7099999999991</v>
      </c>
    </row>
    <row r="876" spans="9:15" x14ac:dyDescent="0.25">
      <c r="I876" s="14">
        <v>870</v>
      </c>
      <c r="K876" s="6">
        <v>6233.29</v>
      </c>
      <c r="L876" s="6"/>
      <c r="M876" s="6">
        <v>10193.14</v>
      </c>
      <c r="O876" s="24">
        <f t="shared" si="17"/>
        <v>3959.8499999999995</v>
      </c>
    </row>
    <row r="877" spans="9:15" x14ac:dyDescent="0.25">
      <c r="I877" s="14">
        <v>871</v>
      </c>
      <c r="K877" s="6">
        <v>5843.5</v>
      </c>
      <c r="L877" s="6"/>
      <c r="M877" s="6">
        <v>9572.5</v>
      </c>
      <c r="O877" s="24">
        <f t="shared" si="17"/>
        <v>3729</v>
      </c>
    </row>
    <row r="878" spans="9:15" x14ac:dyDescent="0.25">
      <c r="I878" s="14">
        <v>872</v>
      </c>
      <c r="K878" s="6">
        <v>7302.01</v>
      </c>
      <c r="L878" s="6"/>
      <c r="M878" s="6">
        <v>9775.4699999999993</v>
      </c>
      <c r="O878" s="24">
        <f t="shared" si="17"/>
        <v>2473.4599999999991</v>
      </c>
    </row>
    <row r="879" spans="9:15" x14ac:dyDescent="0.25">
      <c r="I879" s="14">
        <v>873</v>
      </c>
      <c r="K879" s="6">
        <v>6882.73</v>
      </c>
      <c r="L879" s="6"/>
      <c r="M879" s="6">
        <v>9681.42</v>
      </c>
      <c r="O879" s="24">
        <f t="shared" si="17"/>
        <v>2798.6900000000005</v>
      </c>
    </row>
    <row r="880" spans="9:15" x14ac:dyDescent="0.25">
      <c r="I880" s="14">
        <v>874</v>
      </c>
      <c r="K880" s="6">
        <v>8034.28</v>
      </c>
      <c r="L880" s="6"/>
      <c r="M880" s="6">
        <v>9376.4500000000007</v>
      </c>
      <c r="O880" s="24">
        <f t="shared" si="17"/>
        <v>1342.170000000001</v>
      </c>
    </row>
    <row r="881" spans="9:15" x14ac:dyDescent="0.25">
      <c r="I881" s="14">
        <v>875</v>
      </c>
      <c r="K881" s="6">
        <v>6796.79</v>
      </c>
      <c r="L881" s="6"/>
      <c r="M881" s="6">
        <v>9001.2900000000009</v>
      </c>
      <c r="O881" s="24">
        <f t="shared" si="17"/>
        <v>2204.5000000000009</v>
      </c>
    </row>
    <row r="882" spans="9:15" x14ac:dyDescent="0.25">
      <c r="I882" s="14">
        <v>876</v>
      </c>
      <c r="K882" s="6">
        <v>7188.49</v>
      </c>
      <c r="L882" s="6"/>
      <c r="M882" s="6">
        <v>9914.11</v>
      </c>
      <c r="O882" s="24">
        <f t="shared" si="17"/>
        <v>2725.6200000000008</v>
      </c>
    </row>
    <row r="883" spans="9:15" x14ac:dyDescent="0.25">
      <c r="I883" s="14">
        <v>877</v>
      </c>
      <c r="K883" s="6">
        <v>8488.3700000000008</v>
      </c>
      <c r="L883" s="6"/>
      <c r="M883" s="6">
        <v>10322.620000000001</v>
      </c>
      <c r="O883" s="24">
        <f t="shared" si="17"/>
        <v>1834.25</v>
      </c>
    </row>
    <row r="884" spans="9:15" x14ac:dyDescent="0.25">
      <c r="I884" s="14">
        <v>878</v>
      </c>
      <c r="K884" s="6">
        <v>8013.27</v>
      </c>
      <c r="L884" s="6"/>
      <c r="M884" s="6">
        <v>8989.6200000000008</v>
      </c>
      <c r="O884" s="24">
        <f t="shared" si="17"/>
        <v>976.35000000000036</v>
      </c>
    </row>
    <row r="885" spans="9:15" x14ac:dyDescent="0.25">
      <c r="I885" s="14">
        <v>879</v>
      </c>
      <c r="K885" s="6">
        <v>5946.14</v>
      </c>
      <c r="L885" s="6"/>
      <c r="M885" s="6">
        <v>9923.2199999999993</v>
      </c>
      <c r="O885" s="24">
        <f t="shared" si="17"/>
        <v>3977.079999999999</v>
      </c>
    </row>
    <row r="886" spans="9:15" x14ac:dyDescent="0.25">
      <c r="I886" s="14">
        <v>880</v>
      </c>
      <c r="K886" s="6">
        <v>7913.68</v>
      </c>
      <c r="L886" s="6"/>
      <c r="M886" s="6">
        <v>9735.08</v>
      </c>
      <c r="O886" s="24">
        <f t="shared" si="17"/>
        <v>1821.3999999999996</v>
      </c>
    </row>
    <row r="887" spans="9:15" x14ac:dyDescent="0.25">
      <c r="I887" s="14">
        <v>881</v>
      </c>
      <c r="K887" s="6">
        <v>5573</v>
      </c>
      <c r="L887" s="6"/>
      <c r="M887" s="6">
        <v>10253.81</v>
      </c>
      <c r="O887" s="24">
        <f t="shared" si="17"/>
        <v>4680.8099999999995</v>
      </c>
    </row>
    <row r="888" spans="9:15" x14ac:dyDescent="0.25">
      <c r="I888" s="14">
        <v>882</v>
      </c>
      <c r="K888" s="6">
        <v>9039.75</v>
      </c>
      <c r="L888" s="6"/>
      <c r="M888" s="6">
        <v>10238.75</v>
      </c>
      <c r="O888" s="24">
        <f t="shared" si="17"/>
        <v>1199</v>
      </c>
    </row>
    <row r="889" spans="9:15" x14ac:dyDescent="0.25">
      <c r="I889" s="14">
        <v>883</v>
      </c>
      <c r="K889" s="6">
        <v>6486.01</v>
      </c>
      <c r="L889" s="6"/>
      <c r="M889" s="6">
        <v>9323.2800000000007</v>
      </c>
      <c r="O889" s="24">
        <f t="shared" si="17"/>
        <v>2837.2700000000004</v>
      </c>
    </row>
    <row r="890" spans="9:15" x14ac:dyDescent="0.25">
      <c r="I890" s="14">
        <v>884</v>
      </c>
      <c r="K890" s="6">
        <v>10464.799999999999</v>
      </c>
      <c r="L890" s="6"/>
      <c r="M890" s="6">
        <v>10330.5</v>
      </c>
      <c r="O890" s="24">
        <f t="shared" si="17"/>
        <v>-134.29999999999927</v>
      </c>
    </row>
    <row r="891" spans="9:15" x14ac:dyDescent="0.25">
      <c r="I891" s="14">
        <v>885</v>
      </c>
      <c r="K891" s="6">
        <v>8715.31</v>
      </c>
      <c r="L891" s="6"/>
      <c r="M891" s="6">
        <v>10057.23</v>
      </c>
      <c r="O891" s="24">
        <f t="shared" si="17"/>
        <v>1341.92</v>
      </c>
    </row>
    <row r="892" spans="9:15" x14ac:dyDescent="0.25">
      <c r="I892" s="14">
        <v>886</v>
      </c>
      <c r="K892" s="6">
        <v>6856.59</v>
      </c>
      <c r="L892" s="6"/>
      <c r="M892" s="6">
        <v>9966.1299999999992</v>
      </c>
      <c r="O892" s="24">
        <f t="shared" si="17"/>
        <v>3109.5399999999991</v>
      </c>
    </row>
    <row r="893" spans="9:15" x14ac:dyDescent="0.25">
      <c r="I893" s="14">
        <v>887</v>
      </c>
      <c r="K893" s="6">
        <v>6612.33</v>
      </c>
      <c r="L893" s="6"/>
      <c r="M893" s="6">
        <v>8788.75</v>
      </c>
      <c r="O893" s="24">
        <f t="shared" si="17"/>
        <v>2176.42</v>
      </c>
    </row>
    <row r="894" spans="9:15" x14ac:dyDescent="0.25">
      <c r="I894" s="14">
        <v>888</v>
      </c>
      <c r="K894" s="6">
        <v>7690.59</v>
      </c>
      <c r="L894" s="6"/>
      <c r="M894" s="6">
        <v>9288.91</v>
      </c>
      <c r="O894" s="24">
        <f t="shared" si="17"/>
        <v>1598.3199999999997</v>
      </c>
    </row>
    <row r="895" spans="9:15" x14ac:dyDescent="0.25">
      <c r="I895" s="14">
        <v>889</v>
      </c>
      <c r="K895" s="6">
        <v>5672.62</v>
      </c>
      <c r="L895" s="6"/>
      <c r="M895" s="6">
        <v>9733.5</v>
      </c>
      <c r="O895" s="24">
        <f t="shared" si="17"/>
        <v>4060.88</v>
      </c>
    </row>
    <row r="896" spans="9:15" x14ac:dyDescent="0.25">
      <c r="I896" s="14">
        <v>890</v>
      </c>
      <c r="K896" s="6">
        <v>7254.01</v>
      </c>
      <c r="L896" s="6"/>
      <c r="M896" s="6">
        <v>9883.58</v>
      </c>
      <c r="O896" s="24">
        <f t="shared" si="17"/>
        <v>2629.5699999999997</v>
      </c>
    </row>
    <row r="897" spans="9:15" x14ac:dyDescent="0.25">
      <c r="I897" s="14">
        <v>891</v>
      </c>
      <c r="K897" s="6">
        <v>5503.61</v>
      </c>
      <c r="L897" s="6"/>
      <c r="M897" s="6">
        <v>10227.41</v>
      </c>
      <c r="O897" s="24">
        <f t="shared" si="17"/>
        <v>4723.8</v>
      </c>
    </row>
    <row r="898" spans="9:15" x14ac:dyDescent="0.25">
      <c r="I898" s="14">
        <v>892</v>
      </c>
      <c r="K898" s="6">
        <v>6803.78</v>
      </c>
      <c r="L898" s="6"/>
      <c r="M898" s="6">
        <v>9503.41</v>
      </c>
      <c r="O898" s="24">
        <f t="shared" si="17"/>
        <v>2699.63</v>
      </c>
    </row>
    <row r="899" spans="9:15" x14ac:dyDescent="0.25">
      <c r="I899" s="14">
        <v>893</v>
      </c>
      <c r="K899" s="6">
        <v>5679.6</v>
      </c>
      <c r="L899" s="6"/>
      <c r="M899" s="6">
        <v>9745.5400000000009</v>
      </c>
      <c r="O899" s="24">
        <f t="shared" si="17"/>
        <v>4065.9400000000005</v>
      </c>
    </row>
    <row r="900" spans="9:15" x14ac:dyDescent="0.25">
      <c r="I900" s="14">
        <v>894</v>
      </c>
      <c r="K900" s="6">
        <v>7286.81</v>
      </c>
      <c r="L900" s="6"/>
      <c r="M900" s="6">
        <v>9806.6299999999992</v>
      </c>
      <c r="O900" s="24">
        <f t="shared" si="17"/>
        <v>2519.8199999999988</v>
      </c>
    </row>
    <row r="901" spans="9:15" x14ac:dyDescent="0.25">
      <c r="I901" s="14">
        <v>895</v>
      </c>
      <c r="K901" s="6">
        <v>8053.18</v>
      </c>
      <c r="L901" s="6"/>
      <c r="M901" s="6">
        <v>9023.92</v>
      </c>
      <c r="O901" s="24">
        <f t="shared" si="17"/>
        <v>970.73999999999978</v>
      </c>
    </row>
    <row r="902" spans="9:15" x14ac:dyDescent="0.25">
      <c r="I902" s="14">
        <v>896</v>
      </c>
      <c r="K902" s="6">
        <v>7557.89</v>
      </c>
      <c r="L902" s="6"/>
      <c r="M902" s="6">
        <v>9389.9500000000007</v>
      </c>
      <c r="O902" s="24">
        <f t="shared" si="17"/>
        <v>1832.0600000000004</v>
      </c>
    </row>
    <row r="903" spans="9:15" x14ac:dyDescent="0.25">
      <c r="I903" s="14">
        <v>897</v>
      </c>
      <c r="K903" s="6">
        <v>5438.9</v>
      </c>
      <c r="L903" s="6"/>
      <c r="M903" s="6">
        <v>9174.39</v>
      </c>
      <c r="O903" s="24">
        <f t="shared" si="17"/>
        <v>3735.49</v>
      </c>
    </row>
    <row r="904" spans="9:15" x14ac:dyDescent="0.25">
      <c r="I904" s="14">
        <v>898</v>
      </c>
      <c r="K904" s="6">
        <v>5719.81</v>
      </c>
      <c r="L904" s="6"/>
      <c r="M904" s="6">
        <v>9889.98</v>
      </c>
      <c r="O904" s="24">
        <f t="shared" ref="O904:O967" si="18">M904-K904</f>
        <v>4170.1699999999992</v>
      </c>
    </row>
    <row r="905" spans="9:15" x14ac:dyDescent="0.25">
      <c r="I905" s="14">
        <v>899</v>
      </c>
      <c r="K905" s="6">
        <v>8476.49</v>
      </c>
      <c r="L905" s="6"/>
      <c r="M905" s="6">
        <v>9796.86</v>
      </c>
      <c r="O905" s="24">
        <f t="shared" si="18"/>
        <v>1320.3700000000008</v>
      </c>
    </row>
    <row r="906" spans="9:15" x14ac:dyDescent="0.25">
      <c r="I906" s="14">
        <v>900</v>
      </c>
      <c r="K906" s="6">
        <v>8714.83</v>
      </c>
      <c r="L906" s="6"/>
      <c r="M906" s="6">
        <v>9344.11</v>
      </c>
      <c r="O906" s="24">
        <f t="shared" si="18"/>
        <v>629.28000000000065</v>
      </c>
    </row>
    <row r="907" spans="9:15" x14ac:dyDescent="0.25">
      <c r="I907" s="14">
        <v>901</v>
      </c>
      <c r="K907" s="6">
        <v>5993.66</v>
      </c>
      <c r="L907" s="6"/>
      <c r="M907" s="6">
        <v>9498.52</v>
      </c>
      <c r="O907" s="24">
        <f t="shared" si="18"/>
        <v>3504.8600000000006</v>
      </c>
    </row>
    <row r="908" spans="9:15" x14ac:dyDescent="0.25">
      <c r="I908" s="14">
        <v>902</v>
      </c>
      <c r="K908" s="6">
        <v>7017.85</v>
      </c>
      <c r="L908" s="6"/>
      <c r="M908" s="6">
        <v>9173.9</v>
      </c>
      <c r="O908" s="24">
        <f t="shared" si="18"/>
        <v>2156.0499999999993</v>
      </c>
    </row>
    <row r="909" spans="9:15" x14ac:dyDescent="0.25">
      <c r="I909" s="14">
        <v>903</v>
      </c>
      <c r="K909" s="6">
        <v>8519.23</v>
      </c>
      <c r="L909" s="6"/>
      <c r="M909" s="6">
        <v>10284.049999999999</v>
      </c>
      <c r="O909" s="24">
        <f t="shared" si="18"/>
        <v>1764.8199999999997</v>
      </c>
    </row>
    <row r="910" spans="9:15" x14ac:dyDescent="0.25">
      <c r="I910" s="14">
        <v>904</v>
      </c>
      <c r="K910" s="6">
        <v>6506.96</v>
      </c>
      <c r="L910" s="6"/>
      <c r="M910" s="6">
        <v>9522.67</v>
      </c>
      <c r="O910" s="24">
        <f t="shared" si="18"/>
        <v>3015.71</v>
      </c>
    </row>
    <row r="911" spans="9:15" x14ac:dyDescent="0.25">
      <c r="I911" s="14">
        <v>905</v>
      </c>
      <c r="K911" s="6">
        <v>9490.84</v>
      </c>
      <c r="L911" s="6"/>
      <c r="M911" s="6">
        <v>10001.19</v>
      </c>
      <c r="O911" s="24">
        <f t="shared" si="18"/>
        <v>510.35000000000036</v>
      </c>
    </row>
    <row r="912" spans="9:15" x14ac:dyDescent="0.25">
      <c r="I912" s="14">
        <v>906</v>
      </c>
      <c r="K912" s="6">
        <v>5916.67</v>
      </c>
      <c r="L912" s="6"/>
      <c r="M912" s="6">
        <v>10446.92</v>
      </c>
      <c r="O912" s="24">
        <f t="shared" si="18"/>
        <v>4530.25</v>
      </c>
    </row>
    <row r="913" spans="9:15" x14ac:dyDescent="0.25">
      <c r="I913" s="14">
        <v>907</v>
      </c>
      <c r="K913" s="6">
        <v>7615.99</v>
      </c>
      <c r="L913" s="6"/>
      <c r="M913" s="6">
        <v>9825.74</v>
      </c>
      <c r="O913" s="24">
        <f t="shared" si="18"/>
        <v>2209.75</v>
      </c>
    </row>
    <row r="914" spans="9:15" x14ac:dyDescent="0.25">
      <c r="I914" s="14">
        <v>908</v>
      </c>
      <c r="K914" s="6">
        <v>8025.28</v>
      </c>
      <c r="L914" s="6"/>
      <c r="M914" s="6">
        <v>10480.81</v>
      </c>
      <c r="O914" s="24">
        <f t="shared" si="18"/>
        <v>2455.5299999999997</v>
      </c>
    </row>
    <row r="915" spans="9:15" x14ac:dyDescent="0.25">
      <c r="I915" s="14">
        <v>909</v>
      </c>
      <c r="K915" s="6">
        <v>6056.33</v>
      </c>
      <c r="L915" s="6"/>
      <c r="M915" s="6">
        <v>9454.61</v>
      </c>
      <c r="O915" s="24">
        <f t="shared" si="18"/>
        <v>3398.2800000000007</v>
      </c>
    </row>
    <row r="916" spans="9:15" x14ac:dyDescent="0.25">
      <c r="I916" s="14">
        <v>910</v>
      </c>
      <c r="K916" s="6">
        <v>7062.48</v>
      </c>
      <c r="L916" s="6"/>
      <c r="M916" s="6">
        <v>9122.7900000000009</v>
      </c>
      <c r="O916" s="24">
        <f t="shared" si="18"/>
        <v>2060.3100000000013</v>
      </c>
    </row>
    <row r="917" spans="9:15" x14ac:dyDescent="0.25">
      <c r="I917" s="14">
        <v>911</v>
      </c>
      <c r="K917" s="6">
        <v>6142.62</v>
      </c>
      <c r="L917" s="6"/>
      <c r="M917" s="6">
        <v>9435.4699999999993</v>
      </c>
      <c r="O917" s="24">
        <f t="shared" si="18"/>
        <v>3292.8499999999995</v>
      </c>
    </row>
    <row r="918" spans="9:15" x14ac:dyDescent="0.25">
      <c r="I918" s="14">
        <v>912</v>
      </c>
      <c r="K918" s="6">
        <v>6276.18</v>
      </c>
      <c r="L918" s="6"/>
      <c r="M918" s="6">
        <v>10340.969999999999</v>
      </c>
      <c r="O918" s="24">
        <f t="shared" si="18"/>
        <v>4064.7899999999991</v>
      </c>
    </row>
    <row r="919" spans="9:15" x14ac:dyDescent="0.25">
      <c r="I919" s="14">
        <v>913</v>
      </c>
      <c r="K919" s="6">
        <v>6366.42</v>
      </c>
      <c r="L919" s="6"/>
      <c r="M919" s="6">
        <v>11336.99</v>
      </c>
      <c r="O919" s="24">
        <f t="shared" si="18"/>
        <v>4970.57</v>
      </c>
    </row>
    <row r="920" spans="9:15" x14ac:dyDescent="0.25">
      <c r="I920" s="14">
        <v>914</v>
      </c>
      <c r="K920" s="6">
        <v>7694.62</v>
      </c>
      <c r="L920" s="6"/>
      <c r="M920" s="6">
        <v>10197.77</v>
      </c>
      <c r="O920" s="24">
        <f t="shared" si="18"/>
        <v>2503.1500000000005</v>
      </c>
    </row>
    <row r="921" spans="9:15" x14ac:dyDescent="0.25">
      <c r="I921" s="14">
        <v>915</v>
      </c>
      <c r="K921" s="6">
        <v>8492.11</v>
      </c>
      <c r="L921" s="6"/>
      <c r="M921" s="6">
        <v>9877.2800000000007</v>
      </c>
      <c r="O921" s="24">
        <f t="shared" si="18"/>
        <v>1385.17</v>
      </c>
    </row>
    <row r="922" spans="9:15" x14ac:dyDescent="0.25">
      <c r="I922" s="14">
        <v>916</v>
      </c>
      <c r="K922" s="6">
        <v>9493.02</v>
      </c>
      <c r="L922" s="6"/>
      <c r="M922" s="6">
        <v>9905.99</v>
      </c>
      <c r="O922" s="24">
        <f t="shared" si="18"/>
        <v>412.96999999999935</v>
      </c>
    </row>
    <row r="923" spans="9:15" x14ac:dyDescent="0.25">
      <c r="I923" s="14">
        <v>917</v>
      </c>
      <c r="K923" s="6">
        <v>6305.39</v>
      </c>
      <c r="L923" s="6"/>
      <c r="M923" s="6">
        <v>9569.1</v>
      </c>
      <c r="O923" s="24">
        <f t="shared" si="18"/>
        <v>3263.71</v>
      </c>
    </row>
    <row r="924" spans="9:15" x14ac:dyDescent="0.25">
      <c r="I924" s="14">
        <v>918</v>
      </c>
      <c r="K924" s="6">
        <v>7692.14</v>
      </c>
      <c r="L924" s="6"/>
      <c r="M924" s="6">
        <v>9816.3799999999992</v>
      </c>
      <c r="O924" s="24">
        <f t="shared" si="18"/>
        <v>2124.2399999999989</v>
      </c>
    </row>
    <row r="925" spans="9:15" x14ac:dyDescent="0.25">
      <c r="I925" s="14">
        <v>919</v>
      </c>
      <c r="K925" s="6">
        <v>6337.9</v>
      </c>
      <c r="L925" s="6"/>
      <c r="M925" s="6">
        <v>10284.299999999999</v>
      </c>
      <c r="O925" s="24">
        <f t="shared" si="18"/>
        <v>3946.3999999999996</v>
      </c>
    </row>
    <row r="926" spans="9:15" x14ac:dyDescent="0.25">
      <c r="I926" s="14">
        <v>920</v>
      </c>
      <c r="K926" s="6">
        <v>6933.02</v>
      </c>
      <c r="L926" s="6"/>
      <c r="M926" s="6">
        <v>10513.42</v>
      </c>
      <c r="O926" s="24">
        <f t="shared" si="18"/>
        <v>3580.3999999999996</v>
      </c>
    </row>
    <row r="927" spans="9:15" x14ac:dyDescent="0.25">
      <c r="I927" s="14">
        <v>921</v>
      </c>
      <c r="K927" s="6">
        <v>6699.18</v>
      </c>
      <c r="L927" s="6"/>
      <c r="M927" s="6">
        <v>8868.2999999999993</v>
      </c>
      <c r="O927" s="24">
        <f t="shared" si="18"/>
        <v>2169.119999999999</v>
      </c>
    </row>
    <row r="928" spans="9:15" x14ac:dyDescent="0.25">
      <c r="I928" s="14">
        <v>922</v>
      </c>
      <c r="K928" s="6">
        <v>10760.83</v>
      </c>
      <c r="L928" s="6"/>
      <c r="M928" s="6">
        <v>10124.23</v>
      </c>
      <c r="O928" s="24">
        <f t="shared" si="18"/>
        <v>-636.60000000000036</v>
      </c>
    </row>
    <row r="929" spans="9:15" x14ac:dyDescent="0.25">
      <c r="I929" s="14">
        <v>923</v>
      </c>
      <c r="K929" s="6">
        <v>5991.59</v>
      </c>
      <c r="L929" s="6"/>
      <c r="M929" s="6">
        <v>9473.5</v>
      </c>
      <c r="O929" s="24">
        <f t="shared" si="18"/>
        <v>3481.91</v>
      </c>
    </row>
    <row r="930" spans="9:15" x14ac:dyDescent="0.25">
      <c r="I930" s="14">
        <v>924</v>
      </c>
      <c r="K930" s="6">
        <v>5817.3</v>
      </c>
      <c r="L930" s="6"/>
      <c r="M930" s="6">
        <v>9916.66</v>
      </c>
      <c r="O930" s="24">
        <f t="shared" si="18"/>
        <v>4099.3599999999997</v>
      </c>
    </row>
    <row r="931" spans="9:15" x14ac:dyDescent="0.25">
      <c r="I931" s="14">
        <v>925</v>
      </c>
      <c r="K931" s="6">
        <v>6427.17</v>
      </c>
      <c r="L931" s="6"/>
      <c r="M931" s="6">
        <v>9974.89</v>
      </c>
      <c r="O931" s="24">
        <f t="shared" si="18"/>
        <v>3547.7199999999993</v>
      </c>
    </row>
    <row r="932" spans="9:15" x14ac:dyDescent="0.25">
      <c r="I932" s="14">
        <v>926</v>
      </c>
      <c r="K932" s="6">
        <v>5906.98</v>
      </c>
      <c r="L932" s="6"/>
      <c r="M932" s="6">
        <v>10226.459999999999</v>
      </c>
      <c r="O932" s="24">
        <f t="shared" si="18"/>
        <v>4319.4799999999996</v>
      </c>
    </row>
    <row r="933" spans="9:15" x14ac:dyDescent="0.25">
      <c r="I933" s="14">
        <v>927</v>
      </c>
      <c r="K933" s="6">
        <v>5409.74</v>
      </c>
      <c r="L933" s="6"/>
      <c r="M933" s="6">
        <v>9176.24</v>
      </c>
      <c r="O933" s="24">
        <f t="shared" si="18"/>
        <v>3766.5</v>
      </c>
    </row>
    <row r="934" spans="9:15" x14ac:dyDescent="0.25">
      <c r="I934" s="14">
        <v>928</v>
      </c>
      <c r="K934" s="6">
        <v>5677.77</v>
      </c>
      <c r="L934" s="6"/>
      <c r="M934" s="6">
        <v>10196.34</v>
      </c>
      <c r="O934" s="24">
        <f t="shared" si="18"/>
        <v>4518.57</v>
      </c>
    </row>
    <row r="935" spans="9:15" x14ac:dyDescent="0.25">
      <c r="I935" s="14">
        <v>929</v>
      </c>
      <c r="K935" s="6">
        <v>5930.04</v>
      </c>
      <c r="L935" s="6"/>
      <c r="M935" s="6">
        <v>9124.2000000000007</v>
      </c>
      <c r="O935" s="24">
        <f t="shared" si="18"/>
        <v>3194.1600000000008</v>
      </c>
    </row>
    <row r="936" spans="9:15" x14ac:dyDescent="0.25">
      <c r="I936" s="14">
        <v>930</v>
      </c>
      <c r="K936" s="6">
        <v>5886.77</v>
      </c>
      <c r="L936" s="6"/>
      <c r="M936" s="6">
        <v>9966.48</v>
      </c>
      <c r="O936" s="24">
        <f t="shared" si="18"/>
        <v>4079.7099999999991</v>
      </c>
    </row>
    <row r="937" spans="9:15" x14ac:dyDescent="0.25">
      <c r="I937" s="14">
        <v>931</v>
      </c>
      <c r="K937" s="6">
        <v>8036.05</v>
      </c>
      <c r="L937" s="6"/>
      <c r="M937" s="6">
        <v>9252.0400000000009</v>
      </c>
      <c r="O937" s="24">
        <f t="shared" si="18"/>
        <v>1215.9900000000007</v>
      </c>
    </row>
    <row r="938" spans="9:15" x14ac:dyDescent="0.25">
      <c r="I938" s="14">
        <v>932</v>
      </c>
      <c r="K938" s="6">
        <v>6472.34</v>
      </c>
      <c r="L938" s="6"/>
      <c r="M938" s="6">
        <v>9581.89</v>
      </c>
      <c r="O938" s="24">
        <f t="shared" si="18"/>
        <v>3109.5499999999993</v>
      </c>
    </row>
    <row r="939" spans="9:15" x14ac:dyDescent="0.25">
      <c r="I939" s="14">
        <v>933</v>
      </c>
      <c r="K939" s="6">
        <v>5665.68</v>
      </c>
      <c r="L939" s="6"/>
      <c r="M939" s="6">
        <v>9757.2900000000009</v>
      </c>
      <c r="O939" s="24">
        <f t="shared" si="18"/>
        <v>4091.6100000000006</v>
      </c>
    </row>
    <row r="940" spans="9:15" x14ac:dyDescent="0.25">
      <c r="I940" s="14">
        <v>934</v>
      </c>
      <c r="K940" s="6">
        <v>5123.6899999999996</v>
      </c>
      <c r="L940" s="6"/>
      <c r="M940" s="6">
        <v>9148.83</v>
      </c>
      <c r="O940" s="24">
        <f t="shared" si="18"/>
        <v>4025.1400000000003</v>
      </c>
    </row>
    <row r="941" spans="9:15" x14ac:dyDescent="0.25">
      <c r="I941" s="14">
        <v>935</v>
      </c>
      <c r="K941" s="6">
        <v>7756.08</v>
      </c>
      <c r="L941" s="6"/>
      <c r="M941" s="6">
        <v>10272.68</v>
      </c>
      <c r="O941" s="24">
        <f t="shared" si="18"/>
        <v>2516.6000000000004</v>
      </c>
    </row>
    <row r="942" spans="9:15" x14ac:dyDescent="0.25">
      <c r="I942" s="14">
        <v>936</v>
      </c>
      <c r="K942" s="6">
        <v>7135.54</v>
      </c>
      <c r="L942" s="6"/>
      <c r="M942" s="6">
        <v>9865.0300000000007</v>
      </c>
      <c r="O942" s="24">
        <f t="shared" si="18"/>
        <v>2729.4900000000007</v>
      </c>
    </row>
    <row r="943" spans="9:15" x14ac:dyDescent="0.25">
      <c r="I943" s="14">
        <v>937</v>
      </c>
      <c r="K943" s="6">
        <v>5872.82</v>
      </c>
      <c r="L943" s="6"/>
      <c r="M943" s="6">
        <v>10016.06</v>
      </c>
      <c r="O943" s="24">
        <f t="shared" si="18"/>
        <v>4143.24</v>
      </c>
    </row>
    <row r="944" spans="9:15" x14ac:dyDescent="0.25">
      <c r="I944" s="14">
        <v>938</v>
      </c>
      <c r="K944" s="6">
        <v>6824.26</v>
      </c>
      <c r="L944" s="6"/>
      <c r="M944" s="6">
        <v>10439.14</v>
      </c>
      <c r="O944" s="24">
        <f t="shared" si="18"/>
        <v>3614.8799999999992</v>
      </c>
    </row>
    <row r="945" spans="9:15" x14ac:dyDescent="0.25">
      <c r="I945" s="14">
        <v>939</v>
      </c>
      <c r="K945" s="6">
        <v>6724.95</v>
      </c>
      <c r="L945" s="6"/>
      <c r="M945" s="6">
        <v>9658.85</v>
      </c>
      <c r="O945" s="24">
        <f t="shared" si="18"/>
        <v>2933.9000000000005</v>
      </c>
    </row>
    <row r="946" spans="9:15" x14ac:dyDescent="0.25">
      <c r="I946" s="14">
        <v>940</v>
      </c>
      <c r="K946" s="6">
        <v>9206.9599999999991</v>
      </c>
      <c r="L946" s="6"/>
      <c r="M946" s="6">
        <v>11104.31</v>
      </c>
      <c r="O946" s="24">
        <f t="shared" si="18"/>
        <v>1897.3500000000004</v>
      </c>
    </row>
    <row r="947" spans="9:15" x14ac:dyDescent="0.25">
      <c r="I947" s="14">
        <v>941</v>
      </c>
      <c r="K947" s="6">
        <v>7213.48</v>
      </c>
      <c r="L947" s="6"/>
      <c r="M947" s="6">
        <v>9948.43</v>
      </c>
      <c r="O947" s="24">
        <f t="shared" si="18"/>
        <v>2734.9500000000007</v>
      </c>
    </row>
    <row r="948" spans="9:15" x14ac:dyDescent="0.25">
      <c r="I948" s="14">
        <v>942</v>
      </c>
      <c r="K948" s="6">
        <v>5949.23</v>
      </c>
      <c r="L948" s="6"/>
      <c r="M948" s="6">
        <v>9884.81</v>
      </c>
      <c r="O948" s="24">
        <f t="shared" si="18"/>
        <v>3935.58</v>
      </c>
    </row>
    <row r="949" spans="9:15" x14ac:dyDescent="0.25">
      <c r="I949" s="14">
        <v>943</v>
      </c>
      <c r="K949" s="6">
        <v>6951.6</v>
      </c>
      <c r="L949" s="6"/>
      <c r="M949" s="6">
        <v>9142.86</v>
      </c>
      <c r="O949" s="24">
        <f t="shared" si="18"/>
        <v>2191.2600000000002</v>
      </c>
    </row>
    <row r="950" spans="9:15" x14ac:dyDescent="0.25">
      <c r="I950" s="14">
        <v>944</v>
      </c>
      <c r="K950" s="6">
        <v>8160.4</v>
      </c>
      <c r="L950" s="6"/>
      <c r="M950" s="6">
        <v>10206.82</v>
      </c>
      <c r="O950" s="24">
        <f t="shared" si="18"/>
        <v>2046.42</v>
      </c>
    </row>
    <row r="951" spans="9:15" x14ac:dyDescent="0.25">
      <c r="I951" s="14">
        <v>945</v>
      </c>
      <c r="K951" s="6">
        <v>6247.41</v>
      </c>
      <c r="L951" s="6"/>
      <c r="M951" s="6">
        <v>9267.4</v>
      </c>
      <c r="O951" s="24">
        <f t="shared" si="18"/>
        <v>3019.99</v>
      </c>
    </row>
    <row r="952" spans="9:15" x14ac:dyDescent="0.25">
      <c r="I952" s="14">
        <v>946</v>
      </c>
      <c r="K952" s="6">
        <v>8025.64</v>
      </c>
      <c r="L952" s="6"/>
      <c r="M952" s="6">
        <v>11105.22</v>
      </c>
      <c r="O952" s="24">
        <f t="shared" si="18"/>
        <v>3079.579999999999</v>
      </c>
    </row>
    <row r="953" spans="9:15" x14ac:dyDescent="0.25">
      <c r="I953" s="14">
        <v>947</v>
      </c>
      <c r="K953" s="6">
        <v>7047.96</v>
      </c>
      <c r="L953" s="6"/>
      <c r="M953" s="6">
        <v>9591.76</v>
      </c>
      <c r="O953" s="24">
        <f t="shared" si="18"/>
        <v>2543.8000000000002</v>
      </c>
    </row>
    <row r="954" spans="9:15" x14ac:dyDescent="0.25">
      <c r="I954" s="14">
        <v>948</v>
      </c>
      <c r="K954" s="6">
        <v>6097.42</v>
      </c>
      <c r="L954" s="6"/>
      <c r="M954" s="6">
        <v>9496.25</v>
      </c>
      <c r="O954" s="24">
        <f t="shared" si="18"/>
        <v>3398.83</v>
      </c>
    </row>
    <row r="955" spans="9:15" x14ac:dyDescent="0.25">
      <c r="I955" s="14">
        <v>949</v>
      </c>
      <c r="K955" s="6">
        <v>7150.24</v>
      </c>
      <c r="L955" s="6"/>
      <c r="M955" s="6">
        <v>10552</v>
      </c>
      <c r="O955" s="24">
        <f t="shared" si="18"/>
        <v>3401.76</v>
      </c>
    </row>
    <row r="956" spans="9:15" x14ac:dyDescent="0.25">
      <c r="I956" s="14">
        <v>950</v>
      </c>
      <c r="K956" s="6">
        <v>5529.63</v>
      </c>
      <c r="L956" s="6"/>
      <c r="M956" s="6">
        <v>9611.67</v>
      </c>
      <c r="O956" s="24">
        <f t="shared" si="18"/>
        <v>4082.04</v>
      </c>
    </row>
    <row r="957" spans="9:15" x14ac:dyDescent="0.25">
      <c r="I957" s="14">
        <v>951</v>
      </c>
      <c r="K957" s="6">
        <v>6606.47</v>
      </c>
      <c r="L957" s="6"/>
      <c r="M957" s="6">
        <v>9742.8700000000008</v>
      </c>
      <c r="O957" s="24">
        <f t="shared" si="18"/>
        <v>3136.4000000000005</v>
      </c>
    </row>
    <row r="958" spans="9:15" x14ac:dyDescent="0.25">
      <c r="I958" s="14">
        <v>952</v>
      </c>
      <c r="K958" s="6">
        <v>5704.45</v>
      </c>
      <c r="L958" s="6"/>
      <c r="M958" s="6">
        <v>9490.59</v>
      </c>
      <c r="O958" s="24">
        <f t="shared" si="18"/>
        <v>3786.1400000000003</v>
      </c>
    </row>
    <row r="959" spans="9:15" x14ac:dyDescent="0.25">
      <c r="I959" s="14">
        <v>953</v>
      </c>
      <c r="K959" s="6">
        <v>8205.09</v>
      </c>
      <c r="L959" s="6"/>
      <c r="M959" s="6">
        <v>9605.68</v>
      </c>
      <c r="O959" s="24">
        <f t="shared" si="18"/>
        <v>1400.5900000000001</v>
      </c>
    </row>
    <row r="960" spans="9:15" x14ac:dyDescent="0.25">
      <c r="I960" s="14">
        <v>954</v>
      </c>
      <c r="K960" s="6">
        <v>7831.59</v>
      </c>
      <c r="L960" s="6"/>
      <c r="M960" s="6">
        <v>10035.4</v>
      </c>
      <c r="O960" s="24">
        <f t="shared" si="18"/>
        <v>2203.8099999999995</v>
      </c>
    </row>
    <row r="961" spans="9:15" x14ac:dyDescent="0.25">
      <c r="I961" s="14">
        <v>955</v>
      </c>
      <c r="K961" s="6">
        <v>5218.57</v>
      </c>
      <c r="L961" s="6"/>
      <c r="M961" s="6">
        <v>9710.9500000000007</v>
      </c>
      <c r="O961" s="24">
        <f t="shared" si="18"/>
        <v>4492.380000000001</v>
      </c>
    </row>
    <row r="962" spans="9:15" x14ac:dyDescent="0.25">
      <c r="I962" s="14">
        <v>956</v>
      </c>
      <c r="K962" s="6">
        <v>9603.0400000000009</v>
      </c>
      <c r="L962" s="6"/>
      <c r="M962" s="6">
        <v>10001.75</v>
      </c>
      <c r="O962" s="24">
        <f t="shared" si="18"/>
        <v>398.70999999999913</v>
      </c>
    </row>
    <row r="963" spans="9:15" x14ac:dyDescent="0.25">
      <c r="I963" s="14">
        <v>957</v>
      </c>
      <c r="K963" s="6">
        <v>5531.45</v>
      </c>
      <c r="L963" s="6"/>
      <c r="M963" s="6">
        <v>10037.030000000001</v>
      </c>
      <c r="O963" s="24">
        <f t="shared" si="18"/>
        <v>4505.5800000000008</v>
      </c>
    </row>
    <row r="964" spans="9:15" x14ac:dyDescent="0.25">
      <c r="I964" s="14">
        <v>958</v>
      </c>
      <c r="K964" s="6">
        <v>7085.58</v>
      </c>
      <c r="L964" s="6"/>
      <c r="M964" s="6">
        <v>9406.74</v>
      </c>
      <c r="O964" s="24">
        <f t="shared" si="18"/>
        <v>2321.16</v>
      </c>
    </row>
    <row r="965" spans="9:15" x14ac:dyDescent="0.25">
      <c r="I965" s="14">
        <v>959</v>
      </c>
      <c r="K965" s="6">
        <v>6599.69</v>
      </c>
      <c r="L965" s="6"/>
      <c r="M965" s="6">
        <v>9412.1299999999992</v>
      </c>
      <c r="O965" s="24">
        <f t="shared" si="18"/>
        <v>2812.4399999999996</v>
      </c>
    </row>
    <row r="966" spans="9:15" x14ac:dyDescent="0.25">
      <c r="I966" s="14">
        <v>960</v>
      </c>
      <c r="K966" s="6">
        <v>5593.37</v>
      </c>
      <c r="L966" s="6"/>
      <c r="M966" s="6">
        <v>10042</v>
      </c>
      <c r="O966" s="24">
        <f t="shared" si="18"/>
        <v>4448.63</v>
      </c>
    </row>
    <row r="967" spans="9:15" x14ac:dyDescent="0.25">
      <c r="I967" s="14">
        <v>961</v>
      </c>
      <c r="K967" s="6">
        <v>5770</v>
      </c>
      <c r="L967" s="6"/>
      <c r="M967" s="6">
        <v>10584.55</v>
      </c>
      <c r="O967" s="24">
        <f t="shared" si="18"/>
        <v>4814.5499999999993</v>
      </c>
    </row>
    <row r="968" spans="9:15" x14ac:dyDescent="0.25">
      <c r="I968" s="14">
        <v>962</v>
      </c>
      <c r="K968" s="6">
        <v>7749.94</v>
      </c>
      <c r="L968" s="6"/>
      <c r="M968" s="6">
        <v>9733.99</v>
      </c>
      <c r="O968" s="24">
        <f t="shared" ref="O968:O1006" si="19">M968-K968</f>
        <v>1984.0500000000002</v>
      </c>
    </row>
    <row r="969" spans="9:15" x14ac:dyDescent="0.25">
      <c r="I969" s="14">
        <v>963</v>
      </c>
      <c r="K969" s="6">
        <v>7275.01</v>
      </c>
      <c r="L969" s="6"/>
      <c r="M969" s="6">
        <v>9891.67</v>
      </c>
      <c r="O969" s="24">
        <f t="shared" si="19"/>
        <v>2616.66</v>
      </c>
    </row>
    <row r="970" spans="9:15" x14ac:dyDescent="0.25">
      <c r="I970" s="14">
        <v>964</v>
      </c>
      <c r="K970" s="6">
        <v>7316.83</v>
      </c>
      <c r="L970" s="6"/>
      <c r="M970" s="6">
        <v>9889.67</v>
      </c>
      <c r="O970" s="24">
        <f t="shared" si="19"/>
        <v>2572.84</v>
      </c>
    </row>
    <row r="971" spans="9:15" x14ac:dyDescent="0.25">
      <c r="I971" s="14">
        <v>965</v>
      </c>
      <c r="K971" s="6">
        <v>8076.3</v>
      </c>
      <c r="L971" s="6"/>
      <c r="M971" s="6">
        <v>10675.23</v>
      </c>
      <c r="O971" s="24">
        <f t="shared" si="19"/>
        <v>2598.9299999999994</v>
      </c>
    </row>
    <row r="972" spans="9:15" x14ac:dyDescent="0.25">
      <c r="I972" s="14">
        <v>966</v>
      </c>
      <c r="K972" s="6">
        <v>6753.77</v>
      </c>
      <c r="L972" s="6"/>
      <c r="M972" s="6">
        <v>10013.84</v>
      </c>
      <c r="O972" s="24">
        <f t="shared" si="19"/>
        <v>3260.0699999999997</v>
      </c>
    </row>
    <row r="973" spans="9:15" x14ac:dyDescent="0.25">
      <c r="I973" s="14">
        <v>967</v>
      </c>
      <c r="K973" s="6">
        <v>8622.76</v>
      </c>
      <c r="L973" s="6"/>
      <c r="M973" s="6">
        <v>9268.15</v>
      </c>
      <c r="O973" s="24">
        <f t="shared" si="19"/>
        <v>645.38999999999942</v>
      </c>
    </row>
    <row r="974" spans="9:15" x14ac:dyDescent="0.25">
      <c r="I974" s="14">
        <v>968</v>
      </c>
      <c r="K974" s="6">
        <v>7656.48</v>
      </c>
      <c r="L974" s="6"/>
      <c r="M974" s="6">
        <v>9701.8700000000008</v>
      </c>
      <c r="O974" s="24">
        <f t="shared" si="19"/>
        <v>2045.3900000000012</v>
      </c>
    </row>
    <row r="975" spans="9:15" x14ac:dyDescent="0.25">
      <c r="I975" s="14">
        <v>969</v>
      </c>
      <c r="K975" s="6">
        <v>8028.04</v>
      </c>
      <c r="L975" s="6"/>
      <c r="M975" s="6">
        <v>9530.99</v>
      </c>
      <c r="O975" s="24">
        <f t="shared" si="19"/>
        <v>1502.9499999999998</v>
      </c>
    </row>
    <row r="976" spans="9:15" x14ac:dyDescent="0.25">
      <c r="I976" s="14">
        <v>970</v>
      </c>
      <c r="K976" s="6">
        <v>6055.69</v>
      </c>
      <c r="L976" s="6"/>
      <c r="M976" s="6">
        <v>8990.92</v>
      </c>
      <c r="O976" s="24">
        <f t="shared" si="19"/>
        <v>2935.2300000000005</v>
      </c>
    </row>
    <row r="977" spans="9:15" x14ac:dyDescent="0.25">
      <c r="I977" s="14">
        <v>971</v>
      </c>
      <c r="K977" s="6">
        <v>5821.16</v>
      </c>
      <c r="L977" s="6"/>
      <c r="M977" s="6">
        <v>9723.11</v>
      </c>
      <c r="O977" s="24">
        <f t="shared" si="19"/>
        <v>3901.9500000000007</v>
      </c>
    </row>
    <row r="978" spans="9:15" x14ac:dyDescent="0.25">
      <c r="I978" s="14">
        <v>972</v>
      </c>
      <c r="K978" s="6">
        <v>5737.22</v>
      </c>
      <c r="L978" s="6"/>
      <c r="M978" s="6">
        <v>9476.5300000000007</v>
      </c>
      <c r="O978" s="24">
        <f t="shared" si="19"/>
        <v>3739.3100000000004</v>
      </c>
    </row>
    <row r="979" spans="9:15" x14ac:dyDescent="0.25">
      <c r="I979" s="14">
        <v>973</v>
      </c>
      <c r="K979" s="6">
        <v>5412.62</v>
      </c>
      <c r="L979" s="6"/>
      <c r="M979" s="6">
        <v>9053.06</v>
      </c>
      <c r="O979" s="24">
        <f t="shared" si="19"/>
        <v>3640.4399999999996</v>
      </c>
    </row>
    <row r="980" spans="9:15" x14ac:dyDescent="0.25">
      <c r="I980" s="14">
        <v>974</v>
      </c>
      <c r="K980" s="6">
        <v>6468.95</v>
      </c>
      <c r="L980" s="6"/>
      <c r="M980" s="6">
        <v>10814.14</v>
      </c>
      <c r="O980" s="24">
        <f t="shared" si="19"/>
        <v>4345.1899999999996</v>
      </c>
    </row>
    <row r="981" spans="9:15" x14ac:dyDescent="0.25">
      <c r="I981" s="14">
        <v>975</v>
      </c>
      <c r="K981" s="6">
        <v>5563.85</v>
      </c>
      <c r="L981" s="6"/>
      <c r="M981" s="6">
        <v>10285.540000000001</v>
      </c>
      <c r="O981" s="24">
        <f t="shared" si="19"/>
        <v>4721.6900000000005</v>
      </c>
    </row>
    <row r="982" spans="9:15" x14ac:dyDescent="0.25">
      <c r="I982" s="14">
        <v>976</v>
      </c>
      <c r="K982" s="6">
        <v>8330.7199999999993</v>
      </c>
      <c r="L982" s="6"/>
      <c r="M982" s="6">
        <v>9490.31</v>
      </c>
      <c r="O982" s="24">
        <f t="shared" si="19"/>
        <v>1159.5900000000001</v>
      </c>
    </row>
    <row r="983" spans="9:15" x14ac:dyDescent="0.25">
      <c r="I983" s="14">
        <v>977</v>
      </c>
      <c r="K983" s="6">
        <v>8037.14</v>
      </c>
      <c r="L983" s="6"/>
      <c r="M983" s="6">
        <v>9959.0499999999993</v>
      </c>
      <c r="O983" s="24">
        <f t="shared" si="19"/>
        <v>1921.9099999999989</v>
      </c>
    </row>
    <row r="984" spans="9:15" x14ac:dyDescent="0.25">
      <c r="I984" s="14">
        <v>978</v>
      </c>
      <c r="K984" s="6">
        <v>6964.18</v>
      </c>
      <c r="L984" s="6"/>
      <c r="M984" s="6">
        <v>10659.87</v>
      </c>
      <c r="O984" s="24">
        <f t="shared" si="19"/>
        <v>3695.6900000000005</v>
      </c>
    </row>
    <row r="985" spans="9:15" x14ac:dyDescent="0.25">
      <c r="I985" s="14">
        <v>979</v>
      </c>
      <c r="K985" s="6">
        <v>8068.43</v>
      </c>
      <c r="L985" s="6"/>
      <c r="M985" s="6">
        <v>9837.83</v>
      </c>
      <c r="O985" s="24">
        <f t="shared" si="19"/>
        <v>1769.3999999999996</v>
      </c>
    </row>
    <row r="986" spans="9:15" x14ac:dyDescent="0.25">
      <c r="I986" s="14">
        <v>980</v>
      </c>
      <c r="K986" s="6">
        <v>7239.9</v>
      </c>
      <c r="L986" s="6"/>
      <c r="M986" s="6">
        <v>9691.08</v>
      </c>
      <c r="O986" s="24">
        <f t="shared" si="19"/>
        <v>2451.1800000000003</v>
      </c>
    </row>
    <row r="987" spans="9:15" x14ac:dyDescent="0.25">
      <c r="I987" s="14">
        <v>981</v>
      </c>
      <c r="K987" s="6">
        <v>6587.02</v>
      </c>
      <c r="L987" s="6"/>
      <c r="M987" s="6">
        <v>9091.2800000000007</v>
      </c>
      <c r="O987" s="24">
        <f t="shared" si="19"/>
        <v>2504.2600000000002</v>
      </c>
    </row>
    <row r="988" spans="9:15" x14ac:dyDescent="0.25">
      <c r="I988" s="14">
        <v>982</v>
      </c>
      <c r="K988" s="6">
        <v>5200.07</v>
      </c>
      <c r="L988" s="6"/>
      <c r="M988" s="6">
        <v>9709.17</v>
      </c>
      <c r="O988" s="24">
        <f t="shared" si="19"/>
        <v>4509.1000000000004</v>
      </c>
    </row>
    <row r="989" spans="9:15" x14ac:dyDescent="0.25">
      <c r="I989" s="14">
        <v>983</v>
      </c>
      <c r="K989" s="6">
        <v>5936.39</v>
      </c>
      <c r="L989" s="6"/>
      <c r="M989" s="6">
        <v>9942.8700000000008</v>
      </c>
      <c r="O989" s="24">
        <f t="shared" si="19"/>
        <v>4006.4800000000005</v>
      </c>
    </row>
    <row r="990" spans="9:15" x14ac:dyDescent="0.25">
      <c r="I990" s="14">
        <v>984</v>
      </c>
      <c r="K990" s="6">
        <v>7392.01</v>
      </c>
      <c r="L990" s="6"/>
      <c r="M990" s="6">
        <v>10569.21</v>
      </c>
      <c r="O990" s="24">
        <f t="shared" si="19"/>
        <v>3177.1999999999989</v>
      </c>
    </row>
    <row r="991" spans="9:15" x14ac:dyDescent="0.25">
      <c r="I991" s="14">
        <v>985</v>
      </c>
      <c r="K991" s="6">
        <v>5233.05</v>
      </c>
      <c r="L991" s="6"/>
      <c r="M991" s="6">
        <v>10079.200000000001</v>
      </c>
      <c r="O991" s="24">
        <f t="shared" si="19"/>
        <v>4846.1500000000005</v>
      </c>
    </row>
    <row r="992" spans="9:15" x14ac:dyDescent="0.25">
      <c r="I992" s="14">
        <v>986</v>
      </c>
      <c r="K992" s="6">
        <v>8137.15</v>
      </c>
      <c r="L992" s="6"/>
      <c r="M992" s="6">
        <v>8933.61</v>
      </c>
      <c r="O992" s="24">
        <f t="shared" si="19"/>
        <v>796.46000000000095</v>
      </c>
    </row>
    <row r="993" spans="9:15" x14ac:dyDescent="0.25">
      <c r="I993" s="14">
        <v>987</v>
      </c>
      <c r="K993" s="6">
        <v>8085.41</v>
      </c>
      <c r="L993" s="6"/>
      <c r="M993" s="6">
        <v>9436.58</v>
      </c>
      <c r="O993" s="24">
        <f t="shared" si="19"/>
        <v>1351.17</v>
      </c>
    </row>
    <row r="994" spans="9:15" x14ac:dyDescent="0.25">
      <c r="I994" s="14">
        <v>988</v>
      </c>
      <c r="K994" s="6">
        <v>8809.32</v>
      </c>
      <c r="L994" s="6"/>
      <c r="M994" s="6">
        <v>9548.4599999999991</v>
      </c>
      <c r="O994" s="24">
        <f t="shared" si="19"/>
        <v>739.13999999999942</v>
      </c>
    </row>
    <row r="995" spans="9:15" x14ac:dyDescent="0.25">
      <c r="I995" s="14">
        <v>989</v>
      </c>
      <c r="K995" s="6">
        <v>9582.2800000000007</v>
      </c>
      <c r="L995" s="6"/>
      <c r="M995" s="6">
        <v>9530.58</v>
      </c>
      <c r="O995" s="24">
        <f t="shared" si="19"/>
        <v>-51.700000000000728</v>
      </c>
    </row>
    <row r="996" spans="9:15" x14ac:dyDescent="0.25">
      <c r="I996" s="14">
        <v>990</v>
      </c>
      <c r="K996" s="6">
        <v>5602.62</v>
      </c>
      <c r="L996" s="6"/>
      <c r="M996" s="6">
        <v>10399.42</v>
      </c>
      <c r="O996" s="24">
        <f t="shared" si="19"/>
        <v>4796.8</v>
      </c>
    </row>
    <row r="997" spans="9:15" x14ac:dyDescent="0.25">
      <c r="I997" s="14">
        <v>991</v>
      </c>
      <c r="K997" s="6">
        <v>6090.77</v>
      </c>
      <c r="L997" s="6"/>
      <c r="M997" s="6">
        <v>9908.18</v>
      </c>
      <c r="O997" s="24">
        <f t="shared" si="19"/>
        <v>3817.41</v>
      </c>
    </row>
    <row r="998" spans="9:15" x14ac:dyDescent="0.25">
      <c r="I998" s="14">
        <v>992</v>
      </c>
      <c r="K998" s="6">
        <v>5710.65</v>
      </c>
      <c r="L998" s="6"/>
      <c r="M998" s="6">
        <v>8990.73</v>
      </c>
      <c r="O998" s="24">
        <f t="shared" si="19"/>
        <v>3280.08</v>
      </c>
    </row>
    <row r="999" spans="9:15" x14ac:dyDescent="0.25">
      <c r="I999" s="14">
        <v>993</v>
      </c>
      <c r="K999" s="6">
        <v>6124.97</v>
      </c>
      <c r="L999" s="6"/>
      <c r="M999" s="6">
        <v>10108.41</v>
      </c>
      <c r="O999" s="24">
        <f t="shared" si="19"/>
        <v>3983.4399999999996</v>
      </c>
    </row>
    <row r="1000" spans="9:15" x14ac:dyDescent="0.25">
      <c r="I1000" s="14">
        <v>994</v>
      </c>
      <c r="K1000" s="6">
        <v>7407.85</v>
      </c>
      <c r="L1000" s="6"/>
      <c r="M1000" s="6">
        <v>9530.07</v>
      </c>
      <c r="O1000" s="24">
        <f t="shared" si="19"/>
        <v>2122.2199999999993</v>
      </c>
    </row>
    <row r="1001" spans="9:15" x14ac:dyDescent="0.25">
      <c r="I1001" s="14">
        <v>995</v>
      </c>
      <c r="K1001" s="6">
        <v>6686.83</v>
      </c>
      <c r="L1001" s="6"/>
      <c r="M1001" s="6">
        <v>9843.51</v>
      </c>
      <c r="O1001" s="24">
        <f t="shared" si="19"/>
        <v>3156.6800000000003</v>
      </c>
    </row>
    <row r="1002" spans="9:15" x14ac:dyDescent="0.25">
      <c r="I1002" s="14">
        <v>996</v>
      </c>
      <c r="K1002" s="6">
        <v>7017.16</v>
      </c>
      <c r="L1002" s="6"/>
      <c r="M1002" s="6">
        <v>9682.52</v>
      </c>
      <c r="O1002" s="24">
        <f t="shared" si="19"/>
        <v>2665.3600000000006</v>
      </c>
    </row>
    <row r="1003" spans="9:15" x14ac:dyDescent="0.25">
      <c r="I1003" s="14">
        <v>997</v>
      </c>
      <c r="K1003" s="6">
        <v>8326.27</v>
      </c>
      <c r="L1003" s="6"/>
      <c r="M1003" s="6">
        <v>9859.89</v>
      </c>
      <c r="O1003" s="24">
        <f t="shared" si="19"/>
        <v>1533.619999999999</v>
      </c>
    </row>
    <row r="1004" spans="9:15" x14ac:dyDescent="0.25">
      <c r="I1004" s="14">
        <v>998</v>
      </c>
      <c r="K1004" s="6">
        <v>7319.94</v>
      </c>
      <c r="L1004" s="6"/>
      <c r="M1004" s="6">
        <v>10055.69</v>
      </c>
      <c r="O1004" s="24">
        <f t="shared" si="19"/>
        <v>2735.7500000000009</v>
      </c>
    </row>
    <row r="1005" spans="9:15" x14ac:dyDescent="0.25">
      <c r="I1005" s="14">
        <v>999</v>
      </c>
      <c r="K1005" s="6">
        <v>9425.14</v>
      </c>
      <c r="L1005" s="6"/>
      <c r="M1005" s="6">
        <v>9764.5</v>
      </c>
      <c r="O1005" s="24">
        <f t="shared" si="19"/>
        <v>339.36000000000058</v>
      </c>
    </row>
    <row r="1006" spans="9:15" x14ac:dyDescent="0.25">
      <c r="I1006" s="14">
        <v>1000</v>
      </c>
      <c r="K1006" s="6">
        <v>5745.52</v>
      </c>
      <c r="L1006" s="6"/>
      <c r="M1006" s="6">
        <v>9825.18</v>
      </c>
      <c r="O1006" s="24">
        <f t="shared" si="19"/>
        <v>4079.66</v>
      </c>
    </row>
  </sheetData>
  <sortState xmlns:xlrd2="http://schemas.microsoft.com/office/spreadsheetml/2017/richdata2" ref="R17:R57">
    <sortCondition ref="R1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otstrap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1001"/>
  <sheetViews>
    <sheetView tabSelected="1" workbookViewId="0">
      <selection activeCell="H9" sqref="H9"/>
    </sheetView>
  </sheetViews>
  <sheetFormatPr defaultRowHeight="15" x14ac:dyDescent="0.25"/>
  <cols>
    <col min="1" max="1" width="32.140625" customWidth="1"/>
    <col min="2" max="2" width="10.5703125" customWidth="1"/>
    <col min="5" max="5" width="28.5703125" bestFit="1" customWidth="1"/>
  </cols>
  <sheetData>
    <row r="1" spans="1:6" ht="31.5" x14ac:dyDescent="0.25">
      <c r="A1" s="27" t="s">
        <v>28</v>
      </c>
      <c r="B1" s="27" t="s">
        <v>29</v>
      </c>
    </row>
    <row r="2" spans="1:6" x14ac:dyDescent="0.25">
      <c r="A2" s="6">
        <v>-2273.5700000000015</v>
      </c>
      <c r="B2">
        <v>1</v>
      </c>
      <c r="E2" s="26" t="s">
        <v>30</v>
      </c>
      <c r="F2" s="24">
        <f>A27</f>
        <v>78.390000000001237</v>
      </c>
    </row>
    <row r="3" spans="1:6" x14ac:dyDescent="0.25">
      <c r="A3" s="6">
        <v>-2040.7800000000007</v>
      </c>
      <c r="B3">
        <v>2</v>
      </c>
      <c r="E3" s="26" t="s">
        <v>31</v>
      </c>
      <c r="F3" s="24">
        <f>A976</f>
        <v>4700.9399999999996</v>
      </c>
    </row>
    <row r="4" spans="1:6" x14ac:dyDescent="0.25">
      <c r="A4" s="6">
        <v>-1910.9599999999991</v>
      </c>
      <c r="B4">
        <v>3</v>
      </c>
    </row>
    <row r="5" spans="1:6" x14ac:dyDescent="0.25">
      <c r="A5" s="6">
        <v>-1690.3600000000006</v>
      </c>
      <c r="B5">
        <v>4</v>
      </c>
    </row>
    <row r="6" spans="1:6" x14ac:dyDescent="0.25">
      <c r="A6" s="6">
        <v>-1128.67</v>
      </c>
      <c r="B6">
        <v>5</v>
      </c>
    </row>
    <row r="7" spans="1:6" x14ac:dyDescent="0.25">
      <c r="A7" s="6">
        <v>-1045.0200000000004</v>
      </c>
      <c r="B7">
        <v>6</v>
      </c>
    </row>
    <row r="8" spans="1:6" x14ac:dyDescent="0.25">
      <c r="A8" s="6">
        <v>-792</v>
      </c>
      <c r="B8">
        <v>7</v>
      </c>
    </row>
    <row r="9" spans="1:6" x14ac:dyDescent="0.25">
      <c r="A9" s="6">
        <v>-758.85999999999876</v>
      </c>
      <c r="B9">
        <v>8</v>
      </c>
    </row>
    <row r="10" spans="1:6" x14ac:dyDescent="0.25">
      <c r="A10" s="6">
        <v>-713.96000000000095</v>
      </c>
      <c r="B10">
        <v>9</v>
      </c>
    </row>
    <row r="11" spans="1:6" x14ac:dyDescent="0.25">
      <c r="A11" s="6">
        <v>-702.80999999999949</v>
      </c>
      <c r="B11">
        <v>10</v>
      </c>
    </row>
    <row r="12" spans="1:6" x14ac:dyDescent="0.25">
      <c r="A12" s="6">
        <v>-636.60000000000036</v>
      </c>
      <c r="B12">
        <v>11</v>
      </c>
    </row>
    <row r="13" spans="1:6" x14ac:dyDescent="0.25">
      <c r="A13" s="6">
        <v>-536.6299999999992</v>
      </c>
      <c r="B13">
        <v>12</v>
      </c>
    </row>
    <row r="14" spans="1:6" x14ac:dyDescent="0.25">
      <c r="A14" s="6">
        <v>-530.42000000000007</v>
      </c>
      <c r="B14">
        <v>13</v>
      </c>
    </row>
    <row r="15" spans="1:6" x14ac:dyDescent="0.25">
      <c r="A15" s="6">
        <v>-448.72000000000116</v>
      </c>
      <c r="B15">
        <v>14</v>
      </c>
    </row>
    <row r="16" spans="1:6" x14ac:dyDescent="0.25">
      <c r="A16" s="6">
        <v>-418.81999999999971</v>
      </c>
      <c r="B16">
        <v>15</v>
      </c>
    </row>
    <row r="17" spans="1:2" x14ac:dyDescent="0.25">
      <c r="A17" s="6">
        <v>-402.69000000000051</v>
      </c>
      <c r="B17">
        <v>16</v>
      </c>
    </row>
    <row r="18" spans="1:2" x14ac:dyDescent="0.25">
      <c r="A18" s="6">
        <v>-285.94000000000051</v>
      </c>
      <c r="B18">
        <v>17</v>
      </c>
    </row>
    <row r="19" spans="1:2" x14ac:dyDescent="0.25">
      <c r="A19" s="6">
        <v>-137.04999999999927</v>
      </c>
      <c r="B19">
        <v>18</v>
      </c>
    </row>
    <row r="20" spans="1:2" x14ac:dyDescent="0.25">
      <c r="A20" s="6">
        <v>-134.29999999999927</v>
      </c>
      <c r="B20">
        <v>19</v>
      </c>
    </row>
    <row r="21" spans="1:2" x14ac:dyDescent="0.25">
      <c r="A21" s="6">
        <v>-113.75</v>
      </c>
      <c r="B21">
        <v>20</v>
      </c>
    </row>
    <row r="22" spans="1:2" x14ac:dyDescent="0.25">
      <c r="A22" s="6">
        <v>-94.469999999999345</v>
      </c>
      <c r="B22">
        <v>21</v>
      </c>
    </row>
    <row r="23" spans="1:2" x14ac:dyDescent="0.25">
      <c r="A23" s="6">
        <v>-77.889999999999418</v>
      </c>
      <c r="B23">
        <v>22</v>
      </c>
    </row>
    <row r="24" spans="1:2" x14ac:dyDescent="0.25">
      <c r="A24" s="6">
        <v>-75.040000000000873</v>
      </c>
      <c r="B24">
        <v>23</v>
      </c>
    </row>
    <row r="25" spans="1:2" x14ac:dyDescent="0.25">
      <c r="A25" s="6">
        <v>-64.579999999999927</v>
      </c>
      <c r="B25">
        <v>24</v>
      </c>
    </row>
    <row r="26" spans="1:2" x14ac:dyDescent="0.25">
      <c r="A26" s="6">
        <v>-51.700000000000728</v>
      </c>
      <c r="B26">
        <v>25</v>
      </c>
    </row>
    <row r="27" spans="1:2" x14ac:dyDescent="0.25">
      <c r="A27" s="6">
        <v>78.390000000001237</v>
      </c>
      <c r="B27" s="29">
        <v>26</v>
      </c>
    </row>
    <row r="28" spans="1:2" x14ac:dyDescent="0.25">
      <c r="A28" s="6">
        <v>119.1299999999992</v>
      </c>
      <c r="B28">
        <v>27</v>
      </c>
    </row>
    <row r="29" spans="1:2" x14ac:dyDescent="0.25">
      <c r="A29" s="6">
        <v>147.26000000000022</v>
      </c>
      <c r="B29">
        <v>28</v>
      </c>
    </row>
    <row r="30" spans="1:2" x14ac:dyDescent="0.25">
      <c r="A30" s="6">
        <v>155.36000000000058</v>
      </c>
      <c r="B30">
        <v>29</v>
      </c>
    </row>
    <row r="31" spans="1:2" x14ac:dyDescent="0.25">
      <c r="A31" s="6">
        <v>182.70000000000073</v>
      </c>
      <c r="B31">
        <v>30</v>
      </c>
    </row>
    <row r="32" spans="1:2" x14ac:dyDescent="0.25">
      <c r="A32" s="6">
        <v>195.02999999999884</v>
      </c>
      <c r="B32">
        <v>31</v>
      </c>
    </row>
    <row r="33" spans="1:2" x14ac:dyDescent="0.25">
      <c r="A33" s="6">
        <v>198.30000000000109</v>
      </c>
      <c r="B33">
        <v>32</v>
      </c>
    </row>
    <row r="34" spans="1:2" x14ac:dyDescent="0.25">
      <c r="A34" s="6">
        <v>212.20000000000073</v>
      </c>
      <c r="B34">
        <v>33</v>
      </c>
    </row>
    <row r="35" spans="1:2" x14ac:dyDescent="0.25">
      <c r="A35" s="6">
        <v>254.47999999999956</v>
      </c>
      <c r="B35">
        <v>34</v>
      </c>
    </row>
    <row r="36" spans="1:2" x14ac:dyDescent="0.25">
      <c r="A36" s="6">
        <v>270.8799999999992</v>
      </c>
      <c r="B36">
        <v>35</v>
      </c>
    </row>
    <row r="37" spans="1:2" x14ac:dyDescent="0.25">
      <c r="A37" s="6">
        <v>323.73000000000138</v>
      </c>
      <c r="B37">
        <v>36</v>
      </c>
    </row>
    <row r="38" spans="1:2" x14ac:dyDescent="0.25">
      <c r="A38" s="6">
        <v>326.36000000000058</v>
      </c>
      <c r="B38">
        <v>37</v>
      </c>
    </row>
    <row r="39" spans="1:2" x14ac:dyDescent="0.25">
      <c r="A39" s="6">
        <v>329.93000000000029</v>
      </c>
      <c r="B39">
        <v>38</v>
      </c>
    </row>
    <row r="40" spans="1:2" x14ac:dyDescent="0.25">
      <c r="A40" s="6">
        <v>339.36000000000058</v>
      </c>
      <c r="B40">
        <v>39</v>
      </c>
    </row>
    <row r="41" spans="1:2" x14ac:dyDescent="0.25">
      <c r="A41" s="6">
        <v>341.27999999999884</v>
      </c>
      <c r="B41">
        <v>40</v>
      </c>
    </row>
    <row r="42" spans="1:2" x14ac:dyDescent="0.25">
      <c r="A42" s="6">
        <v>352.10000000000036</v>
      </c>
      <c r="B42">
        <v>41</v>
      </c>
    </row>
    <row r="43" spans="1:2" x14ac:dyDescent="0.25">
      <c r="A43" s="6">
        <v>364.26999999999862</v>
      </c>
      <c r="B43">
        <v>42</v>
      </c>
    </row>
    <row r="44" spans="1:2" x14ac:dyDescent="0.25">
      <c r="A44" s="6">
        <v>366.56999999999971</v>
      </c>
      <c r="B44">
        <v>43</v>
      </c>
    </row>
    <row r="45" spans="1:2" x14ac:dyDescent="0.25">
      <c r="A45" s="6">
        <v>370.64000000000124</v>
      </c>
      <c r="B45">
        <v>44</v>
      </c>
    </row>
    <row r="46" spans="1:2" x14ac:dyDescent="0.25">
      <c r="A46" s="6">
        <v>370.65999999999985</v>
      </c>
      <c r="B46">
        <v>45</v>
      </c>
    </row>
    <row r="47" spans="1:2" x14ac:dyDescent="0.25">
      <c r="A47" s="6">
        <v>380.27000000000044</v>
      </c>
      <c r="B47">
        <v>46</v>
      </c>
    </row>
    <row r="48" spans="1:2" x14ac:dyDescent="0.25">
      <c r="A48" s="6">
        <v>398.70999999999913</v>
      </c>
      <c r="B48">
        <v>47</v>
      </c>
    </row>
    <row r="49" spans="1:2" x14ac:dyDescent="0.25">
      <c r="A49" s="6">
        <v>408.78000000000065</v>
      </c>
      <c r="B49">
        <v>48</v>
      </c>
    </row>
    <row r="50" spans="1:2" x14ac:dyDescent="0.25">
      <c r="A50" s="6">
        <v>412.96999999999935</v>
      </c>
      <c r="B50">
        <v>49</v>
      </c>
    </row>
    <row r="51" spans="1:2" x14ac:dyDescent="0.25">
      <c r="A51" s="6">
        <v>436.70000000000073</v>
      </c>
      <c r="B51">
        <v>50</v>
      </c>
    </row>
    <row r="52" spans="1:2" x14ac:dyDescent="0.25">
      <c r="A52" s="6">
        <v>436.72999999999956</v>
      </c>
      <c r="B52">
        <v>51</v>
      </c>
    </row>
    <row r="53" spans="1:2" x14ac:dyDescent="0.25">
      <c r="A53" s="6">
        <v>451.34000000000015</v>
      </c>
      <c r="B53">
        <v>52</v>
      </c>
    </row>
    <row r="54" spans="1:2" x14ac:dyDescent="0.25">
      <c r="A54" s="6">
        <v>457.57999999999993</v>
      </c>
      <c r="B54">
        <v>53</v>
      </c>
    </row>
    <row r="55" spans="1:2" x14ac:dyDescent="0.25">
      <c r="A55" s="6">
        <v>461.04999999999927</v>
      </c>
      <c r="B55">
        <v>54</v>
      </c>
    </row>
    <row r="56" spans="1:2" x14ac:dyDescent="0.25">
      <c r="A56" s="6">
        <v>473.45000000000073</v>
      </c>
      <c r="B56">
        <v>55</v>
      </c>
    </row>
    <row r="57" spans="1:2" x14ac:dyDescent="0.25">
      <c r="A57" s="6">
        <v>485.76000000000022</v>
      </c>
      <c r="B57">
        <v>56</v>
      </c>
    </row>
    <row r="58" spans="1:2" x14ac:dyDescent="0.25">
      <c r="A58" s="6">
        <v>499.98999999999978</v>
      </c>
      <c r="B58">
        <v>57</v>
      </c>
    </row>
    <row r="59" spans="1:2" x14ac:dyDescent="0.25">
      <c r="A59" s="6">
        <v>510.35000000000036</v>
      </c>
      <c r="B59">
        <v>58</v>
      </c>
    </row>
    <row r="60" spans="1:2" x14ac:dyDescent="0.25">
      <c r="A60" s="6">
        <v>514.56000000000131</v>
      </c>
      <c r="B60">
        <v>59</v>
      </c>
    </row>
    <row r="61" spans="1:2" x14ac:dyDescent="0.25">
      <c r="A61" s="6">
        <v>540.60000000000036</v>
      </c>
      <c r="B61">
        <v>60</v>
      </c>
    </row>
    <row r="62" spans="1:2" x14ac:dyDescent="0.25">
      <c r="A62" s="6">
        <v>540.72999999999956</v>
      </c>
      <c r="B62">
        <v>61</v>
      </c>
    </row>
    <row r="63" spans="1:2" x14ac:dyDescent="0.25">
      <c r="A63" s="6">
        <v>548.01999999999862</v>
      </c>
      <c r="B63">
        <v>62</v>
      </c>
    </row>
    <row r="64" spans="1:2" x14ac:dyDescent="0.25">
      <c r="A64" s="6">
        <v>548.89999999999964</v>
      </c>
      <c r="B64">
        <v>63</v>
      </c>
    </row>
    <row r="65" spans="1:2" x14ac:dyDescent="0.25">
      <c r="A65" s="6">
        <v>553.23999999999978</v>
      </c>
      <c r="B65">
        <v>64</v>
      </c>
    </row>
    <row r="66" spans="1:2" x14ac:dyDescent="0.25">
      <c r="A66" s="6">
        <v>563.44000000000051</v>
      </c>
      <c r="B66">
        <v>65</v>
      </c>
    </row>
    <row r="67" spans="1:2" x14ac:dyDescent="0.25">
      <c r="A67" s="6">
        <v>580.34000000000015</v>
      </c>
      <c r="B67">
        <v>66</v>
      </c>
    </row>
    <row r="68" spans="1:2" x14ac:dyDescent="0.25">
      <c r="A68" s="6">
        <v>613.55999999999949</v>
      </c>
      <c r="B68">
        <v>67</v>
      </c>
    </row>
    <row r="69" spans="1:2" x14ac:dyDescent="0.25">
      <c r="A69" s="6">
        <v>629.28000000000065</v>
      </c>
      <c r="B69">
        <v>68</v>
      </c>
    </row>
    <row r="70" spans="1:2" x14ac:dyDescent="0.25">
      <c r="A70" s="6">
        <v>645.38999999999942</v>
      </c>
      <c r="B70">
        <v>69</v>
      </c>
    </row>
    <row r="71" spans="1:2" x14ac:dyDescent="0.25">
      <c r="A71" s="6">
        <v>660.39999999999964</v>
      </c>
      <c r="B71">
        <v>70</v>
      </c>
    </row>
    <row r="72" spans="1:2" x14ac:dyDescent="0.25">
      <c r="A72" s="6">
        <v>697</v>
      </c>
      <c r="B72">
        <v>71</v>
      </c>
    </row>
    <row r="73" spans="1:2" x14ac:dyDescent="0.25">
      <c r="A73" s="6">
        <v>703.18999999999869</v>
      </c>
      <c r="B73">
        <v>72</v>
      </c>
    </row>
    <row r="74" spans="1:2" x14ac:dyDescent="0.25">
      <c r="A74" s="6">
        <v>723.3700000000008</v>
      </c>
      <c r="B74">
        <v>73</v>
      </c>
    </row>
    <row r="75" spans="1:2" x14ac:dyDescent="0.25">
      <c r="A75" s="6">
        <v>736.05000000000109</v>
      </c>
      <c r="B75">
        <v>74</v>
      </c>
    </row>
    <row r="76" spans="1:2" x14ac:dyDescent="0.25">
      <c r="A76" s="6">
        <v>739.13999999999942</v>
      </c>
      <c r="B76">
        <v>75</v>
      </c>
    </row>
    <row r="77" spans="1:2" x14ac:dyDescent="0.25">
      <c r="A77" s="6">
        <v>756.13999999999942</v>
      </c>
      <c r="B77">
        <v>76</v>
      </c>
    </row>
    <row r="78" spans="1:2" x14ac:dyDescent="0.25">
      <c r="A78" s="6">
        <v>780.76000000000022</v>
      </c>
      <c r="B78">
        <v>77</v>
      </c>
    </row>
    <row r="79" spans="1:2" x14ac:dyDescent="0.25">
      <c r="A79" s="6">
        <v>796.46000000000095</v>
      </c>
      <c r="B79">
        <v>78</v>
      </c>
    </row>
    <row r="80" spans="1:2" x14ac:dyDescent="0.25">
      <c r="A80" s="6">
        <v>814.78000000000065</v>
      </c>
      <c r="B80">
        <v>79</v>
      </c>
    </row>
    <row r="81" spans="1:2" x14ac:dyDescent="0.25">
      <c r="A81" s="6">
        <v>865.88999999999942</v>
      </c>
      <c r="B81">
        <v>80</v>
      </c>
    </row>
    <row r="82" spans="1:2" x14ac:dyDescent="0.25">
      <c r="A82" s="6">
        <v>867.06999999999971</v>
      </c>
      <c r="B82">
        <v>81</v>
      </c>
    </row>
    <row r="83" spans="1:2" x14ac:dyDescent="0.25">
      <c r="A83" s="6">
        <v>873.14999999999964</v>
      </c>
      <c r="B83">
        <v>82</v>
      </c>
    </row>
    <row r="84" spans="1:2" x14ac:dyDescent="0.25">
      <c r="A84" s="6">
        <v>873.44000000000051</v>
      </c>
      <c r="B84">
        <v>83</v>
      </c>
    </row>
    <row r="85" spans="1:2" x14ac:dyDescent="0.25">
      <c r="A85" s="6">
        <v>876.25</v>
      </c>
      <c r="B85">
        <v>84</v>
      </c>
    </row>
    <row r="86" spans="1:2" x14ac:dyDescent="0.25">
      <c r="A86" s="6">
        <v>893.56000000000131</v>
      </c>
      <c r="B86">
        <v>85</v>
      </c>
    </row>
    <row r="87" spans="1:2" x14ac:dyDescent="0.25">
      <c r="A87" s="6">
        <v>903.52000000000044</v>
      </c>
      <c r="B87">
        <v>86</v>
      </c>
    </row>
    <row r="88" spans="1:2" x14ac:dyDescent="0.25">
      <c r="A88" s="6">
        <v>908.13999999999942</v>
      </c>
      <c r="B88">
        <v>87</v>
      </c>
    </row>
    <row r="89" spans="1:2" x14ac:dyDescent="0.25">
      <c r="A89" s="6">
        <v>916.48000000000138</v>
      </c>
      <c r="B89">
        <v>88</v>
      </c>
    </row>
    <row r="90" spans="1:2" x14ac:dyDescent="0.25">
      <c r="A90" s="6">
        <v>949.03000000000065</v>
      </c>
      <c r="B90">
        <v>89</v>
      </c>
    </row>
    <row r="91" spans="1:2" x14ac:dyDescent="0.25">
      <c r="A91" s="6">
        <v>959.15999999999985</v>
      </c>
      <c r="B91">
        <v>90</v>
      </c>
    </row>
    <row r="92" spans="1:2" x14ac:dyDescent="0.25">
      <c r="A92" s="6">
        <v>961.31999999999971</v>
      </c>
      <c r="B92">
        <v>91</v>
      </c>
    </row>
    <row r="93" spans="1:2" x14ac:dyDescent="0.25">
      <c r="A93" s="6">
        <v>964.36000000000058</v>
      </c>
      <c r="B93">
        <v>92</v>
      </c>
    </row>
    <row r="94" spans="1:2" x14ac:dyDescent="0.25">
      <c r="A94" s="6">
        <v>970.73999999999978</v>
      </c>
      <c r="B94">
        <v>93</v>
      </c>
    </row>
    <row r="95" spans="1:2" x14ac:dyDescent="0.25">
      <c r="A95" s="6">
        <v>972.01000000000022</v>
      </c>
      <c r="B95">
        <v>94</v>
      </c>
    </row>
    <row r="96" spans="1:2" x14ac:dyDescent="0.25">
      <c r="A96" s="6">
        <v>974.96000000000095</v>
      </c>
      <c r="B96">
        <v>95</v>
      </c>
    </row>
    <row r="97" spans="1:2" x14ac:dyDescent="0.25">
      <c r="A97" s="6">
        <v>976.35000000000036</v>
      </c>
      <c r="B97">
        <v>96</v>
      </c>
    </row>
    <row r="98" spans="1:2" x14ac:dyDescent="0.25">
      <c r="A98" s="6">
        <v>979.45000000000073</v>
      </c>
      <c r="B98">
        <v>97</v>
      </c>
    </row>
    <row r="99" spans="1:2" x14ac:dyDescent="0.25">
      <c r="A99" s="6">
        <v>981.13000000000011</v>
      </c>
      <c r="B99">
        <v>98</v>
      </c>
    </row>
    <row r="100" spans="1:2" x14ac:dyDescent="0.25">
      <c r="A100" s="6">
        <v>981.38000000000102</v>
      </c>
      <c r="B100">
        <v>99</v>
      </c>
    </row>
    <row r="101" spans="1:2" x14ac:dyDescent="0.25">
      <c r="A101" s="6">
        <v>984.04999999999927</v>
      </c>
      <c r="B101">
        <v>100</v>
      </c>
    </row>
    <row r="102" spans="1:2" x14ac:dyDescent="0.25">
      <c r="A102" s="6">
        <v>986.19000000000051</v>
      </c>
      <c r="B102">
        <v>101</v>
      </c>
    </row>
    <row r="103" spans="1:2" x14ac:dyDescent="0.25">
      <c r="A103" s="6">
        <v>1011.630000000001</v>
      </c>
      <c r="B103">
        <v>102</v>
      </c>
    </row>
    <row r="104" spans="1:2" x14ac:dyDescent="0.25">
      <c r="A104" s="6">
        <v>1058.9099999999999</v>
      </c>
      <c r="B104">
        <v>103</v>
      </c>
    </row>
    <row r="105" spans="1:2" x14ac:dyDescent="0.25">
      <c r="A105" s="6">
        <v>1059.7700000000004</v>
      </c>
      <c r="B105">
        <v>104</v>
      </c>
    </row>
    <row r="106" spans="1:2" x14ac:dyDescent="0.25">
      <c r="A106" s="6">
        <v>1071.9299999999985</v>
      </c>
      <c r="B106">
        <v>105</v>
      </c>
    </row>
    <row r="107" spans="1:2" x14ac:dyDescent="0.25">
      <c r="A107" s="6">
        <v>1072.1899999999996</v>
      </c>
      <c r="B107">
        <v>106</v>
      </c>
    </row>
    <row r="108" spans="1:2" x14ac:dyDescent="0.25">
      <c r="A108" s="6">
        <v>1088.5200000000004</v>
      </c>
      <c r="B108">
        <v>107</v>
      </c>
    </row>
    <row r="109" spans="1:2" x14ac:dyDescent="0.25">
      <c r="A109" s="6">
        <v>1114.17</v>
      </c>
      <c r="B109">
        <v>108</v>
      </c>
    </row>
    <row r="110" spans="1:2" x14ac:dyDescent="0.25">
      <c r="A110" s="6">
        <v>1120.9500000000007</v>
      </c>
      <c r="B110">
        <v>109</v>
      </c>
    </row>
    <row r="111" spans="1:2" x14ac:dyDescent="0.25">
      <c r="A111" s="6">
        <v>1144.3399999999992</v>
      </c>
      <c r="B111">
        <v>110</v>
      </c>
    </row>
    <row r="112" spans="1:2" x14ac:dyDescent="0.25">
      <c r="A112" s="6">
        <v>1159.5900000000001</v>
      </c>
      <c r="B112">
        <v>111</v>
      </c>
    </row>
    <row r="113" spans="1:2" x14ac:dyDescent="0.25">
      <c r="A113" s="6">
        <v>1181.0500000000002</v>
      </c>
      <c r="B113">
        <v>112</v>
      </c>
    </row>
    <row r="114" spans="1:2" x14ac:dyDescent="0.25">
      <c r="A114" s="6">
        <v>1184.7199999999993</v>
      </c>
      <c r="B114">
        <v>113</v>
      </c>
    </row>
    <row r="115" spans="1:2" x14ac:dyDescent="0.25">
      <c r="A115" s="6">
        <v>1184.8800000000001</v>
      </c>
      <c r="B115">
        <v>114</v>
      </c>
    </row>
    <row r="116" spans="1:2" x14ac:dyDescent="0.25">
      <c r="A116" s="6">
        <v>1188.880000000001</v>
      </c>
      <c r="B116">
        <v>115</v>
      </c>
    </row>
    <row r="117" spans="1:2" x14ac:dyDescent="0.25">
      <c r="A117" s="6">
        <v>1189.0900000000001</v>
      </c>
      <c r="B117">
        <v>116</v>
      </c>
    </row>
    <row r="118" spans="1:2" x14ac:dyDescent="0.25">
      <c r="A118" s="6">
        <v>1189.8899999999994</v>
      </c>
      <c r="B118">
        <v>117</v>
      </c>
    </row>
    <row r="119" spans="1:2" x14ac:dyDescent="0.25">
      <c r="A119" s="6">
        <v>1191.5900000000001</v>
      </c>
      <c r="B119">
        <v>118</v>
      </c>
    </row>
    <row r="120" spans="1:2" x14ac:dyDescent="0.25">
      <c r="A120" s="6">
        <v>1192.5100000000002</v>
      </c>
      <c r="B120">
        <v>119</v>
      </c>
    </row>
    <row r="121" spans="1:2" x14ac:dyDescent="0.25">
      <c r="A121" s="6">
        <v>1197.6800000000003</v>
      </c>
      <c r="B121">
        <v>120</v>
      </c>
    </row>
    <row r="122" spans="1:2" x14ac:dyDescent="0.25">
      <c r="A122" s="6">
        <v>1198.8999999999996</v>
      </c>
      <c r="B122">
        <v>121</v>
      </c>
    </row>
    <row r="123" spans="1:2" x14ac:dyDescent="0.25">
      <c r="A123" s="6">
        <v>1199</v>
      </c>
      <c r="B123">
        <v>122</v>
      </c>
    </row>
    <row r="124" spans="1:2" x14ac:dyDescent="0.25">
      <c r="A124" s="6">
        <v>1199.0599999999995</v>
      </c>
      <c r="B124">
        <v>123</v>
      </c>
    </row>
    <row r="125" spans="1:2" x14ac:dyDescent="0.25">
      <c r="A125" s="6">
        <v>1215.9900000000007</v>
      </c>
      <c r="B125">
        <v>124</v>
      </c>
    </row>
    <row r="126" spans="1:2" x14ac:dyDescent="0.25">
      <c r="A126" s="6">
        <v>1233.2399999999998</v>
      </c>
      <c r="B126">
        <v>125</v>
      </c>
    </row>
    <row r="127" spans="1:2" x14ac:dyDescent="0.25">
      <c r="A127" s="6">
        <v>1251.420000000001</v>
      </c>
      <c r="B127">
        <v>126</v>
      </c>
    </row>
    <row r="128" spans="1:2" x14ac:dyDescent="0.25">
      <c r="A128" s="6">
        <v>1259.0399999999991</v>
      </c>
      <c r="B128">
        <v>127</v>
      </c>
    </row>
    <row r="129" spans="1:2" x14ac:dyDescent="0.25">
      <c r="A129" s="6">
        <v>1271.6599999999999</v>
      </c>
      <c r="B129">
        <v>128</v>
      </c>
    </row>
    <row r="130" spans="1:2" x14ac:dyDescent="0.25">
      <c r="A130" s="6">
        <v>1278.4499999999998</v>
      </c>
      <c r="B130">
        <v>129</v>
      </c>
    </row>
    <row r="131" spans="1:2" x14ac:dyDescent="0.25">
      <c r="A131" s="6">
        <v>1287.9499999999989</v>
      </c>
      <c r="B131">
        <v>130</v>
      </c>
    </row>
    <row r="132" spans="1:2" x14ac:dyDescent="0.25">
      <c r="A132" s="6">
        <v>1288.6599999999999</v>
      </c>
      <c r="B132">
        <v>131</v>
      </c>
    </row>
    <row r="133" spans="1:2" x14ac:dyDescent="0.25">
      <c r="A133" s="6">
        <v>1289.119999999999</v>
      </c>
      <c r="B133">
        <v>132</v>
      </c>
    </row>
    <row r="134" spans="1:2" x14ac:dyDescent="0.25">
      <c r="A134" s="6">
        <v>1290.0100000000002</v>
      </c>
      <c r="B134">
        <v>133</v>
      </c>
    </row>
    <row r="135" spans="1:2" x14ac:dyDescent="0.25">
      <c r="A135" s="6">
        <v>1303.2900000000009</v>
      </c>
      <c r="B135">
        <v>134</v>
      </c>
    </row>
    <row r="136" spans="1:2" x14ac:dyDescent="0.25">
      <c r="A136" s="6">
        <v>1312.6900000000005</v>
      </c>
      <c r="B136">
        <v>135</v>
      </c>
    </row>
    <row r="137" spans="1:2" x14ac:dyDescent="0.25">
      <c r="A137" s="6">
        <v>1313.71</v>
      </c>
      <c r="B137">
        <v>136</v>
      </c>
    </row>
    <row r="138" spans="1:2" x14ac:dyDescent="0.25">
      <c r="A138" s="6">
        <v>1316.5499999999993</v>
      </c>
      <c r="B138">
        <v>137</v>
      </c>
    </row>
    <row r="139" spans="1:2" x14ac:dyDescent="0.25">
      <c r="A139" s="6">
        <v>1320.3700000000008</v>
      </c>
      <c r="B139">
        <v>138</v>
      </c>
    </row>
    <row r="140" spans="1:2" x14ac:dyDescent="0.25">
      <c r="A140" s="6">
        <v>1333.1800000000003</v>
      </c>
      <c r="B140">
        <v>139</v>
      </c>
    </row>
    <row r="141" spans="1:2" x14ac:dyDescent="0.25">
      <c r="A141" s="6">
        <v>1333.8600000000006</v>
      </c>
      <c r="B141">
        <v>140</v>
      </c>
    </row>
    <row r="142" spans="1:2" x14ac:dyDescent="0.25">
      <c r="A142" s="6">
        <v>1341.92</v>
      </c>
      <c r="B142">
        <v>141</v>
      </c>
    </row>
    <row r="143" spans="1:2" x14ac:dyDescent="0.25">
      <c r="A143" s="6">
        <v>1342.170000000001</v>
      </c>
      <c r="B143">
        <v>142</v>
      </c>
    </row>
    <row r="144" spans="1:2" x14ac:dyDescent="0.25">
      <c r="A144" s="6">
        <v>1342.7200000000012</v>
      </c>
      <c r="B144">
        <v>143</v>
      </c>
    </row>
    <row r="145" spans="1:2" x14ac:dyDescent="0.25">
      <c r="A145" s="6">
        <v>1344.4699999999993</v>
      </c>
      <c r="B145">
        <v>144</v>
      </c>
    </row>
    <row r="146" spans="1:2" x14ac:dyDescent="0.25">
      <c r="A146" s="6">
        <v>1349.4799999999996</v>
      </c>
      <c r="B146">
        <v>145</v>
      </c>
    </row>
    <row r="147" spans="1:2" x14ac:dyDescent="0.25">
      <c r="A147" s="6">
        <v>1351.1400000000003</v>
      </c>
      <c r="B147">
        <v>146</v>
      </c>
    </row>
    <row r="148" spans="1:2" x14ac:dyDescent="0.25">
      <c r="A148" s="6">
        <v>1351.17</v>
      </c>
      <c r="B148">
        <v>147</v>
      </c>
    </row>
    <row r="149" spans="1:2" x14ac:dyDescent="0.25">
      <c r="A149" s="6">
        <v>1365.0700000000006</v>
      </c>
      <c r="B149">
        <v>148</v>
      </c>
    </row>
    <row r="150" spans="1:2" x14ac:dyDescent="0.25">
      <c r="A150" s="6">
        <v>1367.3600000000006</v>
      </c>
      <c r="B150">
        <v>149</v>
      </c>
    </row>
    <row r="151" spans="1:2" x14ac:dyDescent="0.25">
      <c r="A151" s="6">
        <v>1373.4599999999991</v>
      </c>
      <c r="B151">
        <v>150</v>
      </c>
    </row>
    <row r="152" spans="1:2" x14ac:dyDescent="0.25">
      <c r="A152" s="6">
        <v>1378.4899999999998</v>
      </c>
      <c r="B152">
        <v>151</v>
      </c>
    </row>
    <row r="153" spans="1:2" x14ac:dyDescent="0.25">
      <c r="A153" s="6">
        <v>1385.17</v>
      </c>
      <c r="B153">
        <v>152</v>
      </c>
    </row>
    <row r="154" spans="1:2" x14ac:dyDescent="0.25">
      <c r="A154" s="6">
        <v>1385.8200000000015</v>
      </c>
      <c r="B154">
        <v>153</v>
      </c>
    </row>
    <row r="155" spans="1:2" x14ac:dyDescent="0.25">
      <c r="A155" s="6">
        <v>1400.5900000000001</v>
      </c>
      <c r="B155">
        <v>154</v>
      </c>
    </row>
    <row r="156" spans="1:2" x14ac:dyDescent="0.25">
      <c r="A156" s="6">
        <v>1425.25</v>
      </c>
      <c r="B156">
        <v>155</v>
      </c>
    </row>
    <row r="157" spans="1:2" x14ac:dyDescent="0.25">
      <c r="A157" s="6">
        <v>1435.7899999999991</v>
      </c>
      <c r="B157">
        <v>156</v>
      </c>
    </row>
    <row r="158" spans="1:2" x14ac:dyDescent="0.25">
      <c r="A158" s="6">
        <v>1437.9399999999996</v>
      </c>
      <c r="B158">
        <v>157</v>
      </c>
    </row>
    <row r="159" spans="1:2" x14ac:dyDescent="0.25">
      <c r="A159" s="6">
        <v>1461.1800000000003</v>
      </c>
      <c r="B159">
        <v>158</v>
      </c>
    </row>
    <row r="160" spans="1:2" x14ac:dyDescent="0.25">
      <c r="A160" s="6">
        <v>1463.9099999999999</v>
      </c>
      <c r="B160">
        <v>159</v>
      </c>
    </row>
    <row r="161" spans="1:2" x14ac:dyDescent="0.25">
      <c r="A161" s="6">
        <v>1474.869999999999</v>
      </c>
      <c r="B161">
        <v>160</v>
      </c>
    </row>
    <row r="162" spans="1:2" x14ac:dyDescent="0.25">
      <c r="A162" s="6">
        <v>1484.9799999999996</v>
      </c>
      <c r="B162">
        <v>161</v>
      </c>
    </row>
    <row r="163" spans="1:2" x14ac:dyDescent="0.25">
      <c r="A163" s="6">
        <v>1500.17</v>
      </c>
      <c r="B163">
        <v>162</v>
      </c>
    </row>
    <row r="164" spans="1:2" x14ac:dyDescent="0.25">
      <c r="A164" s="6">
        <v>1502.9499999999998</v>
      </c>
      <c r="B164">
        <v>163</v>
      </c>
    </row>
    <row r="165" spans="1:2" x14ac:dyDescent="0.25">
      <c r="A165" s="6">
        <v>1508.7000000000007</v>
      </c>
      <c r="B165">
        <v>164</v>
      </c>
    </row>
    <row r="166" spans="1:2" x14ac:dyDescent="0.25">
      <c r="A166" s="6">
        <v>1513.7099999999991</v>
      </c>
      <c r="B166">
        <v>165</v>
      </c>
    </row>
    <row r="167" spans="1:2" x14ac:dyDescent="0.25">
      <c r="A167" s="6">
        <v>1514.1599999999999</v>
      </c>
      <c r="B167">
        <v>166</v>
      </c>
    </row>
    <row r="168" spans="1:2" x14ac:dyDescent="0.25">
      <c r="A168" s="6">
        <v>1521.54</v>
      </c>
      <c r="B168">
        <v>167</v>
      </c>
    </row>
    <row r="169" spans="1:2" x14ac:dyDescent="0.25">
      <c r="A169" s="6">
        <v>1530.6999999999998</v>
      </c>
      <c r="B169">
        <v>168</v>
      </c>
    </row>
    <row r="170" spans="1:2" x14ac:dyDescent="0.25">
      <c r="A170" s="6">
        <v>1533.619999999999</v>
      </c>
      <c r="B170">
        <v>169</v>
      </c>
    </row>
    <row r="171" spans="1:2" x14ac:dyDescent="0.25">
      <c r="A171" s="6">
        <v>1538.2800000000007</v>
      </c>
      <c r="B171">
        <v>170</v>
      </c>
    </row>
    <row r="172" spans="1:2" x14ac:dyDescent="0.25">
      <c r="A172" s="6">
        <v>1549.6000000000004</v>
      </c>
      <c r="B172">
        <v>171</v>
      </c>
    </row>
    <row r="173" spans="1:2" x14ac:dyDescent="0.25">
      <c r="A173" s="6">
        <v>1551.4600000000009</v>
      </c>
      <c r="B173">
        <v>172</v>
      </c>
    </row>
    <row r="174" spans="1:2" x14ac:dyDescent="0.25">
      <c r="A174" s="6">
        <v>1555.0299999999997</v>
      </c>
      <c r="B174">
        <v>173</v>
      </c>
    </row>
    <row r="175" spans="1:2" x14ac:dyDescent="0.25">
      <c r="A175" s="6">
        <v>1555.1999999999989</v>
      </c>
      <c r="B175">
        <v>174</v>
      </c>
    </row>
    <row r="176" spans="1:2" x14ac:dyDescent="0.25">
      <c r="A176" s="6">
        <v>1560.21</v>
      </c>
      <c r="B176">
        <v>175</v>
      </c>
    </row>
    <row r="177" spans="1:2" x14ac:dyDescent="0.25">
      <c r="A177" s="6">
        <v>1561.5700000000015</v>
      </c>
      <c r="B177">
        <v>176</v>
      </c>
    </row>
    <row r="178" spans="1:2" x14ac:dyDescent="0.25">
      <c r="A178" s="6">
        <v>1577.579999999999</v>
      </c>
      <c r="B178">
        <v>177</v>
      </c>
    </row>
    <row r="179" spans="1:2" x14ac:dyDescent="0.25">
      <c r="A179" s="6">
        <v>1583.6099999999988</v>
      </c>
      <c r="B179">
        <v>178</v>
      </c>
    </row>
    <row r="180" spans="1:2" x14ac:dyDescent="0.25">
      <c r="A180" s="6">
        <v>1586.8200000000015</v>
      </c>
      <c r="B180">
        <v>179</v>
      </c>
    </row>
    <row r="181" spans="1:2" x14ac:dyDescent="0.25">
      <c r="A181" s="6">
        <v>1589</v>
      </c>
      <c r="B181">
        <v>180</v>
      </c>
    </row>
    <row r="182" spans="1:2" x14ac:dyDescent="0.25">
      <c r="A182" s="6">
        <v>1590.9100000000008</v>
      </c>
      <c r="B182">
        <v>181</v>
      </c>
    </row>
    <row r="183" spans="1:2" x14ac:dyDescent="0.25">
      <c r="A183" s="6">
        <v>1592.2600000000002</v>
      </c>
      <c r="B183">
        <v>182</v>
      </c>
    </row>
    <row r="184" spans="1:2" x14ac:dyDescent="0.25">
      <c r="A184" s="6">
        <v>1592.8700000000008</v>
      </c>
      <c r="B184">
        <v>183</v>
      </c>
    </row>
    <row r="185" spans="1:2" x14ac:dyDescent="0.25">
      <c r="A185" s="6">
        <v>1597.17</v>
      </c>
      <c r="B185">
        <v>184</v>
      </c>
    </row>
    <row r="186" spans="1:2" x14ac:dyDescent="0.25">
      <c r="A186" s="6">
        <v>1598.3199999999997</v>
      </c>
      <c r="B186">
        <v>185</v>
      </c>
    </row>
    <row r="187" spans="1:2" x14ac:dyDescent="0.25">
      <c r="A187" s="6">
        <v>1599.7399999999998</v>
      </c>
      <c r="B187">
        <v>186</v>
      </c>
    </row>
    <row r="188" spans="1:2" x14ac:dyDescent="0.25">
      <c r="A188" s="6">
        <v>1602.7399999999998</v>
      </c>
      <c r="B188">
        <v>187</v>
      </c>
    </row>
    <row r="189" spans="1:2" x14ac:dyDescent="0.25">
      <c r="A189" s="6">
        <v>1609.2299999999996</v>
      </c>
      <c r="B189">
        <v>188</v>
      </c>
    </row>
    <row r="190" spans="1:2" x14ac:dyDescent="0.25">
      <c r="A190" s="6">
        <v>1610.0599999999995</v>
      </c>
      <c r="B190">
        <v>189</v>
      </c>
    </row>
    <row r="191" spans="1:2" x14ac:dyDescent="0.25">
      <c r="A191" s="6">
        <v>1612.9899999999998</v>
      </c>
      <c r="B191">
        <v>190</v>
      </c>
    </row>
    <row r="192" spans="1:2" x14ac:dyDescent="0.25">
      <c r="A192" s="6">
        <v>1629.92</v>
      </c>
      <c r="B192">
        <v>191</v>
      </c>
    </row>
    <row r="193" spans="1:2" x14ac:dyDescent="0.25">
      <c r="A193" s="6">
        <v>1633.4899999999989</v>
      </c>
      <c r="B193">
        <v>192</v>
      </c>
    </row>
    <row r="194" spans="1:2" x14ac:dyDescent="0.25">
      <c r="A194" s="6">
        <v>1636.7399999999998</v>
      </c>
      <c r="B194">
        <v>193</v>
      </c>
    </row>
    <row r="195" spans="1:2" x14ac:dyDescent="0.25">
      <c r="A195" s="6">
        <v>1640.92</v>
      </c>
      <c r="B195">
        <v>194</v>
      </c>
    </row>
    <row r="196" spans="1:2" x14ac:dyDescent="0.25">
      <c r="A196" s="6">
        <v>1646.4099999999999</v>
      </c>
      <c r="B196">
        <v>195</v>
      </c>
    </row>
    <row r="197" spans="1:2" x14ac:dyDescent="0.25">
      <c r="A197" s="6">
        <v>1656.7399999999998</v>
      </c>
      <c r="B197">
        <v>196</v>
      </c>
    </row>
    <row r="198" spans="1:2" x14ac:dyDescent="0.25">
      <c r="A198" s="6">
        <v>1657.420000000001</v>
      </c>
      <c r="B198">
        <v>197</v>
      </c>
    </row>
    <row r="199" spans="1:2" x14ac:dyDescent="0.25">
      <c r="A199" s="6">
        <v>1672.2699999999995</v>
      </c>
      <c r="B199">
        <v>198</v>
      </c>
    </row>
    <row r="200" spans="1:2" x14ac:dyDescent="0.25">
      <c r="A200" s="6">
        <v>1678.5400000000009</v>
      </c>
      <c r="B200">
        <v>199</v>
      </c>
    </row>
    <row r="201" spans="1:2" x14ac:dyDescent="0.25">
      <c r="A201" s="6">
        <v>1679.170000000001</v>
      </c>
      <c r="B201">
        <v>200</v>
      </c>
    </row>
    <row r="202" spans="1:2" x14ac:dyDescent="0.25">
      <c r="A202" s="6">
        <v>1681.6499999999996</v>
      </c>
      <c r="B202">
        <v>201</v>
      </c>
    </row>
    <row r="203" spans="1:2" x14ac:dyDescent="0.25">
      <c r="A203" s="6">
        <v>1704.7399999999998</v>
      </c>
      <c r="B203">
        <v>202</v>
      </c>
    </row>
    <row r="204" spans="1:2" x14ac:dyDescent="0.25">
      <c r="A204" s="6">
        <v>1710.0400000000009</v>
      </c>
      <c r="B204">
        <v>203</v>
      </c>
    </row>
    <row r="205" spans="1:2" x14ac:dyDescent="0.25">
      <c r="A205" s="6">
        <v>1713.8599999999988</v>
      </c>
      <c r="B205">
        <v>204</v>
      </c>
    </row>
    <row r="206" spans="1:2" x14ac:dyDescent="0.25">
      <c r="A206" s="6">
        <v>1718.2399999999998</v>
      </c>
      <c r="B206">
        <v>205</v>
      </c>
    </row>
    <row r="207" spans="1:2" x14ac:dyDescent="0.25">
      <c r="A207" s="6">
        <v>1723.2600000000002</v>
      </c>
      <c r="B207">
        <v>206</v>
      </c>
    </row>
    <row r="208" spans="1:2" x14ac:dyDescent="0.25">
      <c r="A208" s="6">
        <v>1727.9599999999991</v>
      </c>
      <c r="B208">
        <v>207</v>
      </c>
    </row>
    <row r="209" spans="1:2" x14ac:dyDescent="0.25">
      <c r="A209" s="6">
        <v>1737.130000000001</v>
      </c>
      <c r="B209">
        <v>208</v>
      </c>
    </row>
    <row r="210" spans="1:2" x14ac:dyDescent="0.25">
      <c r="A210" s="6">
        <v>1739.0100000000002</v>
      </c>
      <c r="B210">
        <v>209</v>
      </c>
    </row>
    <row r="211" spans="1:2" x14ac:dyDescent="0.25">
      <c r="A211" s="6">
        <v>1742.2799999999988</v>
      </c>
      <c r="B211">
        <v>210</v>
      </c>
    </row>
    <row r="212" spans="1:2" x14ac:dyDescent="0.25">
      <c r="A212" s="6">
        <v>1745.4300000000003</v>
      </c>
      <c r="B212">
        <v>211</v>
      </c>
    </row>
    <row r="213" spans="1:2" x14ac:dyDescent="0.25">
      <c r="A213" s="6">
        <v>1751.7700000000004</v>
      </c>
      <c r="B213">
        <v>212</v>
      </c>
    </row>
    <row r="214" spans="1:2" x14ac:dyDescent="0.25">
      <c r="A214" s="6">
        <v>1758.37</v>
      </c>
      <c r="B214">
        <v>213</v>
      </c>
    </row>
    <row r="215" spans="1:2" x14ac:dyDescent="0.25">
      <c r="A215" s="6">
        <v>1764.8199999999997</v>
      </c>
      <c r="B215">
        <v>214</v>
      </c>
    </row>
    <row r="216" spans="1:2" x14ac:dyDescent="0.25">
      <c r="A216" s="6">
        <v>1767.3199999999997</v>
      </c>
      <c r="B216">
        <v>215</v>
      </c>
    </row>
    <row r="217" spans="1:2" x14ac:dyDescent="0.25">
      <c r="A217" s="6">
        <v>1769.3999999999996</v>
      </c>
      <c r="B217">
        <v>216</v>
      </c>
    </row>
    <row r="218" spans="1:2" x14ac:dyDescent="0.25">
      <c r="A218" s="6">
        <v>1777.1599999999999</v>
      </c>
      <c r="B218">
        <v>217</v>
      </c>
    </row>
    <row r="219" spans="1:2" x14ac:dyDescent="0.25">
      <c r="A219" s="6">
        <v>1786.58</v>
      </c>
      <c r="B219">
        <v>218</v>
      </c>
    </row>
    <row r="220" spans="1:2" x14ac:dyDescent="0.25">
      <c r="A220" s="6">
        <v>1788.9600000000009</v>
      </c>
      <c r="B220">
        <v>219</v>
      </c>
    </row>
    <row r="221" spans="1:2" x14ac:dyDescent="0.25">
      <c r="A221" s="6">
        <v>1795.8199999999997</v>
      </c>
      <c r="B221">
        <v>220</v>
      </c>
    </row>
    <row r="222" spans="1:2" x14ac:dyDescent="0.25">
      <c r="A222" s="6">
        <v>1816.5699999999997</v>
      </c>
      <c r="B222">
        <v>221</v>
      </c>
    </row>
    <row r="223" spans="1:2" x14ac:dyDescent="0.25">
      <c r="A223" s="6">
        <v>1820.5199999999986</v>
      </c>
      <c r="B223">
        <v>222</v>
      </c>
    </row>
    <row r="224" spans="1:2" x14ac:dyDescent="0.25">
      <c r="A224" s="6">
        <v>1821.3999999999996</v>
      </c>
      <c r="B224">
        <v>223</v>
      </c>
    </row>
    <row r="225" spans="1:2" x14ac:dyDescent="0.25">
      <c r="A225" s="6">
        <v>1824.4799999999996</v>
      </c>
      <c r="B225">
        <v>224</v>
      </c>
    </row>
    <row r="226" spans="1:2" x14ac:dyDescent="0.25">
      <c r="A226" s="6">
        <v>1832.0600000000004</v>
      </c>
      <c r="B226">
        <v>225</v>
      </c>
    </row>
    <row r="227" spans="1:2" x14ac:dyDescent="0.25">
      <c r="A227" s="6">
        <v>1834.25</v>
      </c>
      <c r="B227">
        <v>226</v>
      </c>
    </row>
    <row r="228" spans="1:2" x14ac:dyDescent="0.25">
      <c r="A228" s="6">
        <v>1840.3099999999995</v>
      </c>
      <c r="B228">
        <v>227</v>
      </c>
    </row>
    <row r="229" spans="1:2" x14ac:dyDescent="0.25">
      <c r="A229" s="6">
        <v>1845.6299999999992</v>
      </c>
      <c r="B229">
        <v>228</v>
      </c>
    </row>
    <row r="230" spans="1:2" x14ac:dyDescent="0.25">
      <c r="A230" s="6">
        <v>1853.21</v>
      </c>
      <c r="B230">
        <v>229</v>
      </c>
    </row>
    <row r="231" spans="1:2" x14ac:dyDescent="0.25">
      <c r="A231" s="6">
        <v>1856.5</v>
      </c>
      <c r="B231">
        <v>230</v>
      </c>
    </row>
    <row r="232" spans="1:2" x14ac:dyDescent="0.25">
      <c r="A232" s="6">
        <v>1864.79</v>
      </c>
      <c r="B232">
        <v>231</v>
      </c>
    </row>
    <row r="233" spans="1:2" x14ac:dyDescent="0.25">
      <c r="A233" s="6">
        <v>1865.1799999999994</v>
      </c>
      <c r="B233">
        <v>232</v>
      </c>
    </row>
    <row r="234" spans="1:2" x14ac:dyDescent="0.25">
      <c r="A234" s="6">
        <v>1874.0300000000007</v>
      </c>
      <c r="B234">
        <v>233</v>
      </c>
    </row>
    <row r="235" spans="1:2" x14ac:dyDescent="0.25">
      <c r="A235" s="6">
        <v>1875.9499999999998</v>
      </c>
      <c r="B235">
        <v>234</v>
      </c>
    </row>
    <row r="236" spans="1:2" x14ac:dyDescent="0.25">
      <c r="A236" s="6">
        <v>1895.1099999999997</v>
      </c>
      <c r="B236">
        <v>235</v>
      </c>
    </row>
    <row r="237" spans="1:2" x14ac:dyDescent="0.25">
      <c r="A237" s="6">
        <v>1897.3500000000004</v>
      </c>
      <c r="B237">
        <v>236</v>
      </c>
    </row>
    <row r="238" spans="1:2" x14ac:dyDescent="0.25">
      <c r="A238" s="6">
        <v>1897.8500000000004</v>
      </c>
      <c r="B238">
        <v>237</v>
      </c>
    </row>
    <row r="239" spans="1:2" x14ac:dyDescent="0.25">
      <c r="A239" s="6">
        <v>1898.9000000000005</v>
      </c>
      <c r="B239">
        <v>238</v>
      </c>
    </row>
    <row r="240" spans="1:2" x14ac:dyDescent="0.25">
      <c r="A240" s="6">
        <v>1905.67</v>
      </c>
      <c r="B240">
        <v>239</v>
      </c>
    </row>
    <row r="241" spans="1:2" x14ac:dyDescent="0.25">
      <c r="A241" s="6">
        <v>1911.3000000000002</v>
      </c>
      <c r="B241">
        <v>240</v>
      </c>
    </row>
    <row r="242" spans="1:2" x14ac:dyDescent="0.25">
      <c r="A242" s="6">
        <v>1911.6799999999994</v>
      </c>
      <c r="B242">
        <v>241</v>
      </c>
    </row>
    <row r="243" spans="1:2" x14ac:dyDescent="0.25">
      <c r="A243" s="6">
        <v>1916.4799999999996</v>
      </c>
      <c r="B243">
        <v>242</v>
      </c>
    </row>
    <row r="244" spans="1:2" x14ac:dyDescent="0.25">
      <c r="A244" s="6">
        <v>1921.9099999999989</v>
      </c>
      <c r="B244">
        <v>243</v>
      </c>
    </row>
    <row r="245" spans="1:2" x14ac:dyDescent="0.25">
      <c r="A245" s="6">
        <v>1922.4399999999996</v>
      </c>
      <c r="B245">
        <v>244</v>
      </c>
    </row>
    <row r="246" spans="1:2" x14ac:dyDescent="0.25">
      <c r="A246" s="6">
        <v>1926.2899999999991</v>
      </c>
      <c r="B246">
        <v>245</v>
      </c>
    </row>
    <row r="247" spans="1:2" x14ac:dyDescent="0.25">
      <c r="A247" s="6">
        <v>1932.4999999999991</v>
      </c>
      <c r="B247">
        <v>246</v>
      </c>
    </row>
    <row r="248" spans="1:2" x14ac:dyDescent="0.25">
      <c r="A248" s="6">
        <v>1938.8599999999997</v>
      </c>
      <c r="B248">
        <v>247</v>
      </c>
    </row>
    <row r="249" spans="1:2" x14ac:dyDescent="0.25">
      <c r="A249" s="6">
        <v>1943.4500000000007</v>
      </c>
      <c r="B249">
        <v>248</v>
      </c>
    </row>
    <row r="250" spans="1:2" x14ac:dyDescent="0.25">
      <c r="A250" s="6">
        <v>1952.9099999999999</v>
      </c>
      <c r="B250">
        <v>249</v>
      </c>
    </row>
    <row r="251" spans="1:2" x14ac:dyDescent="0.25">
      <c r="A251" s="6">
        <v>1964.4500000000007</v>
      </c>
      <c r="B251">
        <v>250</v>
      </c>
    </row>
    <row r="252" spans="1:2" x14ac:dyDescent="0.25">
      <c r="A252" s="6">
        <v>1972.6599999999989</v>
      </c>
      <c r="B252">
        <v>251</v>
      </c>
    </row>
    <row r="253" spans="1:2" x14ac:dyDescent="0.25">
      <c r="A253" s="6">
        <v>1974.25</v>
      </c>
      <c r="B253">
        <v>252</v>
      </c>
    </row>
    <row r="254" spans="1:2" x14ac:dyDescent="0.25">
      <c r="A254" s="6">
        <v>1984.0500000000002</v>
      </c>
      <c r="B254">
        <v>253</v>
      </c>
    </row>
    <row r="255" spans="1:2" x14ac:dyDescent="0.25">
      <c r="A255" s="6">
        <v>1986.1100000000006</v>
      </c>
      <c r="B255">
        <v>254</v>
      </c>
    </row>
    <row r="256" spans="1:2" x14ac:dyDescent="0.25">
      <c r="A256" s="6">
        <v>1989.0299999999997</v>
      </c>
      <c r="B256">
        <v>255</v>
      </c>
    </row>
    <row r="257" spans="1:2" x14ac:dyDescent="0.25">
      <c r="A257" s="6">
        <v>2002.3400000000001</v>
      </c>
      <c r="B257">
        <v>256</v>
      </c>
    </row>
    <row r="258" spans="1:2" x14ac:dyDescent="0.25">
      <c r="A258" s="6">
        <v>2016.5900000000001</v>
      </c>
      <c r="B258">
        <v>257</v>
      </c>
    </row>
    <row r="259" spans="1:2" x14ac:dyDescent="0.25">
      <c r="A259" s="6">
        <v>2016.6100000000006</v>
      </c>
      <c r="B259">
        <v>258</v>
      </c>
    </row>
    <row r="260" spans="1:2" x14ac:dyDescent="0.25">
      <c r="A260" s="6">
        <v>2018.0599999999995</v>
      </c>
      <c r="B260">
        <v>259</v>
      </c>
    </row>
    <row r="261" spans="1:2" x14ac:dyDescent="0.25">
      <c r="A261" s="6">
        <v>2018.3199999999997</v>
      </c>
      <c r="B261">
        <v>260</v>
      </c>
    </row>
    <row r="262" spans="1:2" x14ac:dyDescent="0.25">
      <c r="A262" s="6">
        <v>2030.3399999999992</v>
      </c>
      <c r="B262">
        <v>261</v>
      </c>
    </row>
    <row r="263" spans="1:2" x14ac:dyDescent="0.25">
      <c r="A263" s="6">
        <v>2030.630000000001</v>
      </c>
      <c r="B263">
        <v>262</v>
      </c>
    </row>
    <row r="264" spans="1:2" x14ac:dyDescent="0.25">
      <c r="A264" s="6">
        <v>2035.9099999999999</v>
      </c>
      <c r="B264">
        <v>263</v>
      </c>
    </row>
    <row r="265" spans="1:2" x14ac:dyDescent="0.25">
      <c r="A265" s="6">
        <v>2042.2399999999989</v>
      </c>
      <c r="B265">
        <v>264</v>
      </c>
    </row>
    <row r="266" spans="1:2" x14ac:dyDescent="0.25">
      <c r="A266" s="6">
        <v>2045.3900000000012</v>
      </c>
      <c r="B266">
        <v>265</v>
      </c>
    </row>
    <row r="267" spans="1:2" x14ac:dyDescent="0.25">
      <c r="A267" s="6">
        <v>2046.42</v>
      </c>
      <c r="B267">
        <v>266</v>
      </c>
    </row>
    <row r="268" spans="1:2" x14ac:dyDescent="0.25">
      <c r="A268" s="6">
        <v>2050.66</v>
      </c>
      <c r="B268">
        <v>267</v>
      </c>
    </row>
    <row r="269" spans="1:2" x14ac:dyDescent="0.25">
      <c r="A269" s="6">
        <v>2056.8200000000006</v>
      </c>
      <c r="B269">
        <v>268</v>
      </c>
    </row>
    <row r="270" spans="1:2" x14ac:dyDescent="0.25">
      <c r="A270" s="6">
        <v>2058.4599999999991</v>
      </c>
      <c r="B270">
        <v>269</v>
      </c>
    </row>
    <row r="271" spans="1:2" x14ac:dyDescent="0.25">
      <c r="A271" s="6">
        <v>2060.3000000000011</v>
      </c>
      <c r="B271">
        <v>270</v>
      </c>
    </row>
    <row r="272" spans="1:2" x14ac:dyDescent="0.25">
      <c r="A272" s="6">
        <v>2060.3100000000013</v>
      </c>
      <c r="B272">
        <v>271</v>
      </c>
    </row>
    <row r="273" spans="1:2" x14ac:dyDescent="0.25">
      <c r="A273" s="6">
        <v>2061.4000000000005</v>
      </c>
      <c r="B273">
        <v>272</v>
      </c>
    </row>
    <row r="274" spans="1:2" x14ac:dyDescent="0.25">
      <c r="A274" s="6">
        <v>2068.6500000000015</v>
      </c>
      <c r="B274">
        <v>273</v>
      </c>
    </row>
    <row r="275" spans="1:2" x14ac:dyDescent="0.25">
      <c r="A275" s="6">
        <v>2070.6099999999988</v>
      </c>
      <c r="B275">
        <v>274</v>
      </c>
    </row>
    <row r="276" spans="1:2" x14ac:dyDescent="0.25">
      <c r="A276" s="6">
        <v>2077.5199999999995</v>
      </c>
      <c r="B276">
        <v>275</v>
      </c>
    </row>
    <row r="277" spans="1:2" x14ac:dyDescent="0.25">
      <c r="A277" s="6">
        <v>2086.6899999999996</v>
      </c>
      <c r="B277">
        <v>276</v>
      </c>
    </row>
    <row r="278" spans="1:2" x14ac:dyDescent="0.25">
      <c r="A278" s="6">
        <v>2087.8900000000003</v>
      </c>
      <c r="B278">
        <v>277</v>
      </c>
    </row>
    <row r="279" spans="1:2" x14ac:dyDescent="0.25">
      <c r="A279" s="6">
        <v>2095.0999999999985</v>
      </c>
      <c r="B279">
        <v>278</v>
      </c>
    </row>
    <row r="280" spans="1:2" x14ac:dyDescent="0.25">
      <c r="A280" s="6">
        <v>2097.5999999999995</v>
      </c>
      <c r="B280">
        <v>279</v>
      </c>
    </row>
    <row r="281" spans="1:2" x14ac:dyDescent="0.25">
      <c r="A281" s="6">
        <v>2100.7999999999993</v>
      </c>
      <c r="B281">
        <v>280</v>
      </c>
    </row>
    <row r="282" spans="1:2" x14ac:dyDescent="0.25">
      <c r="A282" s="6">
        <v>2108.1500000000005</v>
      </c>
      <c r="B282">
        <v>281</v>
      </c>
    </row>
    <row r="283" spans="1:2" x14ac:dyDescent="0.25">
      <c r="A283" s="6">
        <v>2110.04</v>
      </c>
      <c r="B283">
        <v>282</v>
      </c>
    </row>
    <row r="284" spans="1:2" x14ac:dyDescent="0.25">
      <c r="A284" s="6">
        <v>2110.4700000000012</v>
      </c>
      <c r="B284">
        <v>283</v>
      </c>
    </row>
    <row r="285" spans="1:2" x14ac:dyDescent="0.25">
      <c r="A285" s="6">
        <v>2116.13</v>
      </c>
      <c r="B285">
        <v>284</v>
      </c>
    </row>
    <row r="286" spans="1:2" x14ac:dyDescent="0.25">
      <c r="A286" s="6">
        <v>2119.2200000000003</v>
      </c>
      <c r="B286">
        <v>285</v>
      </c>
    </row>
    <row r="287" spans="1:2" x14ac:dyDescent="0.25">
      <c r="A287" s="6">
        <v>2122.2199999999993</v>
      </c>
      <c r="B287">
        <v>286</v>
      </c>
    </row>
    <row r="288" spans="1:2" x14ac:dyDescent="0.25">
      <c r="A288" s="6">
        <v>2124.2399999999989</v>
      </c>
      <c r="B288">
        <v>287</v>
      </c>
    </row>
    <row r="289" spans="1:2" x14ac:dyDescent="0.25">
      <c r="A289" s="6">
        <v>2126.29</v>
      </c>
      <c r="B289">
        <v>288</v>
      </c>
    </row>
    <row r="290" spans="1:2" x14ac:dyDescent="0.25">
      <c r="A290" s="6">
        <v>2127.5099999999993</v>
      </c>
      <c r="B290">
        <v>289</v>
      </c>
    </row>
    <row r="291" spans="1:2" x14ac:dyDescent="0.25">
      <c r="A291" s="6">
        <v>2133.4300000000003</v>
      </c>
      <c r="B291">
        <v>290</v>
      </c>
    </row>
    <row r="292" spans="1:2" x14ac:dyDescent="0.25">
      <c r="A292" s="6">
        <v>2141.38</v>
      </c>
      <c r="B292">
        <v>291</v>
      </c>
    </row>
    <row r="293" spans="1:2" x14ac:dyDescent="0.25">
      <c r="A293" s="6">
        <v>2141.9300000000003</v>
      </c>
      <c r="B293">
        <v>292</v>
      </c>
    </row>
    <row r="294" spans="1:2" x14ac:dyDescent="0.25">
      <c r="A294" s="6">
        <v>2144.9399999999996</v>
      </c>
      <c r="B294">
        <v>293</v>
      </c>
    </row>
    <row r="295" spans="1:2" x14ac:dyDescent="0.25">
      <c r="A295" s="6">
        <v>2145.1400000000012</v>
      </c>
      <c r="B295">
        <v>294</v>
      </c>
    </row>
    <row r="296" spans="1:2" x14ac:dyDescent="0.25">
      <c r="A296" s="6">
        <v>2147.9199999999992</v>
      </c>
      <c r="B296">
        <v>295</v>
      </c>
    </row>
    <row r="297" spans="1:2" x14ac:dyDescent="0.25">
      <c r="A297" s="6">
        <v>2150.3099999999995</v>
      </c>
      <c r="B297">
        <v>296</v>
      </c>
    </row>
    <row r="298" spans="1:2" x14ac:dyDescent="0.25">
      <c r="A298" s="6">
        <v>2156.0499999999993</v>
      </c>
      <c r="B298">
        <v>297</v>
      </c>
    </row>
    <row r="299" spans="1:2" x14ac:dyDescent="0.25">
      <c r="A299" s="6">
        <v>2156.34</v>
      </c>
      <c r="B299">
        <v>298</v>
      </c>
    </row>
    <row r="300" spans="1:2" x14ac:dyDescent="0.25">
      <c r="A300" s="6">
        <v>2158.5399999999991</v>
      </c>
      <c r="B300">
        <v>299</v>
      </c>
    </row>
    <row r="301" spans="1:2" x14ac:dyDescent="0.25">
      <c r="A301" s="6">
        <v>2169.0500000000002</v>
      </c>
      <c r="B301">
        <v>300</v>
      </c>
    </row>
    <row r="302" spans="1:2" x14ac:dyDescent="0.25">
      <c r="A302" s="6">
        <v>2169.119999999999</v>
      </c>
      <c r="B302">
        <v>301</v>
      </c>
    </row>
    <row r="303" spans="1:2" x14ac:dyDescent="0.25">
      <c r="A303" s="6">
        <v>2170.0699999999997</v>
      </c>
      <c r="B303">
        <v>302</v>
      </c>
    </row>
    <row r="304" spans="1:2" x14ac:dyDescent="0.25">
      <c r="A304" s="6">
        <v>2173.8099999999995</v>
      </c>
      <c r="B304">
        <v>303</v>
      </c>
    </row>
    <row r="305" spans="1:2" x14ac:dyDescent="0.25">
      <c r="A305" s="6">
        <v>2175.4400000000005</v>
      </c>
      <c r="B305">
        <v>304</v>
      </c>
    </row>
    <row r="306" spans="1:2" x14ac:dyDescent="0.25">
      <c r="A306" s="6">
        <v>2176.42</v>
      </c>
      <c r="B306">
        <v>305</v>
      </c>
    </row>
    <row r="307" spans="1:2" x14ac:dyDescent="0.25">
      <c r="A307" s="6">
        <v>2176.7299999999996</v>
      </c>
      <c r="B307">
        <v>306</v>
      </c>
    </row>
    <row r="308" spans="1:2" x14ac:dyDescent="0.25">
      <c r="A308" s="6">
        <v>2180.6499999999996</v>
      </c>
      <c r="B308">
        <v>307</v>
      </c>
    </row>
    <row r="309" spans="1:2" x14ac:dyDescent="0.25">
      <c r="A309" s="6">
        <v>2180.920000000001</v>
      </c>
      <c r="B309">
        <v>308</v>
      </c>
    </row>
    <row r="310" spans="1:2" x14ac:dyDescent="0.25">
      <c r="A310" s="6">
        <v>2182.2699999999995</v>
      </c>
      <c r="B310">
        <v>309</v>
      </c>
    </row>
    <row r="311" spans="1:2" x14ac:dyDescent="0.25">
      <c r="A311" s="6">
        <v>2182.4500000000007</v>
      </c>
      <c r="B311">
        <v>310</v>
      </c>
    </row>
    <row r="312" spans="1:2" x14ac:dyDescent="0.25">
      <c r="A312" s="6">
        <v>2184.3000000000002</v>
      </c>
      <c r="B312">
        <v>311</v>
      </c>
    </row>
    <row r="313" spans="1:2" x14ac:dyDescent="0.25">
      <c r="A313" s="6">
        <v>2188.5699999999997</v>
      </c>
      <c r="B313">
        <v>312</v>
      </c>
    </row>
    <row r="314" spans="1:2" x14ac:dyDescent="0.25">
      <c r="A314" s="6">
        <v>2191.2600000000002</v>
      </c>
      <c r="B314">
        <v>313</v>
      </c>
    </row>
    <row r="315" spans="1:2" x14ac:dyDescent="0.25">
      <c r="A315" s="6">
        <v>2194.0500000000002</v>
      </c>
      <c r="B315">
        <v>314</v>
      </c>
    </row>
    <row r="316" spans="1:2" x14ac:dyDescent="0.25">
      <c r="A316" s="6">
        <v>2197.0100000000002</v>
      </c>
      <c r="B316">
        <v>315</v>
      </c>
    </row>
    <row r="317" spans="1:2" x14ac:dyDescent="0.25">
      <c r="A317" s="6">
        <v>2199.6000000000004</v>
      </c>
      <c r="B317">
        <v>316</v>
      </c>
    </row>
    <row r="318" spans="1:2" x14ac:dyDescent="0.25">
      <c r="A318" s="6">
        <v>2203.8099999999995</v>
      </c>
      <c r="B318">
        <v>317</v>
      </c>
    </row>
    <row r="319" spans="1:2" x14ac:dyDescent="0.25">
      <c r="A319" s="6">
        <v>2204.5000000000009</v>
      </c>
      <c r="B319">
        <v>318</v>
      </c>
    </row>
    <row r="320" spans="1:2" x14ac:dyDescent="0.25">
      <c r="A320" s="6">
        <v>2209.75</v>
      </c>
      <c r="B320">
        <v>319</v>
      </c>
    </row>
    <row r="321" spans="1:2" x14ac:dyDescent="0.25">
      <c r="A321" s="6">
        <v>2222.16</v>
      </c>
      <c r="B321">
        <v>320</v>
      </c>
    </row>
    <row r="322" spans="1:2" x14ac:dyDescent="0.25">
      <c r="A322" s="6">
        <v>2222.7300000000005</v>
      </c>
      <c r="B322">
        <v>321</v>
      </c>
    </row>
    <row r="323" spans="1:2" x14ac:dyDescent="0.25">
      <c r="A323" s="6">
        <v>2223.5000000000009</v>
      </c>
      <c r="B323">
        <v>322</v>
      </c>
    </row>
    <row r="324" spans="1:2" x14ac:dyDescent="0.25">
      <c r="A324" s="6">
        <v>2226.7499999999991</v>
      </c>
      <c r="B324">
        <v>323</v>
      </c>
    </row>
    <row r="325" spans="1:2" x14ac:dyDescent="0.25">
      <c r="A325" s="6">
        <v>2226.83</v>
      </c>
      <c r="B325">
        <v>324</v>
      </c>
    </row>
    <row r="326" spans="1:2" x14ac:dyDescent="0.25">
      <c r="A326" s="6">
        <v>2228.42</v>
      </c>
      <c r="B326">
        <v>325</v>
      </c>
    </row>
    <row r="327" spans="1:2" x14ac:dyDescent="0.25">
      <c r="A327" s="6">
        <v>2232.4600000000009</v>
      </c>
      <c r="B327">
        <v>326</v>
      </c>
    </row>
    <row r="328" spans="1:2" x14ac:dyDescent="0.25">
      <c r="A328" s="6">
        <v>2234.1400000000003</v>
      </c>
      <c r="B328">
        <v>327</v>
      </c>
    </row>
    <row r="329" spans="1:2" x14ac:dyDescent="0.25">
      <c r="A329" s="6">
        <v>2234.3999999999996</v>
      </c>
      <c r="B329">
        <v>328</v>
      </c>
    </row>
    <row r="330" spans="1:2" x14ac:dyDescent="0.25">
      <c r="A330" s="6">
        <v>2236.9000000000005</v>
      </c>
      <c r="B330">
        <v>329</v>
      </c>
    </row>
    <row r="331" spans="1:2" x14ac:dyDescent="0.25">
      <c r="A331" s="6">
        <v>2238.5899999999992</v>
      </c>
      <c r="B331">
        <v>330</v>
      </c>
    </row>
    <row r="332" spans="1:2" x14ac:dyDescent="0.25">
      <c r="A332" s="6">
        <v>2239</v>
      </c>
      <c r="B332">
        <v>331</v>
      </c>
    </row>
    <row r="333" spans="1:2" x14ac:dyDescent="0.25">
      <c r="A333" s="6">
        <v>2261.0699999999988</v>
      </c>
      <c r="B333">
        <v>332</v>
      </c>
    </row>
    <row r="334" spans="1:2" x14ac:dyDescent="0.25">
      <c r="A334" s="6">
        <v>2271.1100000000006</v>
      </c>
      <c r="B334">
        <v>333</v>
      </c>
    </row>
    <row r="335" spans="1:2" x14ac:dyDescent="0.25">
      <c r="A335" s="6">
        <v>2278.2399999999998</v>
      </c>
      <c r="B335">
        <v>334</v>
      </c>
    </row>
    <row r="336" spans="1:2" x14ac:dyDescent="0.25">
      <c r="A336" s="6">
        <v>2280.6399999999994</v>
      </c>
      <c r="B336">
        <v>335</v>
      </c>
    </row>
    <row r="337" spans="1:2" x14ac:dyDescent="0.25">
      <c r="A337" s="6">
        <v>2281.4500000000007</v>
      </c>
      <c r="B337">
        <v>336</v>
      </c>
    </row>
    <row r="338" spans="1:2" x14ac:dyDescent="0.25">
      <c r="A338" s="6">
        <v>2285.7300000000005</v>
      </c>
      <c r="B338">
        <v>337</v>
      </c>
    </row>
    <row r="339" spans="1:2" x14ac:dyDescent="0.25">
      <c r="A339" s="6">
        <v>2288.9499999999998</v>
      </c>
      <c r="B339">
        <v>338</v>
      </c>
    </row>
    <row r="340" spans="1:2" x14ac:dyDescent="0.25">
      <c r="A340" s="6">
        <v>2294.0300000000007</v>
      </c>
      <c r="B340">
        <v>339</v>
      </c>
    </row>
    <row r="341" spans="1:2" x14ac:dyDescent="0.25">
      <c r="A341" s="6">
        <v>2297.7700000000004</v>
      </c>
      <c r="B341">
        <v>340</v>
      </c>
    </row>
    <row r="342" spans="1:2" x14ac:dyDescent="0.25">
      <c r="A342" s="6">
        <v>2305.08</v>
      </c>
      <c r="B342">
        <v>341</v>
      </c>
    </row>
    <row r="343" spans="1:2" x14ac:dyDescent="0.25">
      <c r="A343" s="6">
        <v>2307.8500000000004</v>
      </c>
      <c r="B343">
        <v>342</v>
      </c>
    </row>
    <row r="344" spans="1:2" x14ac:dyDescent="0.25">
      <c r="A344" s="6">
        <v>2308.9100000000008</v>
      </c>
      <c r="B344">
        <v>343</v>
      </c>
    </row>
    <row r="345" spans="1:2" x14ac:dyDescent="0.25">
      <c r="A345" s="6">
        <v>2311.829999999999</v>
      </c>
      <c r="B345">
        <v>344</v>
      </c>
    </row>
    <row r="346" spans="1:2" x14ac:dyDescent="0.25">
      <c r="A346" s="6">
        <v>2320.6600000000008</v>
      </c>
      <c r="B346">
        <v>345</v>
      </c>
    </row>
    <row r="347" spans="1:2" x14ac:dyDescent="0.25">
      <c r="A347" s="6">
        <v>2321.0600000000004</v>
      </c>
      <c r="B347">
        <v>346</v>
      </c>
    </row>
    <row r="348" spans="1:2" x14ac:dyDescent="0.25">
      <c r="A348" s="6">
        <v>2321.16</v>
      </c>
      <c r="B348">
        <v>347</v>
      </c>
    </row>
    <row r="349" spans="1:2" x14ac:dyDescent="0.25">
      <c r="A349" s="6">
        <v>2321.2199999999993</v>
      </c>
      <c r="B349">
        <v>348</v>
      </c>
    </row>
    <row r="350" spans="1:2" x14ac:dyDescent="0.25">
      <c r="A350" s="6">
        <v>2324.1399999999994</v>
      </c>
      <c r="B350">
        <v>349</v>
      </c>
    </row>
    <row r="351" spans="1:2" x14ac:dyDescent="0.25">
      <c r="A351" s="6">
        <v>2329.2300000000005</v>
      </c>
      <c r="B351">
        <v>350</v>
      </c>
    </row>
    <row r="352" spans="1:2" x14ac:dyDescent="0.25">
      <c r="A352" s="6">
        <v>2332.3400000000011</v>
      </c>
      <c r="B352">
        <v>351</v>
      </c>
    </row>
    <row r="353" spans="1:2" x14ac:dyDescent="0.25">
      <c r="A353" s="6">
        <v>2334.84</v>
      </c>
      <c r="B353">
        <v>352</v>
      </c>
    </row>
    <row r="354" spans="1:2" x14ac:dyDescent="0.25">
      <c r="A354" s="6">
        <v>2351.8199999999997</v>
      </c>
      <c r="B354">
        <v>353</v>
      </c>
    </row>
    <row r="355" spans="1:2" x14ac:dyDescent="0.25">
      <c r="A355" s="6">
        <v>2354.4499999999998</v>
      </c>
      <c r="B355">
        <v>354</v>
      </c>
    </row>
    <row r="356" spans="1:2" x14ac:dyDescent="0.25">
      <c r="A356" s="6">
        <v>2366.1699999999992</v>
      </c>
      <c r="B356">
        <v>355</v>
      </c>
    </row>
    <row r="357" spans="1:2" x14ac:dyDescent="0.25">
      <c r="A357" s="6">
        <v>2372.5500000000002</v>
      </c>
      <c r="B357">
        <v>356</v>
      </c>
    </row>
    <row r="358" spans="1:2" x14ac:dyDescent="0.25">
      <c r="A358" s="6">
        <v>2374.41</v>
      </c>
      <c r="B358">
        <v>357</v>
      </c>
    </row>
    <row r="359" spans="1:2" x14ac:dyDescent="0.25">
      <c r="A359" s="6">
        <v>2380.4600000000009</v>
      </c>
      <c r="B359">
        <v>358</v>
      </c>
    </row>
    <row r="360" spans="1:2" x14ac:dyDescent="0.25">
      <c r="A360" s="6">
        <v>2381.2300000000005</v>
      </c>
      <c r="B360">
        <v>359</v>
      </c>
    </row>
    <row r="361" spans="1:2" x14ac:dyDescent="0.25">
      <c r="A361" s="6">
        <v>2381.7299999999996</v>
      </c>
      <c r="B361">
        <v>360</v>
      </c>
    </row>
    <row r="362" spans="1:2" x14ac:dyDescent="0.25">
      <c r="A362" s="6">
        <v>2387.7400000000007</v>
      </c>
      <c r="B362">
        <v>361</v>
      </c>
    </row>
    <row r="363" spans="1:2" x14ac:dyDescent="0.25">
      <c r="A363" s="6">
        <v>2388.7700000000004</v>
      </c>
      <c r="B363">
        <v>362</v>
      </c>
    </row>
    <row r="364" spans="1:2" x14ac:dyDescent="0.25">
      <c r="A364" s="6">
        <v>2396.7199999999993</v>
      </c>
      <c r="B364">
        <v>363</v>
      </c>
    </row>
    <row r="365" spans="1:2" x14ac:dyDescent="0.25">
      <c r="A365" s="6">
        <v>2398.91</v>
      </c>
      <c r="B365">
        <v>364</v>
      </c>
    </row>
    <row r="366" spans="1:2" x14ac:dyDescent="0.25">
      <c r="A366" s="6">
        <v>2403.2699999999995</v>
      </c>
      <c r="B366">
        <v>365</v>
      </c>
    </row>
    <row r="367" spans="1:2" x14ac:dyDescent="0.25">
      <c r="A367" s="6">
        <v>2405.4499999999989</v>
      </c>
      <c r="B367">
        <v>366</v>
      </c>
    </row>
    <row r="368" spans="1:2" x14ac:dyDescent="0.25">
      <c r="A368" s="6">
        <v>2409.9899999999998</v>
      </c>
      <c r="B368">
        <v>367</v>
      </c>
    </row>
    <row r="369" spans="1:2" x14ac:dyDescent="0.25">
      <c r="A369" s="6">
        <v>2412.5200000000004</v>
      </c>
      <c r="B369">
        <v>368</v>
      </c>
    </row>
    <row r="370" spans="1:2" x14ac:dyDescent="0.25">
      <c r="A370" s="6">
        <v>2413.0800000000008</v>
      </c>
      <c r="B370">
        <v>369</v>
      </c>
    </row>
    <row r="371" spans="1:2" x14ac:dyDescent="0.25">
      <c r="A371" s="6">
        <v>2414.8099999999995</v>
      </c>
      <c r="B371">
        <v>370</v>
      </c>
    </row>
    <row r="372" spans="1:2" x14ac:dyDescent="0.25">
      <c r="A372" s="6">
        <v>2416.1400000000003</v>
      </c>
      <c r="B372">
        <v>371</v>
      </c>
    </row>
    <row r="373" spans="1:2" x14ac:dyDescent="0.25">
      <c r="A373" s="6">
        <v>2416.6000000000004</v>
      </c>
      <c r="B373">
        <v>372</v>
      </c>
    </row>
    <row r="374" spans="1:2" x14ac:dyDescent="0.25">
      <c r="A374" s="6">
        <v>2418.2299999999996</v>
      </c>
      <c r="B374">
        <v>373</v>
      </c>
    </row>
    <row r="375" spans="1:2" x14ac:dyDescent="0.25">
      <c r="A375" s="6">
        <v>2423.2399999999998</v>
      </c>
      <c r="B375">
        <v>374</v>
      </c>
    </row>
    <row r="376" spans="1:2" x14ac:dyDescent="0.25">
      <c r="A376" s="6">
        <v>2423.5800000000008</v>
      </c>
      <c r="B376">
        <v>375</v>
      </c>
    </row>
    <row r="377" spans="1:2" x14ac:dyDescent="0.25">
      <c r="A377" s="6">
        <v>2431.6500000000005</v>
      </c>
      <c r="B377">
        <v>376</v>
      </c>
    </row>
    <row r="378" spans="1:2" x14ac:dyDescent="0.25">
      <c r="A378" s="6">
        <v>2435.09</v>
      </c>
      <c r="B378">
        <v>377</v>
      </c>
    </row>
    <row r="379" spans="1:2" x14ac:dyDescent="0.25">
      <c r="A379" s="6">
        <v>2445.2400000000007</v>
      </c>
      <c r="B379">
        <v>378</v>
      </c>
    </row>
    <row r="380" spans="1:2" x14ac:dyDescent="0.25">
      <c r="A380" s="6">
        <v>2448.2099999999991</v>
      </c>
      <c r="B380">
        <v>379</v>
      </c>
    </row>
    <row r="381" spans="1:2" x14ac:dyDescent="0.25">
      <c r="A381" s="6">
        <v>2449.7600000000002</v>
      </c>
      <c r="B381">
        <v>380</v>
      </c>
    </row>
    <row r="382" spans="1:2" x14ac:dyDescent="0.25">
      <c r="A382" s="6">
        <v>2451.1800000000003</v>
      </c>
      <c r="B382">
        <v>381</v>
      </c>
    </row>
    <row r="383" spans="1:2" x14ac:dyDescent="0.25">
      <c r="A383" s="6">
        <v>2453.0099999999993</v>
      </c>
      <c r="B383">
        <v>382</v>
      </c>
    </row>
    <row r="384" spans="1:2" x14ac:dyDescent="0.25">
      <c r="A384" s="6">
        <v>2455.5299999999997</v>
      </c>
      <c r="B384">
        <v>383</v>
      </c>
    </row>
    <row r="385" spans="1:2" x14ac:dyDescent="0.25">
      <c r="A385" s="6">
        <v>2460.5400000000009</v>
      </c>
      <c r="B385">
        <v>384</v>
      </c>
    </row>
    <row r="386" spans="1:2" x14ac:dyDescent="0.25">
      <c r="A386" s="6">
        <v>2461.1600000000008</v>
      </c>
      <c r="B386">
        <v>385</v>
      </c>
    </row>
    <row r="387" spans="1:2" x14ac:dyDescent="0.25">
      <c r="A387" s="6">
        <v>2473.4599999999991</v>
      </c>
      <c r="B387">
        <v>386</v>
      </c>
    </row>
    <row r="388" spans="1:2" x14ac:dyDescent="0.25">
      <c r="A388" s="6">
        <v>2476.3599999999997</v>
      </c>
      <c r="B388">
        <v>387</v>
      </c>
    </row>
    <row r="389" spans="1:2" x14ac:dyDescent="0.25">
      <c r="A389" s="6">
        <v>2482.9199999999992</v>
      </c>
      <c r="B389">
        <v>388</v>
      </c>
    </row>
    <row r="390" spans="1:2" x14ac:dyDescent="0.25">
      <c r="A390" s="6">
        <v>2490.37</v>
      </c>
      <c r="B390">
        <v>389</v>
      </c>
    </row>
    <row r="391" spans="1:2" x14ac:dyDescent="0.25">
      <c r="A391" s="6">
        <v>2498.6600000000008</v>
      </c>
      <c r="B391">
        <v>390</v>
      </c>
    </row>
    <row r="392" spans="1:2" x14ac:dyDescent="0.25">
      <c r="A392" s="6">
        <v>2499.6099999999997</v>
      </c>
      <c r="B392">
        <v>391</v>
      </c>
    </row>
    <row r="393" spans="1:2" x14ac:dyDescent="0.25">
      <c r="A393" s="6">
        <v>2501.6699999999992</v>
      </c>
      <c r="B393">
        <v>392</v>
      </c>
    </row>
    <row r="394" spans="1:2" x14ac:dyDescent="0.25">
      <c r="A394" s="6">
        <v>2503.1500000000005</v>
      </c>
      <c r="B394">
        <v>393</v>
      </c>
    </row>
    <row r="395" spans="1:2" x14ac:dyDescent="0.25">
      <c r="A395" s="6">
        <v>2503.1899999999996</v>
      </c>
      <c r="B395">
        <v>394</v>
      </c>
    </row>
    <row r="396" spans="1:2" x14ac:dyDescent="0.25">
      <c r="A396" s="6">
        <v>2504.2600000000002</v>
      </c>
      <c r="B396">
        <v>395</v>
      </c>
    </row>
    <row r="397" spans="1:2" x14ac:dyDescent="0.25">
      <c r="A397" s="6">
        <v>2511.6200000000008</v>
      </c>
      <c r="B397">
        <v>396</v>
      </c>
    </row>
    <row r="398" spans="1:2" x14ac:dyDescent="0.25">
      <c r="A398" s="6">
        <v>2516.6000000000004</v>
      </c>
      <c r="B398">
        <v>397</v>
      </c>
    </row>
    <row r="399" spans="1:2" x14ac:dyDescent="0.25">
      <c r="A399" s="6">
        <v>2519.8199999999988</v>
      </c>
      <c r="B399">
        <v>398</v>
      </c>
    </row>
    <row r="400" spans="1:2" x14ac:dyDescent="0.25">
      <c r="A400" s="6">
        <v>2523.4800000000005</v>
      </c>
      <c r="B400">
        <v>399</v>
      </c>
    </row>
    <row r="401" spans="1:2" x14ac:dyDescent="0.25">
      <c r="A401" s="6">
        <v>2534.9299999999994</v>
      </c>
      <c r="B401">
        <v>400</v>
      </c>
    </row>
    <row r="402" spans="1:2" x14ac:dyDescent="0.25">
      <c r="A402" s="6">
        <v>2538.7899999999991</v>
      </c>
      <c r="B402">
        <v>401</v>
      </c>
    </row>
    <row r="403" spans="1:2" x14ac:dyDescent="0.25">
      <c r="A403" s="6">
        <v>2543.1099999999997</v>
      </c>
      <c r="B403">
        <v>402</v>
      </c>
    </row>
    <row r="404" spans="1:2" x14ac:dyDescent="0.25">
      <c r="A404" s="6">
        <v>2543.58</v>
      </c>
      <c r="B404">
        <v>403</v>
      </c>
    </row>
    <row r="405" spans="1:2" x14ac:dyDescent="0.25">
      <c r="A405" s="6">
        <v>2543.8000000000002</v>
      </c>
      <c r="B405">
        <v>404</v>
      </c>
    </row>
    <row r="406" spans="1:2" x14ac:dyDescent="0.25">
      <c r="A406" s="6">
        <v>2544.2399999999989</v>
      </c>
      <c r="B406">
        <v>405</v>
      </c>
    </row>
    <row r="407" spans="1:2" x14ac:dyDescent="0.25">
      <c r="A407" s="6">
        <v>2545.41</v>
      </c>
      <c r="B407">
        <v>406</v>
      </c>
    </row>
    <row r="408" spans="1:2" x14ac:dyDescent="0.25">
      <c r="A408" s="6">
        <v>2547.8900000000003</v>
      </c>
      <c r="B408">
        <v>407</v>
      </c>
    </row>
    <row r="409" spans="1:2" x14ac:dyDescent="0.25">
      <c r="A409" s="6">
        <v>2551.1399999999994</v>
      </c>
      <c r="B409">
        <v>408</v>
      </c>
    </row>
    <row r="410" spans="1:2" x14ac:dyDescent="0.25">
      <c r="A410" s="6">
        <v>2551.3600000000006</v>
      </c>
      <c r="B410">
        <v>409</v>
      </c>
    </row>
    <row r="411" spans="1:2" x14ac:dyDescent="0.25">
      <c r="A411" s="6">
        <v>2551.9799999999996</v>
      </c>
      <c r="B411">
        <v>410</v>
      </c>
    </row>
    <row r="412" spans="1:2" x14ac:dyDescent="0.25">
      <c r="A412" s="6">
        <v>2554.7699999999995</v>
      </c>
      <c r="B412">
        <v>411</v>
      </c>
    </row>
    <row r="413" spans="1:2" x14ac:dyDescent="0.25">
      <c r="A413" s="6">
        <v>2555.9000000000005</v>
      </c>
      <c r="B413">
        <v>412</v>
      </c>
    </row>
    <row r="414" spans="1:2" x14ac:dyDescent="0.25">
      <c r="A414" s="6">
        <v>2557.2300000000005</v>
      </c>
      <c r="B414">
        <v>413</v>
      </c>
    </row>
    <row r="415" spans="1:2" x14ac:dyDescent="0.25">
      <c r="A415" s="6">
        <v>2562.5099999999993</v>
      </c>
      <c r="B415">
        <v>414</v>
      </c>
    </row>
    <row r="416" spans="1:2" x14ac:dyDescent="0.25">
      <c r="A416" s="6">
        <v>2562.5500000000011</v>
      </c>
      <c r="B416">
        <v>415</v>
      </c>
    </row>
    <row r="417" spans="1:2" x14ac:dyDescent="0.25">
      <c r="A417" s="6">
        <v>2565.1100000000006</v>
      </c>
      <c r="B417">
        <v>416</v>
      </c>
    </row>
    <row r="418" spans="1:2" x14ac:dyDescent="0.25">
      <c r="A418" s="6">
        <v>2566.8000000000002</v>
      </c>
      <c r="B418">
        <v>417</v>
      </c>
    </row>
    <row r="419" spans="1:2" x14ac:dyDescent="0.25">
      <c r="A419" s="6">
        <v>2567.4700000000012</v>
      </c>
      <c r="B419">
        <v>418</v>
      </c>
    </row>
    <row r="420" spans="1:2" x14ac:dyDescent="0.25">
      <c r="A420" s="6">
        <v>2572.84</v>
      </c>
      <c r="B420">
        <v>419</v>
      </c>
    </row>
    <row r="421" spans="1:2" x14ac:dyDescent="0.25">
      <c r="A421" s="6">
        <v>2580.5999999999995</v>
      </c>
      <c r="B421">
        <v>420</v>
      </c>
    </row>
    <row r="422" spans="1:2" x14ac:dyDescent="0.25">
      <c r="A422" s="6">
        <v>2587.7999999999993</v>
      </c>
      <c r="B422">
        <v>421</v>
      </c>
    </row>
    <row r="423" spans="1:2" x14ac:dyDescent="0.25">
      <c r="A423" s="6">
        <v>2593.75</v>
      </c>
      <c r="B423">
        <v>422</v>
      </c>
    </row>
    <row r="424" spans="1:2" x14ac:dyDescent="0.25">
      <c r="A424" s="6">
        <v>2597.1800000000003</v>
      </c>
      <c r="B424">
        <v>423</v>
      </c>
    </row>
    <row r="425" spans="1:2" x14ac:dyDescent="0.25">
      <c r="A425" s="6">
        <v>2598.9299999999994</v>
      </c>
      <c r="B425">
        <v>424</v>
      </c>
    </row>
    <row r="426" spans="1:2" x14ac:dyDescent="0.25">
      <c r="A426" s="6">
        <v>2599.5100000000002</v>
      </c>
      <c r="B426">
        <v>425</v>
      </c>
    </row>
    <row r="427" spans="1:2" x14ac:dyDescent="0.25">
      <c r="A427" s="6">
        <v>2602.4299999999994</v>
      </c>
      <c r="B427">
        <v>426</v>
      </c>
    </row>
    <row r="428" spans="1:2" x14ac:dyDescent="0.25">
      <c r="A428" s="6">
        <v>2604.6900000000005</v>
      </c>
      <c r="B428">
        <v>427</v>
      </c>
    </row>
    <row r="429" spans="1:2" x14ac:dyDescent="0.25">
      <c r="A429" s="6">
        <v>2609.17</v>
      </c>
      <c r="B429">
        <v>428</v>
      </c>
    </row>
    <row r="430" spans="1:2" x14ac:dyDescent="0.25">
      <c r="A430" s="6">
        <v>2616.66</v>
      </c>
      <c r="B430">
        <v>429</v>
      </c>
    </row>
    <row r="431" spans="1:2" x14ac:dyDescent="0.25">
      <c r="A431" s="6">
        <v>2617.6000000000004</v>
      </c>
      <c r="B431">
        <v>430</v>
      </c>
    </row>
    <row r="432" spans="1:2" x14ac:dyDescent="0.25">
      <c r="A432" s="6">
        <v>2617.7099999999991</v>
      </c>
      <c r="B432">
        <v>431</v>
      </c>
    </row>
    <row r="433" spans="1:2" x14ac:dyDescent="0.25">
      <c r="A433" s="6">
        <v>2618.16</v>
      </c>
      <c r="B433">
        <v>432</v>
      </c>
    </row>
    <row r="434" spans="1:2" x14ac:dyDescent="0.25">
      <c r="A434" s="6">
        <v>2621.2199999999993</v>
      </c>
      <c r="B434">
        <v>433</v>
      </c>
    </row>
    <row r="435" spans="1:2" x14ac:dyDescent="0.25">
      <c r="A435" s="6">
        <v>2621.9100000000008</v>
      </c>
      <c r="B435">
        <v>434</v>
      </c>
    </row>
    <row r="436" spans="1:2" x14ac:dyDescent="0.25">
      <c r="A436" s="6">
        <v>2622.75</v>
      </c>
      <c r="B436">
        <v>435</v>
      </c>
    </row>
    <row r="437" spans="1:2" x14ac:dyDescent="0.25">
      <c r="A437" s="6">
        <v>2625.2200000000003</v>
      </c>
      <c r="B437">
        <v>436</v>
      </c>
    </row>
    <row r="438" spans="1:2" x14ac:dyDescent="0.25">
      <c r="A438" s="6">
        <v>2626.7800000000007</v>
      </c>
      <c r="B438">
        <v>437</v>
      </c>
    </row>
    <row r="439" spans="1:2" x14ac:dyDescent="0.25">
      <c r="A439" s="6">
        <v>2629.5699999999997</v>
      </c>
      <c r="B439">
        <v>438</v>
      </c>
    </row>
    <row r="440" spans="1:2" x14ac:dyDescent="0.25">
      <c r="A440" s="6">
        <v>2629.7200000000003</v>
      </c>
      <c r="B440">
        <v>439</v>
      </c>
    </row>
    <row r="441" spans="1:2" x14ac:dyDescent="0.25">
      <c r="A441" s="6">
        <v>2630.3500000000004</v>
      </c>
      <c r="B441">
        <v>440</v>
      </c>
    </row>
    <row r="442" spans="1:2" x14ac:dyDescent="0.25">
      <c r="A442" s="6">
        <v>2630.9499999999989</v>
      </c>
      <c r="B442">
        <v>441</v>
      </c>
    </row>
    <row r="443" spans="1:2" x14ac:dyDescent="0.25">
      <c r="A443" s="6">
        <v>2631.62</v>
      </c>
      <c r="B443">
        <v>442</v>
      </c>
    </row>
    <row r="444" spans="1:2" x14ac:dyDescent="0.25">
      <c r="A444" s="6">
        <v>2634.1499999999996</v>
      </c>
      <c r="B444">
        <v>443</v>
      </c>
    </row>
    <row r="445" spans="1:2" x14ac:dyDescent="0.25">
      <c r="A445" s="6">
        <v>2634.6900000000005</v>
      </c>
      <c r="B445">
        <v>444</v>
      </c>
    </row>
    <row r="446" spans="1:2" x14ac:dyDescent="0.25">
      <c r="A446" s="6">
        <v>2636.9399999999996</v>
      </c>
      <c r="B446">
        <v>445</v>
      </c>
    </row>
    <row r="447" spans="1:2" x14ac:dyDescent="0.25">
      <c r="A447" s="6">
        <v>2638.24</v>
      </c>
      <c r="B447">
        <v>446</v>
      </c>
    </row>
    <row r="448" spans="1:2" x14ac:dyDescent="0.25">
      <c r="A448" s="6">
        <v>2641.4999999999991</v>
      </c>
      <c r="B448">
        <v>447</v>
      </c>
    </row>
    <row r="449" spans="1:2" x14ac:dyDescent="0.25">
      <c r="A449" s="6">
        <v>2642.1099999999997</v>
      </c>
      <c r="B449">
        <v>448</v>
      </c>
    </row>
    <row r="450" spans="1:2" x14ac:dyDescent="0.25">
      <c r="A450" s="6">
        <v>2642.4400000000005</v>
      </c>
      <c r="B450">
        <v>449</v>
      </c>
    </row>
    <row r="451" spans="1:2" x14ac:dyDescent="0.25">
      <c r="A451" s="6">
        <v>2645.7200000000003</v>
      </c>
      <c r="B451">
        <v>450</v>
      </c>
    </row>
    <row r="452" spans="1:2" x14ac:dyDescent="0.25">
      <c r="A452" s="6">
        <v>2651.2299999999996</v>
      </c>
      <c r="B452">
        <v>451</v>
      </c>
    </row>
    <row r="453" spans="1:2" x14ac:dyDescent="0.25">
      <c r="A453" s="6">
        <v>2662.1900000000005</v>
      </c>
      <c r="B453">
        <v>452</v>
      </c>
    </row>
    <row r="454" spans="1:2" x14ac:dyDescent="0.25">
      <c r="A454" s="6">
        <v>2665.3600000000006</v>
      </c>
      <c r="B454">
        <v>453</v>
      </c>
    </row>
    <row r="455" spans="1:2" x14ac:dyDescent="0.25">
      <c r="A455" s="6">
        <v>2666.1699999999992</v>
      </c>
      <c r="B455">
        <v>454</v>
      </c>
    </row>
    <row r="456" spans="1:2" x14ac:dyDescent="0.25">
      <c r="A456" s="6">
        <v>2669.13</v>
      </c>
      <c r="B456">
        <v>455</v>
      </c>
    </row>
    <row r="457" spans="1:2" x14ac:dyDescent="0.25">
      <c r="A457" s="6">
        <v>2670.0999999999995</v>
      </c>
      <c r="B457">
        <v>456</v>
      </c>
    </row>
    <row r="458" spans="1:2" x14ac:dyDescent="0.25">
      <c r="A458" s="6">
        <v>2671.4700000000003</v>
      </c>
      <c r="B458">
        <v>457</v>
      </c>
    </row>
    <row r="459" spans="1:2" x14ac:dyDescent="0.25">
      <c r="A459" s="6">
        <v>2675.42</v>
      </c>
      <c r="B459">
        <v>458</v>
      </c>
    </row>
    <row r="460" spans="1:2" x14ac:dyDescent="0.25">
      <c r="A460" s="6">
        <v>2679.5600000000004</v>
      </c>
      <c r="B460">
        <v>459</v>
      </c>
    </row>
    <row r="461" spans="1:2" x14ac:dyDescent="0.25">
      <c r="A461" s="6">
        <v>2679.6000000000004</v>
      </c>
      <c r="B461">
        <v>460</v>
      </c>
    </row>
    <row r="462" spans="1:2" x14ac:dyDescent="0.25">
      <c r="A462" s="6">
        <v>2689.7999999999993</v>
      </c>
      <c r="B462">
        <v>461</v>
      </c>
    </row>
    <row r="463" spans="1:2" x14ac:dyDescent="0.25">
      <c r="A463" s="6">
        <v>2691.3600000000006</v>
      </c>
      <c r="B463">
        <v>462</v>
      </c>
    </row>
    <row r="464" spans="1:2" x14ac:dyDescent="0.25">
      <c r="A464" s="6">
        <v>2694.6499999999996</v>
      </c>
      <c r="B464">
        <v>463</v>
      </c>
    </row>
    <row r="465" spans="1:2" x14ac:dyDescent="0.25">
      <c r="A465" s="6">
        <v>2695.2400000000007</v>
      </c>
      <c r="B465">
        <v>464</v>
      </c>
    </row>
    <row r="466" spans="1:2" x14ac:dyDescent="0.25">
      <c r="A466" s="6">
        <v>2699.63</v>
      </c>
      <c r="B466">
        <v>465</v>
      </c>
    </row>
    <row r="467" spans="1:2" x14ac:dyDescent="0.25">
      <c r="A467" s="6">
        <v>2704.0000000000009</v>
      </c>
      <c r="B467">
        <v>466</v>
      </c>
    </row>
    <row r="468" spans="1:2" x14ac:dyDescent="0.25">
      <c r="A468" s="6">
        <v>2705.0400000000009</v>
      </c>
      <c r="B468">
        <v>467</v>
      </c>
    </row>
    <row r="469" spans="1:2" x14ac:dyDescent="0.25">
      <c r="A469" s="6">
        <v>2709.0200000000004</v>
      </c>
      <c r="B469">
        <v>468</v>
      </c>
    </row>
    <row r="470" spans="1:2" x14ac:dyDescent="0.25">
      <c r="A470" s="6">
        <v>2722.4299999999994</v>
      </c>
      <c r="B470">
        <v>469</v>
      </c>
    </row>
    <row r="471" spans="1:2" x14ac:dyDescent="0.25">
      <c r="A471" s="6">
        <v>2723.7</v>
      </c>
      <c r="B471">
        <v>470</v>
      </c>
    </row>
    <row r="472" spans="1:2" x14ac:dyDescent="0.25">
      <c r="A472" s="6">
        <v>2725.6200000000008</v>
      </c>
      <c r="B472">
        <v>471</v>
      </c>
    </row>
    <row r="473" spans="1:2" x14ac:dyDescent="0.25">
      <c r="A473" s="6">
        <v>2726.8700000000008</v>
      </c>
      <c r="B473">
        <v>472</v>
      </c>
    </row>
    <row r="474" spans="1:2" x14ac:dyDescent="0.25">
      <c r="A474" s="6">
        <v>2727.5199999999995</v>
      </c>
      <c r="B474">
        <v>473</v>
      </c>
    </row>
    <row r="475" spans="1:2" x14ac:dyDescent="0.25">
      <c r="A475" s="6">
        <v>2729.4900000000007</v>
      </c>
      <c r="B475">
        <v>474</v>
      </c>
    </row>
    <row r="476" spans="1:2" x14ac:dyDescent="0.25">
      <c r="A476" s="6">
        <v>2734.9500000000007</v>
      </c>
      <c r="B476">
        <v>475</v>
      </c>
    </row>
    <row r="477" spans="1:2" x14ac:dyDescent="0.25">
      <c r="A477" s="6">
        <v>2735.7500000000009</v>
      </c>
      <c r="B477">
        <v>476</v>
      </c>
    </row>
    <row r="478" spans="1:2" x14ac:dyDescent="0.25">
      <c r="A478" s="6">
        <v>2736.3300000000008</v>
      </c>
      <c r="B478">
        <v>477</v>
      </c>
    </row>
    <row r="479" spans="1:2" x14ac:dyDescent="0.25">
      <c r="A479" s="6">
        <v>2746.9700000000003</v>
      </c>
      <c r="B479">
        <v>478</v>
      </c>
    </row>
    <row r="480" spans="1:2" x14ac:dyDescent="0.25">
      <c r="A480" s="6">
        <v>2748.4300000000003</v>
      </c>
      <c r="B480">
        <v>479</v>
      </c>
    </row>
    <row r="481" spans="1:2" x14ac:dyDescent="0.25">
      <c r="A481" s="6">
        <v>2750.4100000000008</v>
      </c>
      <c r="B481">
        <v>480</v>
      </c>
    </row>
    <row r="482" spans="1:2" x14ac:dyDescent="0.25">
      <c r="A482" s="6">
        <v>2751.21</v>
      </c>
      <c r="B482">
        <v>481</v>
      </c>
    </row>
    <row r="483" spans="1:2" x14ac:dyDescent="0.25">
      <c r="A483" s="6">
        <v>2753.3099999999995</v>
      </c>
      <c r="B483">
        <v>482</v>
      </c>
    </row>
    <row r="484" spans="1:2" x14ac:dyDescent="0.25">
      <c r="A484" s="6">
        <v>2755.4599999999991</v>
      </c>
      <c r="B484">
        <v>483</v>
      </c>
    </row>
    <row r="485" spans="1:2" x14ac:dyDescent="0.25">
      <c r="A485" s="6">
        <v>2757.1000000000004</v>
      </c>
      <c r="B485">
        <v>484</v>
      </c>
    </row>
    <row r="486" spans="1:2" x14ac:dyDescent="0.25">
      <c r="A486" s="6">
        <v>2766.3100000000004</v>
      </c>
      <c r="B486">
        <v>485</v>
      </c>
    </row>
    <row r="487" spans="1:2" x14ac:dyDescent="0.25">
      <c r="A487" s="6">
        <v>2775.38</v>
      </c>
      <c r="B487">
        <v>486</v>
      </c>
    </row>
    <row r="488" spans="1:2" x14ac:dyDescent="0.25">
      <c r="A488" s="6">
        <v>2781.2100000000009</v>
      </c>
      <c r="B488">
        <v>487</v>
      </c>
    </row>
    <row r="489" spans="1:2" x14ac:dyDescent="0.25">
      <c r="A489" s="6">
        <v>2785.0599999999995</v>
      </c>
      <c r="B489">
        <v>488</v>
      </c>
    </row>
    <row r="490" spans="1:2" x14ac:dyDescent="0.25">
      <c r="A490" s="6">
        <v>2785.4100000000008</v>
      </c>
      <c r="B490">
        <v>489</v>
      </c>
    </row>
    <row r="491" spans="1:2" x14ac:dyDescent="0.25">
      <c r="A491" s="6">
        <v>2785.6000000000004</v>
      </c>
      <c r="B491">
        <v>490</v>
      </c>
    </row>
    <row r="492" spans="1:2" x14ac:dyDescent="0.25">
      <c r="A492" s="6">
        <v>2787.33</v>
      </c>
      <c r="B492">
        <v>491</v>
      </c>
    </row>
    <row r="493" spans="1:2" x14ac:dyDescent="0.25">
      <c r="A493" s="6">
        <v>2787.6500000000005</v>
      </c>
      <c r="B493">
        <v>492</v>
      </c>
    </row>
    <row r="494" spans="1:2" x14ac:dyDescent="0.25">
      <c r="A494" s="6">
        <v>2787.79</v>
      </c>
      <c r="B494">
        <v>493</v>
      </c>
    </row>
    <row r="495" spans="1:2" x14ac:dyDescent="0.25">
      <c r="A495" s="6">
        <v>2788.0099999999993</v>
      </c>
      <c r="B495">
        <v>494</v>
      </c>
    </row>
    <row r="496" spans="1:2" x14ac:dyDescent="0.25">
      <c r="A496" s="6">
        <v>2797.8300000000008</v>
      </c>
      <c r="B496">
        <v>495</v>
      </c>
    </row>
    <row r="497" spans="1:2" x14ac:dyDescent="0.25">
      <c r="A497" s="6">
        <v>2798.17</v>
      </c>
      <c r="B497">
        <v>496</v>
      </c>
    </row>
    <row r="498" spans="1:2" x14ac:dyDescent="0.25">
      <c r="A498" s="6">
        <v>2798.6900000000005</v>
      </c>
      <c r="B498">
        <v>497</v>
      </c>
    </row>
    <row r="499" spans="1:2" x14ac:dyDescent="0.25">
      <c r="A499" s="6">
        <v>2804.7700000000004</v>
      </c>
      <c r="B499">
        <v>498</v>
      </c>
    </row>
    <row r="500" spans="1:2" x14ac:dyDescent="0.25">
      <c r="A500" s="6">
        <v>2812.4399999999996</v>
      </c>
      <c r="B500">
        <v>499</v>
      </c>
    </row>
    <row r="501" spans="1:2" x14ac:dyDescent="0.25">
      <c r="A501" s="6">
        <v>2816.380000000001</v>
      </c>
      <c r="B501">
        <v>500</v>
      </c>
    </row>
    <row r="502" spans="1:2" x14ac:dyDescent="0.25">
      <c r="A502" s="6">
        <v>2817.04</v>
      </c>
      <c r="B502">
        <v>501</v>
      </c>
    </row>
    <row r="503" spans="1:2" x14ac:dyDescent="0.25">
      <c r="A503" s="6">
        <v>2821.7200000000012</v>
      </c>
      <c r="B503">
        <v>502</v>
      </c>
    </row>
    <row r="504" spans="1:2" x14ac:dyDescent="0.25">
      <c r="A504" s="6">
        <v>2824.12</v>
      </c>
      <c r="B504">
        <v>503</v>
      </c>
    </row>
    <row r="505" spans="1:2" x14ac:dyDescent="0.25">
      <c r="A505" s="6">
        <v>2826.88</v>
      </c>
      <c r="B505">
        <v>504</v>
      </c>
    </row>
    <row r="506" spans="1:2" x14ac:dyDescent="0.25">
      <c r="A506" s="6">
        <v>2837.2700000000004</v>
      </c>
      <c r="B506">
        <v>505</v>
      </c>
    </row>
    <row r="507" spans="1:2" x14ac:dyDescent="0.25">
      <c r="A507" s="6">
        <v>2845.0300000000007</v>
      </c>
      <c r="B507">
        <v>506</v>
      </c>
    </row>
    <row r="508" spans="1:2" x14ac:dyDescent="0.25">
      <c r="A508" s="6">
        <v>2846.49</v>
      </c>
      <c r="B508">
        <v>507</v>
      </c>
    </row>
    <row r="509" spans="1:2" x14ac:dyDescent="0.25">
      <c r="A509" s="6">
        <v>2850.4900000000007</v>
      </c>
      <c r="B509">
        <v>508</v>
      </c>
    </row>
    <row r="510" spans="1:2" x14ac:dyDescent="0.25">
      <c r="A510" s="6">
        <v>2852.6399999999994</v>
      </c>
      <c r="B510">
        <v>509</v>
      </c>
    </row>
    <row r="511" spans="1:2" x14ac:dyDescent="0.25">
      <c r="A511" s="6">
        <v>2854.119999999999</v>
      </c>
      <c r="B511">
        <v>510</v>
      </c>
    </row>
    <row r="512" spans="1:2" x14ac:dyDescent="0.25">
      <c r="A512" s="6">
        <v>2854.88</v>
      </c>
      <c r="B512">
        <v>511</v>
      </c>
    </row>
    <row r="513" spans="1:2" x14ac:dyDescent="0.25">
      <c r="A513" s="6">
        <v>2858.75</v>
      </c>
      <c r="B513">
        <v>512</v>
      </c>
    </row>
    <row r="514" spans="1:2" x14ac:dyDescent="0.25">
      <c r="A514" s="6">
        <v>2860.24</v>
      </c>
      <c r="B514">
        <v>513</v>
      </c>
    </row>
    <row r="515" spans="1:2" x14ac:dyDescent="0.25">
      <c r="A515" s="6">
        <v>2866.5500000000011</v>
      </c>
      <c r="B515">
        <v>514</v>
      </c>
    </row>
    <row r="516" spans="1:2" x14ac:dyDescent="0.25">
      <c r="A516" s="6">
        <v>2867.7699999999995</v>
      </c>
      <c r="B516">
        <v>515</v>
      </c>
    </row>
    <row r="517" spans="1:2" x14ac:dyDescent="0.25">
      <c r="A517" s="6">
        <v>2874.26</v>
      </c>
      <c r="B517">
        <v>516</v>
      </c>
    </row>
    <row r="518" spans="1:2" x14ac:dyDescent="0.25">
      <c r="A518" s="6">
        <v>2876.7700000000004</v>
      </c>
      <c r="B518">
        <v>517</v>
      </c>
    </row>
    <row r="519" spans="1:2" x14ac:dyDescent="0.25">
      <c r="A519" s="6">
        <v>2878.3900000000012</v>
      </c>
      <c r="B519">
        <v>518</v>
      </c>
    </row>
    <row r="520" spans="1:2" x14ac:dyDescent="0.25">
      <c r="A520" s="6">
        <v>2878.8200000000006</v>
      </c>
      <c r="B520">
        <v>519</v>
      </c>
    </row>
    <row r="521" spans="1:2" x14ac:dyDescent="0.25">
      <c r="A521" s="6">
        <v>2880.3099999999995</v>
      </c>
      <c r="B521">
        <v>520</v>
      </c>
    </row>
    <row r="522" spans="1:2" x14ac:dyDescent="0.25">
      <c r="A522" s="6">
        <v>2880.9100000000008</v>
      </c>
      <c r="B522">
        <v>521</v>
      </c>
    </row>
    <row r="523" spans="1:2" x14ac:dyDescent="0.25">
      <c r="A523" s="6">
        <v>2884.4499999999989</v>
      </c>
      <c r="B523">
        <v>522</v>
      </c>
    </row>
    <row r="524" spans="1:2" x14ac:dyDescent="0.25">
      <c r="A524" s="6">
        <v>2892.6999999999989</v>
      </c>
      <c r="B524">
        <v>523</v>
      </c>
    </row>
    <row r="525" spans="1:2" x14ac:dyDescent="0.25">
      <c r="A525" s="6">
        <v>2894.58</v>
      </c>
      <c r="B525">
        <v>524</v>
      </c>
    </row>
    <row r="526" spans="1:2" x14ac:dyDescent="0.25">
      <c r="A526" s="6">
        <v>2896.0300000000007</v>
      </c>
      <c r="B526">
        <v>525</v>
      </c>
    </row>
    <row r="527" spans="1:2" x14ac:dyDescent="0.25">
      <c r="A527" s="6">
        <v>2902.0300000000007</v>
      </c>
      <c r="B527">
        <v>526</v>
      </c>
    </row>
    <row r="528" spans="1:2" x14ac:dyDescent="0.25">
      <c r="A528" s="6">
        <v>2904.6099999999997</v>
      </c>
      <c r="B528">
        <v>527</v>
      </c>
    </row>
    <row r="529" spans="1:2" x14ac:dyDescent="0.25">
      <c r="A529" s="6">
        <v>2906.8999999999996</v>
      </c>
      <c r="B529">
        <v>528</v>
      </c>
    </row>
    <row r="530" spans="1:2" x14ac:dyDescent="0.25">
      <c r="A530" s="6">
        <v>2908.2200000000003</v>
      </c>
      <c r="B530">
        <v>529</v>
      </c>
    </row>
    <row r="531" spans="1:2" x14ac:dyDescent="0.25">
      <c r="A531" s="6">
        <v>2909.58</v>
      </c>
      <c r="B531">
        <v>530</v>
      </c>
    </row>
    <row r="532" spans="1:2" x14ac:dyDescent="0.25">
      <c r="A532" s="6">
        <v>2911.3900000000003</v>
      </c>
      <c r="B532">
        <v>531</v>
      </c>
    </row>
    <row r="533" spans="1:2" x14ac:dyDescent="0.25">
      <c r="A533" s="6">
        <v>2913.9800000000005</v>
      </c>
      <c r="B533">
        <v>532</v>
      </c>
    </row>
    <row r="534" spans="1:2" x14ac:dyDescent="0.25">
      <c r="A534" s="6">
        <v>2920.12</v>
      </c>
      <c r="B534">
        <v>533</v>
      </c>
    </row>
    <row r="535" spans="1:2" x14ac:dyDescent="0.25">
      <c r="A535" s="6">
        <v>2922.6099999999997</v>
      </c>
      <c r="B535">
        <v>534</v>
      </c>
    </row>
    <row r="536" spans="1:2" x14ac:dyDescent="0.25">
      <c r="A536" s="6">
        <v>2924.17</v>
      </c>
      <c r="B536">
        <v>535</v>
      </c>
    </row>
    <row r="537" spans="1:2" x14ac:dyDescent="0.25">
      <c r="A537" s="6">
        <v>2926.4199999999992</v>
      </c>
      <c r="B537">
        <v>536</v>
      </c>
    </row>
    <row r="538" spans="1:2" x14ac:dyDescent="0.25">
      <c r="A538" s="6">
        <v>2926.7699999999995</v>
      </c>
      <c r="B538">
        <v>537</v>
      </c>
    </row>
    <row r="539" spans="1:2" x14ac:dyDescent="0.25">
      <c r="A539" s="6">
        <v>2930.5000000000009</v>
      </c>
      <c r="B539">
        <v>538</v>
      </c>
    </row>
    <row r="540" spans="1:2" x14ac:dyDescent="0.25">
      <c r="A540" s="6">
        <v>2931.4700000000012</v>
      </c>
      <c r="B540">
        <v>539</v>
      </c>
    </row>
    <row r="541" spans="1:2" x14ac:dyDescent="0.25">
      <c r="A541" s="6">
        <v>2933.9000000000005</v>
      </c>
      <c r="B541">
        <v>540</v>
      </c>
    </row>
    <row r="542" spans="1:2" x14ac:dyDescent="0.25">
      <c r="A542" s="6">
        <v>2935.2300000000005</v>
      </c>
      <c r="B542">
        <v>541</v>
      </c>
    </row>
    <row r="543" spans="1:2" x14ac:dyDescent="0.25">
      <c r="A543" s="6">
        <v>2936.0099999999993</v>
      </c>
      <c r="B543">
        <v>542</v>
      </c>
    </row>
    <row r="544" spans="1:2" x14ac:dyDescent="0.25">
      <c r="A544" s="6">
        <v>2936.0199999999995</v>
      </c>
      <c r="B544">
        <v>543</v>
      </c>
    </row>
    <row r="545" spans="1:2" x14ac:dyDescent="0.25">
      <c r="A545" s="6">
        <v>2936.7599999999993</v>
      </c>
      <c r="B545">
        <v>544</v>
      </c>
    </row>
    <row r="546" spans="1:2" x14ac:dyDescent="0.25">
      <c r="A546" s="6">
        <v>2937.2100000000009</v>
      </c>
      <c r="B546">
        <v>545</v>
      </c>
    </row>
    <row r="547" spans="1:2" x14ac:dyDescent="0.25">
      <c r="A547" s="6">
        <v>2940.7200000000012</v>
      </c>
      <c r="B547">
        <v>546</v>
      </c>
    </row>
    <row r="548" spans="1:2" x14ac:dyDescent="0.25">
      <c r="A548" s="6">
        <v>2941.4600000000009</v>
      </c>
      <c r="B548">
        <v>547</v>
      </c>
    </row>
    <row r="549" spans="1:2" x14ac:dyDescent="0.25">
      <c r="A549" s="6">
        <v>2946.8100000000004</v>
      </c>
      <c r="B549">
        <v>548</v>
      </c>
    </row>
    <row r="550" spans="1:2" x14ac:dyDescent="0.25">
      <c r="A550" s="6">
        <v>2947.1100000000006</v>
      </c>
      <c r="B550">
        <v>549</v>
      </c>
    </row>
    <row r="551" spans="1:2" x14ac:dyDescent="0.25">
      <c r="A551" s="6">
        <v>2947.1400000000003</v>
      </c>
      <c r="B551">
        <v>550</v>
      </c>
    </row>
    <row r="552" spans="1:2" x14ac:dyDescent="0.25">
      <c r="A552" s="6">
        <v>2949.6399999999994</v>
      </c>
      <c r="B552">
        <v>551</v>
      </c>
    </row>
    <row r="553" spans="1:2" x14ac:dyDescent="0.25">
      <c r="A553" s="6">
        <v>2952.3600000000006</v>
      </c>
      <c r="B553">
        <v>552</v>
      </c>
    </row>
    <row r="554" spans="1:2" x14ac:dyDescent="0.25">
      <c r="A554" s="6">
        <v>2953.4999999999991</v>
      </c>
      <c r="B554">
        <v>553</v>
      </c>
    </row>
    <row r="555" spans="1:2" x14ac:dyDescent="0.25">
      <c r="A555" s="6">
        <v>2958.9300000000003</v>
      </c>
      <c r="B555">
        <v>554</v>
      </c>
    </row>
    <row r="556" spans="1:2" x14ac:dyDescent="0.25">
      <c r="A556" s="6">
        <v>2961.04</v>
      </c>
      <c r="B556">
        <v>555</v>
      </c>
    </row>
    <row r="557" spans="1:2" x14ac:dyDescent="0.25">
      <c r="A557" s="6">
        <v>2962.9800000000005</v>
      </c>
      <c r="B557">
        <v>556</v>
      </c>
    </row>
    <row r="558" spans="1:2" x14ac:dyDescent="0.25">
      <c r="A558" s="6">
        <v>2964.4400000000005</v>
      </c>
      <c r="B558">
        <v>557</v>
      </c>
    </row>
    <row r="559" spans="1:2" x14ac:dyDescent="0.25">
      <c r="A559" s="6">
        <v>2970.7200000000003</v>
      </c>
      <c r="B559">
        <v>558</v>
      </c>
    </row>
    <row r="560" spans="1:2" x14ac:dyDescent="0.25">
      <c r="A560" s="6">
        <v>2974.7299999999996</v>
      </c>
      <c r="B560">
        <v>559</v>
      </c>
    </row>
    <row r="561" spans="1:2" x14ac:dyDescent="0.25">
      <c r="A561" s="6">
        <v>2975.2199999999993</v>
      </c>
      <c r="B561">
        <v>560</v>
      </c>
    </row>
    <row r="562" spans="1:2" x14ac:dyDescent="0.25">
      <c r="A562" s="6">
        <v>2976.2000000000007</v>
      </c>
      <c r="B562">
        <v>561</v>
      </c>
    </row>
    <row r="563" spans="1:2" x14ac:dyDescent="0.25">
      <c r="A563" s="6">
        <v>2978.1900000000005</v>
      </c>
      <c r="B563">
        <v>562</v>
      </c>
    </row>
    <row r="564" spans="1:2" x14ac:dyDescent="0.25">
      <c r="A564" s="6">
        <v>2988.6100000000006</v>
      </c>
      <c r="B564">
        <v>563</v>
      </c>
    </row>
    <row r="565" spans="1:2" x14ac:dyDescent="0.25">
      <c r="A565" s="6">
        <v>2996.1900000000005</v>
      </c>
      <c r="B565">
        <v>564</v>
      </c>
    </row>
    <row r="566" spans="1:2" x14ac:dyDescent="0.25">
      <c r="A566" s="6">
        <v>3002.6900000000005</v>
      </c>
      <c r="B566">
        <v>565</v>
      </c>
    </row>
    <row r="567" spans="1:2" x14ac:dyDescent="0.25">
      <c r="A567" s="6">
        <v>3004.25</v>
      </c>
      <c r="B567">
        <v>566</v>
      </c>
    </row>
    <row r="568" spans="1:2" x14ac:dyDescent="0.25">
      <c r="A568" s="6">
        <v>3007.46</v>
      </c>
      <c r="B568">
        <v>567</v>
      </c>
    </row>
    <row r="569" spans="1:2" x14ac:dyDescent="0.25">
      <c r="A569" s="6">
        <v>3008.6499999999996</v>
      </c>
      <c r="B569">
        <v>568</v>
      </c>
    </row>
    <row r="570" spans="1:2" x14ac:dyDescent="0.25">
      <c r="A570" s="6">
        <v>3015.41</v>
      </c>
      <c r="B570">
        <v>569</v>
      </c>
    </row>
    <row r="571" spans="1:2" x14ac:dyDescent="0.25">
      <c r="A571" s="6">
        <v>3015.71</v>
      </c>
      <c r="B571">
        <v>570</v>
      </c>
    </row>
    <row r="572" spans="1:2" x14ac:dyDescent="0.25">
      <c r="A572" s="6">
        <v>3019.99</v>
      </c>
      <c r="B572">
        <v>571</v>
      </c>
    </row>
    <row r="573" spans="1:2" x14ac:dyDescent="0.25">
      <c r="A573" s="6">
        <v>3021.1900000000005</v>
      </c>
      <c r="B573">
        <v>572</v>
      </c>
    </row>
    <row r="574" spans="1:2" x14ac:dyDescent="0.25">
      <c r="A574" s="6">
        <v>3021.49</v>
      </c>
      <c r="B574">
        <v>573</v>
      </c>
    </row>
    <row r="575" spans="1:2" x14ac:dyDescent="0.25">
      <c r="A575" s="6">
        <v>3021.9800000000005</v>
      </c>
      <c r="B575">
        <v>574</v>
      </c>
    </row>
    <row r="576" spans="1:2" x14ac:dyDescent="0.25">
      <c r="A576" s="6">
        <v>3023.6800000000003</v>
      </c>
      <c r="B576">
        <v>575</v>
      </c>
    </row>
    <row r="577" spans="1:2" x14ac:dyDescent="0.25">
      <c r="A577" s="6">
        <v>3035.1499999999996</v>
      </c>
      <c r="B577">
        <v>576</v>
      </c>
    </row>
    <row r="578" spans="1:2" x14ac:dyDescent="0.25">
      <c r="A578" s="6">
        <v>3043.01</v>
      </c>
      <c r="B578">
        <v>577</v>
      </c>
    </row>
    <row r="579" spans="1:2" x14ac:dyDescent="0.25">
      <c r="A579" s="6">
        <v>3043.2</v>
      </c>
      <c r="B579">
        <v>578</v>
      </c>
    </row>
    <row r="580" spans="1:2" x14ac:dyDescent="0.25">
      <c r="A580" s="6">
        <v>3044.7499999999991</v>
      </c>
      <c r="B580">
        <v>579</v>
      </c>
    </row>
    <row r="581" spans="1:2" x14ac:dyDescent="0.25">
      <c r="A581" s="6">
        <v>3050.9699999999993</v>
      </c>
      <c r="B581">
        <v>580</v>
      </c>
    </row>
    <row r="582" spans="1:2" x14ac:dyDescent="0.25">
      <c r="A582" s="6">
        <v>3052.9799999999996</v>
      </c>
      <c r="B582">
        <v>581</v>
      </c>
    </row>
    <row r="583" spans="1:2" x14ac:dyDescent="0.25">
      <c r="A583" s="6">
        <v>3055.6899999999996</v>
      </c>
      <c r="B583">
        <v>582</v>
      </c>
    </row>
    <row r="584" spans="1:2" x14ac:dyDescent="0.25">
      <c r="A584" s="6">
        <v>3062.6299999999992</v>
      </c>
      <c r="B584">
        <v>583</v>
      </c>
    </row>
    <row r="585" spans="1:2" x14ac:dyDescent="0.25">
      <c r="A585" s="6">
        <v>3063.92</v>
      </c>
      <c r="B585">
        <v>584</v>
      </c>
    </row>
    <row r="586" spans="1:2" x14ac:dyDescent="0.25">
      <c r="A586" s="6">
        <v>3065.7799999999997</v>
      </c>
      <c r="B586">
        <v>585</v>
      </c>
    </row>
    <row r="587" spans="1:2" x14ac:dyDescent="0.25">
      <c r="A587" s="6">
        <v>3066.0700000000006</v>
      </c>
      <c r="B587">
        <v>586</v>
      </c>
    </row>
    <row r="588" spans="1:2" x14ac:dyDescent="0.25">
      <c r="A588" s="6">
        <v>3068.1099999999997</v>
      </c>
      <c r="B588">
        <v>587</v>
      </c>
    </row>
    <row r="589" spans="1:2" x14ac:dyDescent="0.25">
      <c r="A589" s="6">
        <v>3069.04</v>
      </c>
      <c r="B589">
        <v>588</v>
      </c>
    </row>
    <row r="590" spans="1:2" x14ac:dyDescent="0.25">
      <c r="A590" s="6">
        <v>3071.2900000000009</v>
      </c>
      <c r="B590">
        <v>589</v>
      </c>
    </row>
    <row r="591" spans="1:2" x14ac:dyDescent="0.25">
      <c r="A591" s="6">
        <v>3072.6299999999992</v>
      </c>
      <c r="B591">
        <v>590</v>
      </c>
    </row>
    <row r="592" spans="1:2" x14ac:dyDescent="0.25">
      <c r="A592" s="6">
        <v>3074.8199999999997</v>
      </c>
      <c r="B592">
        <v>591</v>
      </c>
    </row>
    <row r="593" spans="1:2" x14ac:dyDescent="0.25">
      <c r="A593" s="6">
        <v>3078.2800000000007</v>
      </c>
      <c r="B593">
        <v>592</v>
      </c>
    </row>
    <row r="594" spans="1:2" x14ac:dyDescent="0.25">
      <c r="A594" s="6">
        <v>3079.579999999999</v>
      </c>
      <c r="B594">
        <v>593</v>
      </c>
    </row>
    <row r="595" spans="1:2" x14ac:dyDescent="0.25">
      <c r="A595" s="6">
        <v>3086.13</v>
      </c>
      <c r="B595">
        <v>594</v>
      </c>
    </row>
    <row r="596" spans="1:2" x14ac:dyDescent="0.25">
      <c r="A596" s="6">
        <v>3088.5800000000008</v>
      </c>
      <c r="B596">
        <v>595</v>
      </c>
    </row>
    <row r="597" spans="1:2" x14ac:dyDescent="0.25">
      <c r="A597" s="6">
        <v>3090.8000000000011</v>
      </c>
      <c r="B597">
        <v>596</v>
      </c>
    </row>
    <row r="598" spans="1:2" x14ac:dyDescent="0.25">
      <c r="A598" s="6">
        <v>3095.0700000000006</v>
      </c>
      <c r="B598">
        <v>597</v>
      </c>
    </row>
    <row r="599" spans="1:2" x14ac:dyDescent="0.25">
      <c r="A599" s="6">
        <v>3096.9799999999996</v>
      </c>
      <c r="B599">
        <v>598</v>
      </c>
    </row>
    <row r="600" spans="1:2" x14ac:dyDescent="0.25">
      <c r="A600" s="6">
        <v>3099.49</v>
      </c>
      <c r="B600">
        <v>599</v>
      </c>
    </row>
    <row r="601" spans="1:2" x14ac:dyDescent="0.25">
      <c r="A601" s="6">
        <v>3100.8999999999996</v>
      </c>
      <c r="B601">
        <v>600</v>
      </c>
    </row>
    <row r="602" spans="1:2" x14ac:dyDescent="0.25">
      <c r="A602" s="6">
        <v>3101.3700000000008</v>
      </c>
      <c r="B602">
        <v>601</v>
      </c>
    </row>
    <row r="603" spans="1:2" x14ac:dyDescent="0.25">
      <c r="A603" s="6">
        <v>3103.4100000000008</v>
      </c>
      <c r="B603">
        <v>602</v>
      </c>
    </row>
    <row r="604" spans="1:2" x14ac:dyDescent="0.25">
      <c r="A604" s="6">
        <v>3103.79</v>
      </c>
      <c r="B604">
        <v>603</v>
      </c>
    </row>
    <row r="605" spans="1:2" x14ac:dyDescent="0.25">
      <c r="A605" s="6">
        <v>3105.8</v>
      </c>
      <c r="B605">
        <v>604</v>
      </c>
    </row>
    <row r="606" spans="1:2" x14ac:dyDescent="0.25">
      <c r="A606" s="6">
        <v>3109.5399999999991</v>
      </c>
      <c r="B606">
        <v>605</v>
      </c>
    </row>
    <row r="607" spans="1:2" x14ac:dyDescent="0.25">
      <c r="A607" s="6">
        <v>3109.5499999999993</v>
      </c>
      <c r="B607">
        <v>606</v>
      </c>
    </row>
    <row r="608" spans="1:2" x14ac:dyDescent="0.25">
      <c r="A608" s="6">
        <v>3114.8099999999995</v>
      </c>
      <c r="B608">
        <v>607</v>
      </c>
    </row>
    <row r="609" spans="1:2" x14ac:dyDescent="0.25">
      <c r="A609" s="6">
        <v>3118.9199999999992</v>
      </c>
      <c r="B609">
        <v>608</v>
      </c>
    </row>
    <row r="610" spans="1:2" x14ac:dyDescent="0.25">
      <c r="A610" s="6">
        <v>3119.88</v>
      </c>
      <c r="B610">
        <v>609</v>
      </c>
    </row>
    <row r="611" spans="1:2" x14ac:dyDescent="0.25">
      <c r="A611" s="6">
        <v>3120.9600000000009</v>
      </c>
      <c r="B611">
        <v>610</v>
      </c>
    </row>
    <row r="612" spans="1:2" x14ac:dyDescent="0.25">
      <c r="A612" s="6">
        <v>3126.24</v>
      </c>
      <c r="B612">
        <v>611</v>
      </c>
    </row>
    <row r="613" spans="1:2" x14ac:dyDescent="0.25">
      <c r="A613" s="6">
        <v>3128.0200000000004</v>
      </c>
      <c r="B613">
        <v>612</v>
      </c>
    </row>
    <row r="614" spans="1:2" x14ac:dyDescent="0.25">
      <c r="A614" s="6">
        <v>3131.2300000000005</v>
      </c>
      <c r="B614">
        <v>613</v>
      </c>
    </row>
    <row r="615" spans="1:2" x14ac:dyDescent="0.25">
      <c r="A615" s="6">
        <v>3136.4000000000005</v>
      </c>
      <c r="B615">
        <v>614</v>
      </c>
    </row>
    <row r="616" spans="1:2" x14ac:dyDescent="0.25">
      <c r="A616" s="6">
        <v>3137.7899999999991</v>
      </c>
      <c r="B616">
        <v>615</v>
      </c>
    </row>
    <row r="617" spans="1:2" x14ac:dyDescent="0.25">
      <c r="A617" s="6">
        <v>3146.17</v>
      </c>
      <c r="B617">
        <v>616</v>
      </c>
    </row>
    <row r="618" spans="1:2" x14ac:dyDescent="0.25">
      <c r="A618" s="6">
        <v>3149.3099999999995</v>
      </c>
      <c r="B618">
        <v>617</v>
      </c>
    </row>
    <row r="619" spans="1:2" x14ac:dyDescent="0.25">
      <c r="A619" s="6">
        <v>3156.6800000000003</v>
      </c>
      <c r="B619">
        <v>618</v>
      </c>
    </row>
    <row r="620" spans="1:2" x14ac:dyDescent="0.25">
      <c r="A620" s="6">
        <v>3160.9900000000007</v>
      </c>
      <c r="B620">
        <v>619</v>
      </c>
    </row>
    <row r="621" spans="1:2" x14ac:dyDescent="0.25">
      <c r="A621" s="6">
        <v>3162.62</v>
      </c>
      <c r="B621">
        <v>620</v>
      </c>
    </row>
    <row r="622" spans="1:2" x14ac:dyDescent="0.25">
      <c r="A622" s="6">
        <v>3163.6600000000008</v>
      </c>
      <c r="B622">
        <v>621</v>
      </c>
    </row>
    <row r="623" spans="1:2" x14ac:dyDescent="0.25">
      <c r="A623" s="6">
        <v>3168.5</v>
      </c>
      <c r="B623">
        <v>622</v>
      </c>
    </row>
    <row r="624" spans="1:2" x14ac:dyDescent="0.25">
      <c r="A624" s="6">
        <v>3175.34</v>
      </c>
      <c r="B624">
        <v>623</v>
      </c>
    </row>
    <row r="625" spans="1:2" x14ac:dyDescent="0.25">
      <c r="A625" s="6">
        <v>3176.4600000000009</v>
      </c>
      <c r="B625">
        <v>624</v>
      </c>
    </row>
    <row r="626" spans="1:2" x14ac:dyDescent="0.25">
      <c r="A626" s="6">
        <v>3176.8400000000011</v>
      </c>
      <c r="B626">
        <v>625</v>
      </c>
    </row>
    <row r="627" spans="1:2" x14ac:dyDescent="0.25">
      <c r="A627" s="6">
        <v>3177.1999999999989</v>
      </c>
      <c r="B627">
        <v>626</v>
      </c>
    </row>
    <row r="628" spans="1:2" x14ac:dyDescent="0.25">
      <c r="A628" s="6">
        <v>3177.3200000000006</v>
      </c>
      <c r="B628">
        <v>627</v>
      </c>
    </row>
    <row r="629" spans="1:2" x14ac:dyDescent="0.25">
      <c r="A629" s="6">
        <v>3180.380000000001</v>
      </c>
      <c r="B629">
        <v>628</v>
      </c>
    </row>
    <row r="630" spans="1:2" x14ac:dyDescent="0.25">
      <c r="A630" s="6">
        <v>3184.1800000000003</v>
      </c>
      <c r="B630">
        <v>629</v>
      </c>
    </row>
    <row r="631" spans="1:2" x14ac:dyDescent="0.25">
      <c r="A631" s="6">
        <v>3187.67</v>
      </c>
      <c r="B631">
        <v>630</v>
      </c>
    </row>
    <row r="632" spans="1:2" x14ac:dyDescent="0.25">
      <c r="A632" s="6">
        <v>3192.3199999999997</v>
      </c>
      <c r="B632">
        <v>631</v>
      </c>
    </row>
    <row r="633" spans="1:2" x14ac:dyDescent="0.25">
      <c r="A633" s="6">
        <v>3194.1600000000008</v>
      </c>
      <c r="B633">
        <v>632</v>
      </c>
    </row>
    <row r="634" spans="1:2" x14ac:dyDescent="0.25">
      <c r="A634" s="6">
        <v>3194.92</v>
      </c>
      <c r="B634">
        <v>633</v>
      </c>
    </row>
    <row r="635" spans="1:2" x14ac:dyDescent="0.25">
      <c r="A635" s="6">
        <v>3195.2599999999993</v>
      </c>
      <c r="B635">
        <v>634</v>
      </c>
    </row>
    <row r="636" spans="1:2" x14ac:dyDescent="0.25">
      <c r="A636" s="6">
        <v>3196.4799999999996</v>
      </c>
      <c r="B636">
        <v>635</v>
      </c>
    </row>
    <row r="637" spans="1:2" x14ac:dyDescent="0.25">
      <c r="A637" s="6">
        <v>3198.7899999999991</v>
      </c>
      <c r="B637">
        <v>636</v>
      </c>
    </row>
    <row r="638" spans="1:2" x14ac:dyDescent="0.25">
      <c r="A638" s="6">
        <v>3209.79</v>
      </c>
      <c r="B638">
        <v>637</v>
      </c>
    </row>
    <row r="639" spans="1:2" x14ac:dyDescent="0.25">
      <c r="A639" s="6">
        <v>3211.92</v>
      </c>
      <c r="B639">
        <v>638</v>
      </c>
    </row>
    <row r="640" spans="1:2" x14ac:dyDescent="0.25">
      <c r="A640" s="6">
        <v>3213.2299999999996</v>
      </c>
      <c r="B640">
        <v>639</v>
      </c>
    </row>
    <row r="641" spans="1:2" x14ac:dyDescent="0.25">
      <c r="A641" s="6">
        <v>3213.2999999999993</v>
      </c>
      <c r="B641">
        <v>640</v>
      </c>
    </row>
    <row r="642" spans="1:2" x14ac:dyDescent="0.25">
      <c r="A642" s="6">
        <v>3213.49</v>
      </c>
      <c r="B642">
        <v>641</v>
      </c>
    </row>
    <row r="643" spans="1:2" x14ac:dyDescent="0.25">
      <c r="A643" s="6">
        <v>3216.3900000000003</v>
      </c>
      <c r="B643">
        <v>642</v>
      </c>
    </row>
    <row r="644" spans="1:2" x14ac:dyDescent="0.25">
      <c r="A644" s="6">
        <v>3216.83</v>
      </c>
      <c r="B644">
        <v>643</v>
      </c>
    </row>
    <row r="645" spans="1:2" x14ac:dyDescent="0.25">
      <c r="A645" s="6">
        <v>3225.3100000000004</v>
      </c>
      <c r="B645">
        <v>644</v>
      </c>
    </row>
    <row r="646" spans="1:2" x14ac:dyDescent="0.25">
      <c r="A646" s="6">
        <v>3231.1100000000006</v>
      </c>
      <c r="B646">
        <v>645</v>
      </c>
    </row>
    <row r="647" spans="1:2" x14ac:dyDescent="0.25">
      <c r="A647" s="6">
        <v>3239.869999999999</v>
      </c>
      <c r="B647">
        <v>646</v>
      </c>
    </row>
    <row r="648" spans="1:2" x14ac:dyDescent="0.25">
      <c r="A648" s="6">
        <v>3245.2700000000004</v>
      </c>
      <c r="B648">
        <v>647</v>
      </c>
    </row>
    <row r="649" spans="1:2" x14ac:dyDescent="0.25">
      <c r="A649" s="6">
        <v>3246.3599999999997</v>
      </c>
      <c r="B649">
        <v>648</v>
      </c>
    </row>
    <row r="650" spans="1:2" x14ac:dyDescent="0.25">
      <c r="A650" s="6">
        <v>3249.2900000000009</v>
      </c>
      <c r="B650">
        <v>649</v>
      </c>
    </row>
    <row r="651" spans="1:2" x14ac:dyDescent="0.25">
      <c r="A651" s="6">
        <v>3250.2800000000007</v>
      </c>
      <c r="B651">
        <v>650</v>
      </c>
    </row>
    <row r="652" spans="1:2" x14ac:dyDescent="0.25">
      <c r="A652" s="6">
        <v>3253.1799999999994</v>
      </c>
      <c r="B652">
        <v>651</v>
      </c>
    </row>
    <row r="653" spans="1:2" x14ac:dyDescent="0.25">
      <c r="A653" s="6">
        <v>3259.3399999999992</v>
      </c>
      <c r="B653">
        <v>652</v>
      </c>
    </row>
    <row r="654" spans="1:2" x14ac:dyDescent="0.25">
      <c r="A654" s="6">
        <v>3260.0699999999997</v>
      </c>
      <c r="B654">
        <v>653</v>
      </c>
    </row>
    <row r="655" spans="1:2" x14ac:dyDescent="0.25">
      <c r="A655" s="6">
        <v>3263.71</v>
      </c>
      <c r="B655">
        <v>654</v>
      </c>
    </row>
    <row r="656" spans="1:2" x14ac:dyDescent="0.25">
      <c r="A656" s="6">
        <v>3264.8899999999994</v>
      </c>
      <c r="B656">
        <v>655</v>
      </c>
    </row>
    <row r="657" spans="1:2" x14ac:dyDescent="0.25">
      <c r="A657" s="6">
        <v>3280.08</v>
      </c>
      <c r="B657">
        <v>656</v>
      </c>
    </row>
    <row r="658" spans="1:2" x14ac:dyDescent="0.25">
      <c r="A658" s="6">
        <v>3292.8499999999995</v>
      </c>
      <c r="B658">
        <v>657</v>
      </c>
    </row>
    <row r="659" spans="1:2" x14ac:dyDescent="0.25">
      <c r="A659" s="6">
        <v>3296.26</v>
      </c>
      <c r="B659">
        <v>658</v>
      </c>
    </row>
    <row r="660" spans="1:2" x14ac:dyDescent="0.25">
      <c r="A660" s="6">
        <v>3297.9300000000003</v>
      </c>
      <c r="B660">
        <v>659</v>
      </c>
    </row>
    <row r="661" spans="1:2" x14ac:dyDescent="0.25">
      <c r="A661" s="6">
        <v>3300.5400000000009</v>
      </c>
      <c r="B661">
        <v>660</v>
      </c>
    </row>
    <row r="662" spans="1:2" x14ac:dyDescent="0.25">
      <c r="A662" s="6">
        <v>3304.3199999999997</v>
      </c>
      <c r="B662">
        <v>661</v>
      </c>
    </row>
    <row r="663" spans="1:2" x14ac:dyDescent="0.25">
      <c r="A663" s="6">
        <v>3307.92</v>
      </c>
      <c r="B663">
        <v>662</v>
      </c>
    </row>
    <row r="664" spans="1:2" x14ac:dyDescent="0.25">
      <c r="A664" s="6">
        <v>3307.9900000000007</v>
      </c>
      <c r="B664">
        <v>663</v>
      </c>
    </row>
    <row r="665" spans="1:2" x14ac:dyDescent="0.25">
      <c r="A665" s="6">
        <v>3325.6099999999997</v>
      </c>
      <c r="B665">
        <v>664</v>
      </c>
    </row>
    <row r="666" spans="1:2" x14ac:dyDescent="0.25">
      <c r="A666" s="6">
        <v>3329.5800000000008</v>
      </c>
      <c r="B666">
        <v>665</v>
      </c>
    </row>
    <row r="667" spans="1:2" x14ac:dyDescent="0.25">
      <c r="A667" s="6">
        <v>3334.6100000000006</v>
      </c>
      <c r="B667">
        <v>666</v>
      </c>
    </row>
    <row r="668" spans="1:2" x14ac:dyDescent="0.25">
      <c r="A668" s="6">
        <v>3337.5</v>
      </c>
      <c r="B668">
        <v>667</v>
      </c>
    </row>
    <row r="669" spans="1:2" x14ac:dyDescent="0.25">
      <c r="A669" s="6">
        <v>3344.09</v>
      </c>
      <c r="B669">
        <v>668</v>
      </c>
    </row>
    <row r="670" spans="1:2" x14ac:dyDescent="0.25">
      <c r="A670" s="6">
        <v>3350.4799999999996</v>
      </c>
      <c r="B670">
        <v>669</v>
      </c>
    </row>
    <row r="671" spans="1:2" x14ac:dyDescent="0.25">
      <c r="A671" s="6">
        <v>3353.05</v>
      </c>
      <c r="B671">
        <v>670</v>
      </c>
    </row>
    <row r="672" spans="1:2" x14ac:dyDescent="0.25">
      <c r="A672" s="6">
        <v>3354.7800000000007</v>
      </c>
      <c r="B672">
        <v>671</v>
      </c>
    </row>
    <row r="673" spans="1:2" x14ac:dyDescent="0.25">
      <c r="A673" s="6">
        <v>3355.7100000000009</v>
      </c>
      <c r="B673">
        <v>672</v>
      </c>
    </row>
    <row r="674" spans="1:2" x14ac:dyDescent="0.25">
      <c r="A674" s="6">
        <v>3367.3700000000008</v>
      </c>
      <c r="B674">
        <v>673</v>
      </c>
    </row>
    <row r="675" spans="1:2" x14ac:dyDescent="0.25">
      <c r="A675" s="6">
        <v>3368.3500000000004</v>
      </c>
      <c r="B675">
        <v>674</v>
      </c>
    </row>
    <row r="676" spans="1:2" x14ac:dyDescent="0.25">
      <c r="A676" s="6">
        <v>3381.3900000000003</v>
      </c>
      <c r="B676">
        <v>675</v>
      </c>
    </row>
    <row r="677" spans="1:2" x14ac:dyDescent="0.25">
      <c r="A677" s="6">
        <v>3393.6599999999989</v>
      </c>
      <c r="B677">
        <v>676</v>
      </c>
    </row>
    <row r="678" spans="1:2" x14ac:dyDescent="0.25">
      <c r="A678" s="6">
        <v>3394.2499999999991</v>
      </c>
      <c r="B678">
        <v>677</v>
      </c>
    </row>
    <row r="679" spans="1:2" x14ac:dyDescent="0.25">
      <c r="A679" s="6">
        <v>3395.5699999999997</v>
      </c>
      <c r="B679">
        <v>678</v>
      </c>
    </row>
    <row r="680" spans="1:2" x14ac:dyDescent="0.25">
      <c r="A680" s="6">
        <v>3398.2800000000007</v>
      </c>
      <c r="B680">
        <v>679</v>
      </c>
    </row>
    <row r="681" spans="1:2" x14ac:dyDescent="0.25">
      <c r="A681" s="6">
        <v>3398.83</v>
      </c>
      <c r="B681">
        <v>680</v>
      </c>
    </row>
    <row r="682" spans="1:2" x14ac:dyDescent="0.25">
      <c r="A682" s="6">
        <v>3401.76</v>
      </c>
      <c r="B682">
        <v>681</v>
      </c>
    </row>
    <row r="683" spans="1:2" x14ac:dyDescent="0.25">
      <c r="A683" s="6">
        <v>3404.4700000000012</v>
      </c>
      <c r="B683">
        <v>682</v>
      </c>
    </row>
    <row r="684" spans="1:2" x14ac:dyDescent="0.25">
      <c r="A684" s="6">
        <v>3406.1400000000003</v>
      </c>
      <c r="B684">
        <v>683</v>
      </c>
    </row>
    <row r="685" spans="1:2" x14ac:dyDescent="0.25">
      <c r="A685" s="6">
        <v>3408.5199999999995</v>
      </c>
      <c r="B685">
        <v>684</v>
      </c>
    </row>
    <row r="686" spans="1:2" x14ac:dyDescent="0.25">
      <c r="A686" s="6">
        <v>3414.1800000000012</v>
      </c>
      <c r="B686">
        <v>685</v>
      </c>
    </row>
    <row r="687" spans="1:2" x14ac:dyDescent="0.25">
      <c r="A687" s="6">
        <v>3425.3199999999988</v>
      </c>
      <c r="B687">
        <v>686</v>
      </c>
    </row>
    <row r="688" spans="1:2" x14ac:dyDescent="0.25">
      <c r="A688" s="6">
        <v>3431.9300000000012</v>
      </c>
      <c r="B688">
        <v>687</v>
      </c>
    </row>
    <row r="689" spans="1:2" x14ac:dyDescent="0.25">
      <c r="A689" s="6">
        <v>3434.2500000000009</v>
      </c>
      <c r="B689">
        <v>688</v>
      </c>
    </row>
    <row r="690" spans="1:2" x14ac:dyDescent="0.25">
      <c r="A690" s="6">
        <v>3435.8999999999996</v>
      </c>
      <c r="B690">
        <v>689</v>
      </c>
    </row>
    <row r="691" spans="1:2" x14ac:dyDescent="0.25">
      <c r="A691" s="6">
        <v>3437.9400000000005</v>
      </c>
      <c r="B691">
        <v>690</v>
      </c>
    </row>
    <row r="692" spans="1:2" x14ac:dyDescent="0.25">
      <c r="A692" s="6">
        <v>3438.29</v>
      </c>
      <c r="B692">
        <v>691</v>
      </c>
    </row>
    <row r="693" spans="1:2" x14ac:dyDescent="0.25">
      <c r="A693" s="6">
        <v>3438.88</v>
      </c>
      <c r="B693">
        <v>692</v>
      </c>
    </row>
    <row r="694" spans="1:2" x14ac:dyDescent="0.25">
      <c r="A694" s="6">
        <v>3439.2100000000009</v>
      </c>
      <c r="B694">
        <v>693</v>
      </c>
    </row>
    <row r="695" spans="1:2" x14ac:dyDescent="0.25">
      <c r="A695" s="6">
        <v>3444.6900000000005</v>
      </c>
      <c r="B695">
        <v>694</v>
      </c>
    </row>
    <row r="696" spans="1:2" x14ac:dyDescent="0.25">
      <c r="A696" s="6">
        <v>3444.8499999999995</v>
      </c>
      <c r="B696">
        <v>695</v>
      </c>
    </row>
    <row r="697" spans="1:2" x14ac:dyDescent="0.25">
      <c r="A697" s="6">
        <v>3450.7500000000009</v>
      </c>
      <c r="B697">
        <v>696</v>
      </c>
    </row>
    <row r="698" spans="1:2" x14ac:dyDescent="0.25">
      <c r="A698" s="6">
        <v>3455.92</v>
      </c>
      <c r="B698">
        <v>697</v>
      </c>
    </row>
    <row r="699" spans="1:2" x14ac:dyDescent="0.25">
      <c r="A699" s="6">
        <v>3463.4900000000007</v>
      </c>
      <c r="B699">
        <v>698</v>
      </c>
    </row>
    <row r="700" spans="1:2" x14ac:dyDescent="0.25">
      <c r="A700" s="6">
        <v>3465.6000000000004</v>
      </c>
      <c r="B700">
        <v>699</v>
      </c>
    </row>
    <row r="701" spans="1:2" x14ac:dyDescent="0.25">
      <c r="A701" s="6">
        <v>3466.9599999999991</v>
      </c>
      <c r="B701">
        <v>700</v>
      </c>
    </row>
    <row r="702" spans="1:2" x14ac:dyDescent="0.25">
      <c r="A702" s="6">
        <v>3470.3300000000008</v>
      </c>
      <c r="B702">
        <v>701</v>
      </c>
    </row>
    <row r="703" spans="1:2" x14ac:dyDescent="0.25">
      <c r="A703" s="6">
        <v>3470.4300000000003</v>
      </c>
      <c r="B703">
        <v>702</v>
      </c>
    </row>
    <row r="704" spans="1:2" x14ac:dyDescent="0.25">
      <c r="A704" s="6">
        <v>3477.7800000000007</v>
      </c>
      <c r="B704">
        <v>703</v>
      </c>
    </row>
    <row r="705" spans="1:2" x14ac:dyDescent="0.25">
      <c r="A705" s="6">
        <v>3480.62</v>
      </c>
      <c r="B705">
        <v>704</v>
      </c>
    </row>
    <row r="706" spans="1:2" x14ac:dyDescent="0.25">
      <c r="A706" s="6">
        <v>3481.91</v>
      </c>
      <c r="B706">
        <v>705</v>
      </c>
    </row>
    <row r="707" spans="1:2" x14ac:dyDescent="0.25">
      <c r="A707" s="6">
        <v>3485.1800000000003</v>
      </c>
      <c r="B707">
        <v>706</v>
      </c>
    </row>
    <row r="708" spans="1:2" x14ac:dyDescent="0.25">
      <c r="A708" s="6">
        <v>3492.0499999999993</v>
      </c>
      <c r="B708">
        <v>707</v>
      </c>
    </row>
    <row r="709" spans="1:2" x14ac:dyDescent="0.25">
      <c r="A709" s="6">
        <v>3495.55</v>
      </c>
      <c r="B709">
        <v>708</v>
      </c>
    </row>
    <row r="710" spans="1:2" x14ac:dyDescent="0.25">
      <c r="A710" s="6">
        <v>3498.42</v>
      </c>
      <c r="B710">
        <v>709</v>
      </c>
    </row>
    <row r="711" spans="1:2" x14ac:dyDescent="0.25">
      <c r="A711" s="6">
        <v>3503.2500000000009</v>
      </c>
      <c r="B711">
        <v>710</v>
      </c>
    </row>
    <row r="712" spans="1:2" x14ac:dyDescent="0.25">
      <c r="A712" s="6">
        <v>3504.8600000000006</v>
      </c>
      <c r="B712">
        <v>711</v>
      </c>
    </row>
    <row r="713" spans="1:2" x14ac:dyDescent="0.25">
      <c r="A713" s="6">
        <v>3507.3500000000004</v>
      </c>
      <c r="B713">
        <v>712</v>
      </c>
    </row>
    <row r="714" spans="1:2" x14ac:dyDescent="0.25">
      <c r="A714" s="6">
        <v>3509.630000000001</v>
      </c>
      <c r="B714">
        <v>713</v>
      </c>
    </row>
    <row r="715" spans="1:2" x14ac:dyDescent="0.25">
      <c r="A715" s="6">
        <v>3510.2599999999993</v>
      </c>
      <c r="B715">
        <v>714</v>
      </c>
    </row>
    <row r="716" spans="1:2" x14ac:dyDescent="0.25">
      <c r="A716" s="6">
        <v>3518.2099999999991</v>
      </c>
      <c r="B716">
        <v>715</v>
      </c>
    </row>
    <row r="717" spans="1:2" x14ac:dyDescent="0.25">
      <c r="A717" s="6">
        <v>3518.3900000000003</v>
      </c>
      <c r="B717">
        <v>716</v>
      </c>
    </row>
    <row r="718" spans="1:2" x14ac:dyDescent="0.25">
      <c r="A718" s="6">
        <v>3519.1099999999997</v>
      </c>
      <c r="B718">
        <v>717</v>
      </c>
    </row>
    <row r="719" spans="1:2" x14ac:dyDescent="0.25">
      <c r="A719" s="6">
        <v>3529.5800000000008</v>
      </c>
      <c r="B719">
        <v>718</v>
      </c>
    </row>
    <row r="720" spans="1:2" x14ac:dyDescent="0.25">
      <c r="A720" s="6">
        <v>3544.83</v>
      </c>
      <c r="B720">
        <v>719</v>
      </c>
    </row>
    <row r="721" spans="1:2" x14ac:dyDescent="0.25">
      <c r="A721" s="6">
        <v>3547.6499999999987</v>
      </c>
      <c r="B721">
        <v>720</v>
      </c>
    </row>
    <row r="722" spans="1:2" x14ac:dyDescent="0.25">
      <c r="A722" s="6">
        <v>3547.7199999999993</v>
      </c>
      <c r="B722">
        <v>721</v>
      </c>
    </row>
    <row r="723" spans="1:2" x14ac:dyDescent="0.25">
      <c r="A723" s="6">
        <v>3547.9499999999989</v>
      </c>
      <c r="B723">
        <v>722</v>
      </c>
    </row>
    <row r="724" spans="1:2" x14ac:dyDescent="0.25">
      <c r="A724" s="6">
        <v>3549.08</v>
      </c>
      <c r="B724">
        <v>723</v>
      </c>
    </row>
    <row r="725" spans="1:2" x14ac:dyDescent="0.25">
      <c r="A725" s="6">
        <v>3553.12</v>
      </c>
      <c r="B725">
        <v>724</v>
      </c>
    </row>
    <row r="726" spans="1:2" x14ac:dyDescent="0.25">
      <c r="A726" s="6">
        <v>3564.5</v>
      </c>
      <c r="B726">
        <v>725</v>
      </c>
    </row>
    <row r="727" spans="1:2" x14ac:dyDescent="0.25">
      <c r="A727" s="6">
        <v>3573.21</v>
      </c>
      <c r="B727">
        <v>726</v>
      </c>
    </row>
    <row r="728" spans="1:2" x14ac:dyDescent="0.25">
      <c r="A728" s="6">
        <v>3575.1000000000004</v>
      </c>
      <c r="B728">
        <v>727</v>
      </c>
    </row>
    <row r="729" spans="1:2" x14ac:dyDescent="0.25">
      <c r="A729" s="6">
        <v>3580.3999999999996</v>
      </c>
      <c r="B729">
        <v>728</v>
      </c>
    </row>
    <row r="730" spans="1:2" x14ac:dyDescent="0.25">
      <c r="A730" s="6">
        <v>3581.3399999999992</v>
      </c>
      <c r="B730">
        <v>729</v>
      </c>
    </row>
    <row r="731" spans="1:2" x14ac:dyDescent="0.25">
      <c r="A731" s="6">
        <v>3584.76</v>
      </c>
      <c r="B731">
        <v>730</v>
      </c>
    </row>
    <row r="732" spans="1:2" x14ac:dyDescent="0.25">
      <c r="A732" s="6">
        <v>3586.8600000000006</v>
      </c>
      <c r="B732">
        <v>731</v>
      </c>
    </row>
    <row r="733" spans="1:2" x14ac:dyDescent="0.25">
      <c r="A733" s="6">
        <v>3589.6100000000006</v>
      </c>
      <c r="B733">
        <v>732</v>
      </c>
    </row>
    <row r="734" spans="1:2" x14ac:dyDescent="0.25">
      <c r="A734" s="6">
        <v>3594.7699999999995</v>
      </c>
      <c r="B734">
        <v>733</v>
      </c>
    </row>
    <row r="735" spans="1:2" x14ac:dyDescent="0.25">
      <c r="A735" s="6">
        <v>3599.2300000000005</v>
      </c>
      <c r="B735">
        <v>734</v>
      </c>
    </row>
    <row r="736" spans="1:2" x14ac:dyDescent="0.25">
      <c r="A736" s="6">
        <v>3601.130000000001</v>
      </c>
      <c r="B736">
        <v>735</v>
      </c>
    </row>
    <row r="737" spans="1:2" x14ac:dyDescent="0.25">
      <c r="A737" s="6">
        <v>3602.5699999999997</v>
      </c>
      <c r="B737">
        <v>736</v>
      </c>
    </row>
    <row r="738" spans="1:2" x14ac:dyDescent="0.25">
      <c r="A738" s="6">
        <v>3602.9100000000008</v>
      </c>
      <c r="B738">
        <v>737</v>
      </c>
    </row>
    <row r="739" spans="1:2" x14ac:dyDescent="0.25">
      <c r="A739" s="6">
        <v>3602.9599999999991</v>
      </c>
      <c r="B739">
        <v>738</v>
      </c>
    </row>
    <row r="740" spans="1:2" x14ac:dyDescent="0.25">
      <c r="A740" s="6">
        <v>3603.29</v>
      </c>
      <c r="B740">
        <v>739</v>
      </c>
    </row>
    <row r="741" spans="1:2" x14ac:dyDescent="0.25">
      <c r="A741" s="6">
        <v>3604.0199999999995</v>
      </c>
      <c r="B741">
        <v>740</v>
      </c>
    </row>
    <row r="742" spans="1:2" x14ac:dyDescent="0.25">
      <c r="A742" s="6">
        <v>3607.0200000000004</v>
      </c>
      <c r="B742">
        <v>741</v>
      </c>
    </row>
    <row r="743" spans="1:2" x14ac:dyDescent="0.25">
      <c r="A743" s="6">
        <v>3607.8399999999992</v>
      </c>
      <c r="B743">
        <v>742</v>
      </c>
    </row>
    <row r="744" spans="1:2" x14ac:dyDescent="0.25">
      <c r="A744" s="6">
        <v>3612.0600000000013</v>
      </c>
      <c r="B744">
        <v>743</v>
      </c>
    </row>
    <row r="745" spans="1:2" x14ac:dyDescent="0.25">
      <c r="A745" s="6">
        <v>3614.8799999999992</v>
      </c>
      <c r="B745">
        <v>744</v>
      </c>
    </row>
    <row r="746" spans="1:2" x14ac:dyDescent="0.25">
      <c r="A746" s="6">
        <v>3618.6499999999996</v>
      </c>
      <c r="B746">
        <v>745</v>
      </c>
    </row>
    <row r="747" spans="1:2" x14ac:dyDescent="0.25">
      <c r="A747" s="6">
        <v>3626.670000000001</v>
      </c>
      <c r="B747">
        <v>746</v>
      </c>
    </row>
    <row r="748" spans="1:2" x14ac:dyDescent="0.25">
      <c r="A748" s="6">
        <v>3630.6000000000004</v>
      </c>
      <c r="B748">
        <v>747</v>
      </c>
    </row>
    <row r="749" spans="1:2" x14ac:dyDescent="0.25">
      <c r="A749" s="6">
        <v>3631.49</v>
      </c>
      <c r="B749">
        <v>748</v>
      </c>
    </row>
    <row r="750" spans="1:2" x14ac:dyDescent="0.25">
      <c r="A750" s="6">
        <v>3640.4399999999996</v>
      </c>
      <c r="B750">
        <v>749</v>
      </c>
    </row>
    <row r="751" spans="1:2" x14ac:dyDescent="0.25">
      <c r="A751" s="6">
        <v>3642.9000000000005</v>
      </c>
      <c r="B751">
        <v>750</v>
      </c>
    </row>
    <row r="752" spans="1:2" x14ac:dyDescent="0.25">
      <c r="A752" s="6">
        <v>3644.26</v>
      </c>
      <c r="B752">
        <v>751</v>
      </c>
    </row>
    <row r="753" spans="1:2" x14ac:dyDescent="0.25">
      <c r="A753" s="6">
        <v>3645.25</v>
      </c>
      <c r="B753">
        <v>752</v>
      </c>
    </row>
    <row r="754" spans="1:2" x14ac:dyDescent="0.25">
      <c r="A754" s="6">
        <v>3651.62</v>
      </c>
      <c r="B754">
        <v>753</v>
      </c>
    </row>
    <row r="755" spans="1:2" x14ac:dyDescent="0.25">
      <c r="A755" s="6">
        <v>3651.71</v>
      </c>
      <c r="B755">
        <v>754</v>
      </c>
    </row>
    <row r="756" spans="1:2" x14ac:dyDescent="0.25">
      <c r="A756" s="6">
        <v>3652.3799999999992</v>
      </c>
      <c r="B756">
        <v>755</v>
      </c>
    </row>
    <row r="757" spans="1:2" x14ac:dyDescent="0.25">
      <c r="A757" s="6">
        <v>3654.7000000000007</v>
      </c>
      <c r="B757">
        <v>756</v>
      </c>
    </row>
    <row r="758" spans="1:2" x14ac:dyDescent="0.25">
      <c r="A758" s="6">
        <v>3654.8</v>
      </c>
      <c r="B758">
        <v>757</v>
      </c>
    </row>
    <row r="759" spans="1:2" x14ac:dyDescent="0.25">
      <c r="A759" s="6">
        <v>3665.9500000000007</v>
      </c>
      <c r="B759">
        <v>758</v>
      </c>
    </row>
    <row r="760" spans="1:2" x14ac:dyDescent="0.25">
      <c r="A760" s="6">
        <v>3669.7</v>
      </c>
      <c r="B760">
        <v>759</v>
      </c>
    </row>
    <row r="761" spans="1:2" x14ac:dyDescent="0.25">
      <c r="A761" s="6">
        <v>3671.5299999999997</v>
      </c>
      <c r="B761">
        <v>760</v>
      </c>
    </row>
    <row r="762" spans="1:2" x14ac:dyDescent="0.25">
      <c r="A762" s="6">
        <v>3672.67</v>
      </c>
      <c r="B762">
        <v>761</v>
      </c>
    </row>
    <row r="763" spans="1:2" x14ac:dyDescent="0.25">
      <c r="A763" s="6">
        <v>3672.8999999999996</v>
      </c>
      <c r="B763">
        <v>762</v>
      </c>
    </row>
    <row r="764" spans="1:2" x14ac:dyDescent="0.25">
      <c r="A764" s="6">
        <v>3677.67</v>
      </c>
      <c r="B764">
        <v>763</v>
      </c>
    </row>
    <row r="765" spans="1:2" x14ac:dyDescent="0.25">
      <c r="A765" s="6">
        <v>3681.0699999999997</v>
      </c>
      <c r="B765">
        <v>764</v>
      </c>
    </row>
    <row r="766" spans="1:2" x14ac:dyDescent="0.25">
      <c r="A766" s="6">
        <v>3681.45</v>
      </c>
      <c r="B766">
        <v>765</v>
      </c>
    </row>
    <row r="767" spans="1:2" x14ac:dyDescent="0.25">
      <c r="A767" s="6">
        <v>3681.7699999999995</v>
      </c>
      <c r="B767">
        <v>766</v>
      </c>
    </row>
    <row r="768" spans="1:2" x14ac:dyDescent="0.25">
      <c r="A768" s="6">
        <v>3683.59</v>
      </c>
      <c r="B768">
        <v>767</v>
      </c>
    </row>
    <row r="769" spans="1:2" x14ac:dyDescent="0.25">
      <c r="A769" s="6">
        <v>3687.63</v>
      </c>
      <c r="B769">
        <v>768</v>
      </c>
    </row>
    <row r="770" spans="1:2" x14ac:dyDescent="0.25">
      <c r="A770" s="6">
        <v>3688.91</v>
      </c>
      <c r="B770">
        <v>769</v>
      </c>
    </row>
    <row r="771" spans="1:2" x14ac:dyDescent="0.25">
      <c r="A771" s="6">
        <v>3692.0599999999995</v>
      </c>
      <c r="B771">
        <v>770</v>
      </c>
    </row>
    <row r="772" spans="1:2" x14ac:dyDescent="0.25">
      <c r="A772" s="6">
        <v>3692.869999999999</v>
      </c>
      <c r="B772">
        <v>771</v>
      </c>
    </row>
    <row r="773" spans="1:2" x14ac:dyDescent="0.25">
      <c r="A773" s="6">
        <v>3692.92</v>
      </c>
      <c r="B773">
        <v>772</v>
      </c>
    </row>
    <row r="774" spans="1:2" x14ac:dyDescent="0.25">
      <c r="A774" s="6">
        <v>3694.8100000000004</v>
      </c>
      <c r="B774">
        <v>773</v>
      </c>
    </row>
    <row r="775" spans="1:2" x14ac:dyDescent="0.25">
      <c r="A775" s="6">
        <v>3695.6900000000005</v>
      </c>
      <c r="B775">
        <v>774</v>
      </c>
    </row>
    <row r="776" spans="1:2" x14ac:dyDescent="0.25">
      <c r="A776" s="6">
        <v>3697.0499999999993</v>
      </c>
      <c r="B776">
        <v>775</v>
      </c>
    </row>
    <row r="777" spans="1:2" x14ac:dyDescent="0.25">
      <c r="A777" s="6">
        <v>3702.3399999999992</v>
      </c>
      <c r="B777">
        <v>776</v>
      </c>
    </row>
    <row r="778" spans="1:2" x14ac:dyDescent="0.25">
      <c r="A778" s="6">
        <v>3703.46</v>
      </c>
      <c r="B778">
        <v>777</v>
      </c>
    </row>
    <row r="779" spans="1:2" x14ac:dyDescent="0.25">
      <c r="A779" s="6">
        <v>3707.5600000000004</v>
      </c>
      <c r="B779">
        <v>778</v>
      </c>
    </row>
    <row r="780" spans="1:2" x14ac:dyDescent="0.25">
      <c r="A780" s="6">
        <v>3708.0600000000004</v>
      </c>
      <c r="B780">
        <v>779</v>
      </c>
    </row>
    <row r="781" spans="1:2" x14ac:dyDescent="0.25">
      <c r="A781" s="6">
        <v>3715.5199999999995</v>
      </c>
      <c r="B781">
        <v>780</v>
      </c>
    </row>
    <row r="782" spans="1:2" x14ac:dyDescent="0.25">
      <c r="A782" s="6">
        <v>3721.37</v>
      </c>
      <c r="B782">
        <v>781</v>
      </c>
    </row>
    <row r="783" spans="1:2" x14ac:dyDescent="0.25">
      <c r="A783" s="6">
        <v>3722.3199999999997</v>
      </c>
      <c r="B783">
        <v>782</v>
      </c>
    </row>
    <row r="784" spans="1:2" x14ac:dyDescent="0.25">
      <c r="A784" s="6">
        <v>3722.8500000000004</v>
      </c>
      <c r="B784">
        <v>783</v>
      </c>
    </row>
    <row r="785" spans="1:2" x14ac:dyDescent="0.25">
      <c r="A785" s="6">
        <v>3724.3</v>
      </c>
      <c r="B785">
        <v>784</v>
      </c>
    </row>
    <row r="786" spans="1:2" x14ac:dyDescent="0.25">
      <c r="A786" s="6">
        <v>3729</v>
      </c>
      <c r="B786">
        <v>785</v>
      </c>
    </row>
    <row r="787" spans="1:2" x14ac:dyDescent="0.25">
      <c r="A787" s="6">
        <v>3730.1299999999992</v>
      </c>
      <c r="B787">
        <v>786</v>
      </c>
    </row>
    <row r="788" spans="1:2" x14ac:dyDescent="0.25">
      <c r="A788" s="6">
        <v>3732.08</v>
      </c>
      <c r="B788">
        <v>787</v>
      </c>
    </row>
    <row r="789" spans="1:2" x14ac:dyDescent="0.25">
      <c r="A789" s="6">
        <v>3734.9800000000005</v>
      </c>
      <c r="B789">
        <v>788</v>
      </c>
    </row>
    <row r="790" spans="1:2" x14ac:dyDescent="0.25">
      <c r="A790" s="6">
        <v>3735.49</v>
      </c>
      <c r="B790">
        <v>789</v>
      </c>
    </row>
    <row r="791" spans="1:2" x14ac:dyDescent="0.25">
      <c r="A791" s="6">
        <v>3739.3100000000004</v>
      </c>
      <c r="B791">
        <v>790</v>
      </c>
    </row>
    <row r="792" spans="1:2" x14ac:dyDescent="0.25">
      <c r="A792" s="6">
        <v>3739.95</v>
      </c>
      <c r="B792">
        <v>791</v>
      </c>
    </row>
    <row r="793" spans="1:2" x14ac:dyDescent="0.25">
      <c r="A793" s="6">
        <v>3746.7300000000005</v>
      </c>
      <c r="B793">
        <v>792</v>
      </c>
    </row>
    <row r="794" spans="1:2" x14ac:dyDescent="0.25">
      <c r="A794" s="6">
        <v>3750.9300000000003</v>
      </c>
      <c r="B794">
        <v>793</v>
      </c>
    </row>
    <row r="795" spans="1:2" x14ac:dyDescent="0.25">
      <c r="A795" s="6">
        <v>3751.26</v>
      </c>
      <c r="B795">
        <v>794</v>
      </c>
    </row>
    <row r="796" spans="1:2" x14ac:dyDescent="0.25">
      <c r="A796" s="6">
        <v>3752.41</v>
      </c>
      <c r="B796">
        <v>795</v>
      </c>
    </row>
    <row r="797" spans="1:2" x14ac:dyDescent="0.25">
      <c r="A797" s="6">
        <v>3756.84</v>
      </c>
      <c r="B797">
        <v>796</v>
      </c>
    </row>
    <row r="798" spans="1:2" x14ac:dyDescent="0.25">
      <c r="A798" s="6">
        <v>3762.1399999999994</v>
      </c>
      <c r="B798">
        <v>797</v>
      </c>
    </row>
    <row r="799" spans="1:2" x14ac:dyDescent="0.25">
      <c r="A799" s="6">
        <v>3763.2800000000007</v>
      </c>
      <c r="B799">
        <v>798</v>
      </c>
    </row>
    <row r="800" spans="1:2" x14ac:dyDescent="0.25">
      <c r="A800" s="6">
        <v>3766.5</v>
      </c>
      <c r="B800">
        <v>799</v>
      </c>
    </row>
    <row r="801" spans="1:2" x14ac:dyDescent="0.25">
      <c r="A801" s="6">
        <v>3774.2300000000005</v>
      </c>
      <c r="B801">
        <v>800</v>
      </c>
    </row>
    <row r="802" spans="1:2" x14ac:dyDescent="0.25">
      <c r="A802" s="6">
        <v>3776.2</v>
      </c>
      <c r="B802">
        <v>801</v>
      </c>
    </row>
    <row r="803" spans="1:2" x14ac:dyDescent="0.25">
      <c r="A803" s="6">
        <v>3786.1400000000003</v>
      </c>
      <c r="B803">
        <v>802</v>
      </c>
    </row>
    <row r="804" spans="1:2" x14ac:dyDescent="0.25">
      <c r="A804" s="6">
        <v>3796.4500000000007</v>
      </c>
      <c r="B804">
        <v>803</v>
      </c>
    </row>
    <row r="805" spans="1:2" x14ac:dyDescent="0.25">
      <c r="A805" s="6">
        <v>3797.7500000000009</v>
      </c>
      <c r="B805">
        <v>804</v>
      </c>
    </row>
    <row r="806" spans="1:2" x14ac:dyDescent="0.25">
      <c r="A806" s="6">
        <v>3801.0999999999995</v>
      </c>
      <c r="B806">
        <v>805</v>
      </c>
    </row>
    <row r="807" spans="1:2" x14ac:dyDescent="0.25">
      <c r="A807" s="6">
        <v>3801.9300000000012</v>
      </c>
      <c r="B807">
        <v>806</v>
      </c>
    </row>
    <row r="808" spans="1:2" x14ac:dyDescent="0.25">
      <c r="A808" s="6">
        <v>3803.91</v>
      </c>
      <c r="B808">
        <v>807</v>
      </c>
    </row>
    <row r="809" spans="1:2" x14ac:dyDescent="0.25">
      <c r="A809" s="6">
        <v>3804.88</v>
      </c>
      <c r="B809">
        <v>808</v>
      </c>
    </row>
    <row r="810" spans="1:2" x14ac:dyDescent="0.25">
      <c r="A810" s="6">
        <v>3808.74</v>
      </c>
      <c r="B810">
        <v>809</v>
      </c>
    </row>
    <row r="811" spans="1:2" x14ac:dyDescent="0.25">
      <c r="A811" s="6">
        <v>3808.8200000000006</v>
      </c>
      <c r="B811">
        <v>810</v>
      </c>
    </row>
    <row r="812" spans="1:2" x14ac:dyDescent="0.25">
      <c r="A812" s="6">
        <v>3811.2200000000003</v>
      </c>
      <c r="B812">
        <v>811</v>
      </c>
    </row>
    <row r="813" spans="1:2" x14ac:dyDescent="0.25">
      <c r="A813" s="6">
        <v>3817.41</v>
      </c>
      <c r="B813">
        <v>812</v>
      </c>
    </row>
    <row r="814" spans="1:2" x14ac:dyDescent="0.25">
      <c r="A814" s="6">
        <v>3821.5300000000007</v>
      </c>
      <c r="B814">
        <v>813</v>
      </c>
    </row>
    <row r="815" spans="1:2" x14ac:dyDescent="0.25">
      <c r="A815" s="6">
        <v>3823.3900000000003</v>
      </c>
      <c r="B815">
        <v>814</v>
      </c>
    </row>
    <row r="816" spans="1:2" x14ac:dyDescent="0.25">
      <c r="A816" s="6">
        <v>3825.0800000000008</v>
      </c>
      <c r="B816">
        <v>815</v>
      </c>
    </row>
    <row r="817" spans="1:2" x14ac:dyDescent="0.25">
      <c r="A817" s="6">
        <v>3825.37</v>
      </c>
      <c r="B817">
        <v>816</v>
      </c>
    </row>
    <row r="818" spans="1:2" x14ac:dyDescent="0.25">
      <c r="A818" s="6">
        <v>3827.2300000000005</v>
      </c>
      <c r="B818">
        <v>817</v>
      </c>
    </row>
    <row r="819" spans="1:2" x14ac:dyDescent="0.25">
      <c r="A819" s="6">
        <v>3831.4800000000005</v>
      </c>
      <c r="B819">
        <v>818</v>
      </c>
    </row>
    <row r="820" spans="1:2" x14ac:dyDescent="0.25">
      <c r="A820" s="6">
        <v>3833.2199999999993</v>
      </c>
      <c r="B820">
        <v>819</v>
      </c>
    </row>
    <row r="821" spans="1:2" x14ac:dyDescent="0.25">
      <c r="A821" s="6">
        <v>3836.4699999999993</v>
      </c>
      <c r="B821">
        <v>820</v>
      </c>
    </row>
    <row r="822" spans="1:2" x14ac:dyDescent="0.25">
      <c r="A822" s="6">
        <v>3843.6699999999992</v>
      </c>
      <c r="B822">
        <v>821</v>
      </c>
    </row>
    <row r="823" spans="1:2" x14ac:dyDescent="0.25">
      <c r="A823" s="6">
        <v>3844.2100000000009</v>
      </c>
      <c r="B823">
        <v>822</v>
      </c>
    </row>
    <row r="824" spans="1:2" x14ac:dyDescent="0.25">
      <c r="A824" s="6">
        <v>3844.51</v>
      </c>
      <c r="B824">
        <v>823</v>
      </c>
    </row>
    <row r="825" spans="1:2" x14ac:dyDescent="0.25">
      <c r="A825" s="6">
        <v>3862.6099999999997</v>
      </c>
      <c r="B825">
        <v>824</v>
      </c>
    </row>
    <row r="826" spans="1:2" x14ac:dyDescent="0.25">
      <c r="A826" s="6">
        <v>3882.4600000000009</v>
      </c>
      <c r="B826">
        <v>825</v>
      </c>
    </row>
    <row r="827" spans="1:2" x14ac:dyDescent="0.25">
      <c r="A827" s="6">
        <v>3886.8000000000011</v>
      </c>
      <c r="B827">
        <v>826</v>
      </c>
    </row>
    <row r="828" spans="1:2" x14ac:dyDescent="0.25">
      <c r="A828" s="6">
        <v>3888.0300000000007</v>
      </c>
      <c r="B828">
        <v>827</v>
      </c>
    </row>
    <row r="829" spans="1:2" x14ac:dyDescent="0.25">
      <c r="A829" s="6">
        <v>3889.9999999999991</v>
      </c>
      <c r="B829">
        <v>828</v>
      </c>
    </row>
    <row r="830" spans="1:2" x14ac:dyDescent="0.25">
      <c r="A830" s="6">
        <v>3901.9500000000007</v>
      </c>
      <c r="B830">
        <v>829</v>
      </c>
    </row>
    <row r="831" spans="1:2" x14ac:dyDescent="0.25">
      <c r="A831" s="6">
        <v>3911.3499999999995</v>
      </c>
      <c r="B831">
        <v>830</v>
      </c>
    </row>
    <row r="832" spans="1:2" x14ac:dyDescent="0.25">
      <c r="A832" s="6">
        <v>3913.2200000000003</v>
      </c>
      <c r="B832">
        <v>831</v>
      </c>
    </row>
    <row r="833" spans="1:2" x14ac:dyDescent="0.25">
      <c r="A833" s="6">
        <v>3913.9500000000007</v>
      </c>
      <c r="B833">
        <v>832</v>
      </c>
    </row>
    <row r="834" spans="1:2" x14ac:dyDescent="0.25">
      <c r="A834" s="6">
        <v>3918.4899999999989</v>
      </c>
      <c r="B834">
        <v>833</v>
      </c>
    </row>
    <row r="835" spans="1:2" x14ac:dyDescent="0.25">
      <c r="A835" s="6">
        <v>3919.5300000000007</v>
      </c>
      <c r="B835">
        <v>834</v>
      </c>
    </row>
    <row r="836" spans="1:2" x14ac:dyDescent="0.25">
      <c r="A836" s="6">
        <v>3919.8999999999996</v>
      </c>
      <c r="B836">
        <v>835</v>
      </c>
    </row>
    <row r="837" spans="1:2" x14ac:dyDescent="0.25">
      <c r="A837" s="6">
        <v>3926.0200000000004</v>
      </c>
      <c r="B837">
        <v>836</v>
      </c>
    </row>
    <row r="838" spans="1:2" x14ac:dyDescent="0.25">
      <c r="A838" s="6">
        <v>3935.58</v>
      </c>
      <c r="B838">
        <v>837</v>
      </c>
    </row>
    <row r="839" spans="1:2" x14ac:dyDescent="0.25">
      <c r="A839" s="6">
        <v>3939.3199999999997</v>
      </c>
      <c r="B839">
        <v>838</v>
      </c>
    </row>
    <row r="840" spans="1:2" x14ac:dyDescent="0.25">
      <c r="A840" s="6">
        <v>3941.95</v>
      </c>
      <c r="B840">
        <v>839</v>
      </c>
    </row>
    <row r="841" spans="1:2" x14ac:dyDescent="0.25">
      <c r="A841" s="6">
        <v>3946.3999999999996</v>
      </c>
      <c r="B841">
        <v>840</v>
      </c>
    </row>
    <row r="842" spans="1:2" x14ac:dyDescent="0.25">
      <c r="A842" s="6">
        <v>3959.6499999999996</v>
      </c>
      <c r="B842">
        <v>841</v>
      </c>
    </row>
    <row r="843" spans="1:2" x14ac:dyDescent="0.25">
      <c r="A843" s="6">
        <v>3959.8499999999995</v>
      </c>
      <c r="B843">
        <v>842</v>
      </c>
    </row>
    <row r="844" spans="1:2" x14ac:dyDescent="0.25">
      <c r="A844" s="6">
        <v>3961.91</v>
      </c>
      <c r="B844">
        <v>843</v>
      </c>
    </row>
    <row r="845" spans="1:2" x14ac:dyDescent="0.25">
      <c r="A845" s="6">
        <v>3964.2100000000009</v>
      </c>
      <c r="B845">
        <v>844</v>
      </c>
    </row>
    <row r="846" spans="1:2" x14ac:dyDescent="0.25">
      <c r="A846" s="6">
        <v>3971.4599999999991</v>
      </c>
      <c r="B846">
        <v>845</v>
      </c>
    </row>
    <row r="847" spans="1:2" x14ac:dyDescent="0.25">
      <c r="A847" s="6">
        <v>3976.5499999999993</v>
      </c>
      <c r="B847">
        <v>846</v>
      </c>
    </row>
    <row r="848" spans="1:2" x14ac:dyDescent="0.25">
      <c r="A848" s="6">
        <v>3977.079999999999</v>
      </c>
      <c r="B848">
        <v>847</v>
      </c>
    </row>
    <row r="849" spans="1:2" x14ac:dyDescent="0.25">
      <c r="A849" s="28">
        <v>3980.5599999999995</v>
      </c>
      <c r="B849">
        <v>848</v>
      </c>
    </row>
    <row r="850" spans="1:2" x14ac:dyDescent="0.25">
      <c r="A850" s="6">
        <v>3983.4399999999996</v>
      </c>
      <c r="B850">
        <v>849</v>
      </c>
    </row>
    <row r="851" spans="1:2" x14ac:dyDescent="0.25">
      <c r="A851" s="6">
        <v>3983.6099999999997</v>
      </c>
      <c r="B851">
        <v>850</v>
      </c>
    </row>
    <row r="852" spans="1:2" x14ac:dyDescent="0.25">
      <c r="A852" s="6">
        <v>3989.0299999999997</v>
      </c>
      <c r="B852">
        <v>851</v>
      </c>
    </row>
    <row r="853" spans="1:2" x14ac:dyDescent="0.25">
      <c r="A853" s="6">
        <v>3995.2400000000007</v>
      </c>
      <c r="B853">
        <v>852</v>
      </c>
    </row>
    <row r="854" spans="1:2" x14ac:dyDescent="0.25">
      <c r="A854" s="6">
        <v>3996.4300000000012</v>
      </c>
      <c r="B854">
        <v>853</v>
      </c>
    </row>
    <row r="855" spans="1:2" x14ac:dyDescent="0.25">
      <c r="A855" s="6">
        <v>3997.4399999999996</v>
      </c>
      <c r="B855">
        <v>854</v>
      </c>
    </row>
    <row r="856" spans="1:2" x14ac:dyDescent="0.25">
      <c r="A856" s="6">
        <v>4006.4800000000005</v>
      </c>
      <c r="B856">
        <v>855</v>
      </c>
    </row>
    <row r="857" spans="1:2" x14ac:dyDescent="0.25">
      <c r="A857" s="6">
        <v>4009.3199999999997</v>
      </c>
      <c r="B857">
        <v>856</v>
      </c>
    </row>
    <row r="858" spans="1:2" x14ac:dyDescent="0.25">
      <c r="A858" s="6">
        <v>4009.58</v>
      </c>
      <c r="B858">
        <v>857</v>
      </c>
    </row>
    <row r="859" spans="1:2" x14ac:dyDescent="0.25">
      <c r="A859" s="6">
        <v>4016.46</v>
      </c>
      <c r="B859">
        <v>858</v>
      </c>
    </row>
    <row r="860" spans="1:2" x14ac:dyDescent="0.25">
      <c r="A860" s="6">
        <v>4019.880000000001</v>
      </c>
      <c r="B860">
        <v>859</v>
      </c>
    </row>
    <row r="861" spans="1:2" x14ac:dyDescent="0.25">
      <c r="A861" s="6">
        <v>4025.1400000000003</v>
      </c>
      <c r="B861">
        <v>860</v>
      </c>
    </row>
    <row r="862" spans="1:2" x14ac:dyDescent="0.25">
      <c r="A862" s="6">
        <v>4028.5599999999995</v>
      </c>
      <c r="B862">
        <v>861</v>
      </c>
    </row>
    <row r="863" spans="1:2" x14ac:dyDescent="0.25">
      <c r="A863" s="6">
        <v>4038.619999999999</v>
      </c>
      <c r="B863">
        <v>862</v>
      </c>
    </row>
    <row r="864" spans="1:2" x14ac:dyDescent="0.25">
      <c r="A864" s="6">
        <v>4041.7899999999991</v>
      </c>
      <c r="B864">
        <v>863</v>
      </c>
    </row>
    <row r="865" spans="1:2" x14ac:dyDescent="0.25">
      <c r="A865" s="6">
        <v>4043.99</v>
      </c>
      <c r="B865">
        <v>864</v>
      </c>
    </row>
    <row r="866" spans="1:2" x14ac:dyDescent="0.25">
      <c r="A866" s="6">
        <v>4046.1399999999994</v>
      </c>
      <c r="B866">
        <v>865</v>
      </c>
    </row>
    <row r="867" spans="1:2" x14ac:dyDescent="0.25">
      <c r="A867" s="6">
        <v>4052.2300000000005</v>
      </c>
      <c r="B867">
        <v>866</v>
      </c>
    </row>
    <row r="868" spans="1:2" x14ac:dyDescent="0.25">
      <c r="A868" s="6">
        <v>4052.2400000000007</v>
      </c>
      <c r="B868">
        <v>867</v>
      </c>
    </row>
    <row r="869" spans="1:2" x14ac:dyDescent="0.25">
      <c r="A869" s="6">
        <v>4052.4799999999996</v>
      </c>
      <c r="B869">
        <v>868</v>
      </c>
    </row>
    <row r="870" spans="1:2" x14ac:dyDescent="0.25">
      <c r="A870" s="6">
        <v>4053.71</v>
      </c>
      <c r="B870">
        <v>869</v>
      </c>
    </row>
    <row r="871" spans="1:2" x14ac:dyDescent="0.25">
      <c r="A871" s="6">
        <v>4057.8199999999997</v>
      </c>
      <c r="B871">
        <v>870</v>
      </c>
    </row>
    <row r="872" spans="1:2" x14ac:dyDescent="0.25">
      <c r="A872" s="6">
        <v>4060.88</v>
      </c>
      <c r="B872">
        <v>871</v>
      </c>
    </row>
    <row r="873" spans="1:2" x14ac:dyDescent="0.25">
      <c r="A873" s="6">
        <v>4064.7899999999991</v>
      </c>
      <c r="B873">
        <v>872</v>
      </c>
    </row>
    <row r="874" spans="1:2" x14ac:dyDescent="0.25">
      <c r="A874" s="6">
        <v>4065.2899999999991</v>
      </c>
      <c r="B874">
        <v>873</v>
      </c>
    </row>
    <row r="875" spans="1:2" x14ac:dyDescent="0.25">
      <c r="A875" s="6">
        <v>4065.9400000000005</v>
      </c>
      <c r="B875">
        <v>874</v>
      </c>
    </row>
    <row r="876" spans="1:2" x14ac:dyDescent="0.25">
      <c r="A876" s="6">
        <v>4068.8999999999996</v>
      </c>
      <c r="B876">
        <v>875</v>
      </c>
    </row>
    <row r="877" spans="1:2" x14ac:dyDescent="0.25">
      <c r="A877" s="6">
        <v>4069.8199999999988</v>
      </c>
      <c r="B877">
        <v>876</v>
      </c>
    </row>
    <row r="878" spans="1:2" x14ac:dyDescent="0.25">
      <c r="A878" s="6">
        <v>4073.4399999999996</v>
      </c>
      <c r="B878">
        <v>877</v>
      </c>
    </row>
    <row r="879" spans="1:2" x14ac:dyDescent="0.25">
      <c r="A879" s="6">
        <v>4079.3300000000008</v>
      </c>
      <c r="B879">
        <v>878</v>
      </c>
    </row>
    <row r="880" spans="1:2" x14ac:dyDescent="0.25">
      <c r="A880" s="6">
        <v>4079.66</v>
      </c>
      <c r="B880">
        <v>879</v>
      </c>
    </row>
    <row r="881" spans="1:2" x14ac:dyDescent="0.25">
      <c r="A881" s="6">
        <v>4079.7099999999991</v>
      </c>
      <c r="B881">
        <v>880</v>
      </c>
    </row>
    <row r="882" spans="1:2" x14ac:dyDescent="0.25">
      <c r="A882" s="6">
        <v>4081.7200000000003</v>
      </c>
      <c r="B882">
        <v>881</v>
      </c>
    </row>
    <row r="883" spans="1:2" x14ac:dyDescent="0.25">
      <c r="A883" s="6">
        <v>4082.04</v>
      </c>
      <c r="B883">
        <v>882</v>
      </c>
    </row>
    <row r="884" spans="1:2" x14ac:dyDescent="0.25">
      <c r="A884" s="6">
        <v>4082.3999999999996</v>
      </c>
      <c r="B884">
        <v>883</v>
      </c>
    </row>
    <row r="885" spans="1:2" x14ac:dyDescent="0.25">
      <c r="A885" s="6">
        <v>4082.8700000000008</v>
      </c>
      <c r="B885">
        <v>884</v>
      </c>
    </row>
    <row r="886" spans="1:2" x14ac:dyDescent="0.25">
      <c r="A886" s="6">
        <v>4091.6100000000006</v>
      </c>
      <c r="B886">
        <v>885</v>
      </c>
    </row>
    <row r="887" spans="1:2" x14ac:dyDescent="0.25">
      <c r="A887" s="6">
        <v>4095.9699999999993</v>
      </c>
      <c r="B887">
        <v>886</v>
      </c>
    </row>
    <row r="888" spans="1:2" x14ac:dyDescent="0.25">
      <c r="A888" s="6">
        <v>4099.3599999999997</v>
      </c>
      <c r="B888">
        <v>887</v>
      </c>
    </row>
    <row r="889" spans="1:2" x14ac:dyDescent="0.25">
      <c r="A889" s="6">
        <v>4109.6000000000004</v>
      </c>
      <c r="B889">
        <v>888</v>
      </c>
    </row>
    <row r="890" spans="1:2" x14ac:dyDescent="0.25">
      <c r="A890" s="6">
        <v>4112.71</v>
      </c>
      <c r="B890">
        <v>889</v>
      </c>
    </row>
    <row r="891" spans="1:2" x14ac:dyDescent="0.25">
      <c r="A891" s="6">
        <v>4116.04</v>
      </c>
      <c r="B891">
        <v>890</v>
      </c>
    </row>
    <row r="892" spans="1:2" x14ac:dyDescent="0.25">
      <c r="A892" s="6">
        <v>4133.1000000000004</v>
      </c>
      <c r="B892">
        <v>891</v>
      </c>
    </row>
    <row r="893" spans="1:2" x14ac:dyDescent="0.25">
      <c r="A893" s="6">
        <v>4139.2500000000009</v>
      </c>
      <c r="B893">
        <v>892</v>
      </c>
    </row>
    <row r="894" spans="1:2" x14ac:dyDescent="0.25">
      <c r="A894" s="6">
        <v>4142.619999999999</v>
      </c>
      <c r="B894">
        <v>893</v>
      </c>
    </row>
    <row r="895" spans="1:2" x14ac:dyDescent="0.25">
      <c r="A895" s="6">
        <v>4143.24</v>
      </c>
      <c r="B895">
        <v>894</v>
      </c>
    </row>
    <row r="896" spans="1:2" x14ac:dyDescent="0.25">
      <c r="A896" s="6">
        <v>4147.5800000000008</v>
      </c>
      <c r="B896">
        <v>895</v>
      </c>
    </row>
    <row r="897" spans="1:2" x14ac:dyDescent="0.25">
      <c r="A897" s="6">
        <v>4159.8300000000008</v>
      </c>
      <c r="B897">
        <v>896</v>
      </c>
    </row>
    <row r="898" spans="1:2" x14ac:dyDescent="0.25">
      <c r="A898" s="6">
        <v>4160.76</v>
      </c>
      <c r="B898">
        <v>897</v>
      </c>
    </row>
    <row r="899" spans="1:2" x14ac:dyDescent="0.25">
      <c r="A899" s="6">
        <v>4166.6799999999994</v>
      </c>
      <c r="B899">
        <v>898</v>
      </c>
    </row>
    <row r="900" spans="1:2" x14ac:dyDescent="0.25">
      <c r="A900" s="6">
        <v>4167.2199999999993</v>
      </c>
      <c r="B900">
        <v>899</v>
      </c>
    </row>
    <row r="901" spans="1:2" x14ac:dyDescent="0.25">
      <c r="A901" s="6">
        <v>4170.1699999999992</v>
      </c>
      <c r="B901">
        <v>900</v>
      </c>
    </row>
    <row r="902" spans="1:2" x14ac:dyDescent="0.25">
      <c r="A902" s="6">
        <v>4183.38</v>
      </c>
      <c r="B902">
        <v>901</v>
      </c>
    </row>
    <row r="903" spans="1:2" x14ac:dyDescent="0.25">
      <c r="A903" s="6">
        <v>4193.0199999999995</v>
      </c>
      <c r="B903">
        <v>902</v>
      </c>
    </row>
    <row r="904" spans="1:2" x14ac:dyDescent="0.25">
      <c r="A904" s="6">
        <v>4202.6099999999997</v>
      </c>
      <c r="B904">
        <v>903</v>
      </c>
    </row>
    <row r="905" spans="1:2" x14ac:dyDescent="0.25">
      <c r="A905" s="6">
        <v>4216.1499999999987</v>
      </c>
      <c r="B905">
        <v>904</v>
      </c>
    </row>
    <row r="906" spans="1:2" x14ac:dyDescent="0.25">
      <c r="A906" s="6">
        <v>4218.7500000000009</v>
      </c>
      <c r="B906">
        <v>905</v>
      </c>
    </row>
    <row r="907" spans="1:2" x14ac:dyDescent="0.25">
      <c r="A907" s="6">
        <v>4228.6400000000003</v>
      </c>
      <c r="B907">
        <v>906</v>
      </c>
    </row>
    <row r="908" spans="1:2" x14ac:dyDescent="0.25">
      <c r="A908" s="6">
        <v>4236.2699999999995</v>
      </c>
      <c r="B908">
        <v>907</v>
      </c>
    </row>
    <row r="909" spans="1:2" x14ac:dyDescent="0.25">
      <c r="A909" s="6">
        <v>4237.6100000000006</v>
      </c>
      <c r="B909">
        <v>908</v>
      </c>
    </row>
    <row r="910" spans="1:2" x14ac:dyDescent="0.25">
      <c r="A910" s="6">
        <v>4241.46</v>
      </c>
      <c r="B910">
        <v>909</v>
      </c>
    </row>
    <row r="911" spans="1:2" x14ac:dyDescent="0.25">
      <c r="A911" s="6">
        <v>4241.8100000000004</v>
      </c>
      <c r="B911">
        <v>910</v>
      </c>
    </row>
    <row r="912" spans="1:2" x14ac:dyDescent="0.25">
      <c r="A912" s="6">
        <v>4242.72</v>
      </c>
      <c r="B912">
        <v>911</v>
      </c>
    </row>
    <row r="913" spans="1:2" x14ac:dyDescent="0.25">
      <c r="A913" s="6">
        <v>4243.8200000000006</v>
      </c>
      <c r="B913">
        <v>912</v>
      </c>
    </row>
    <row r="914" spans="1:2" x14ac:dyDescent="0.25">
      <c r="A914" s="6">
        <v>4249.6499999999996</v>
      </c>
      <c r="B914">
        <v>913</v>
      </c>
    </row>
    <row r="915" spans="1:2" x14ac:dyDescent="0.25">
      <c r="A915" s="6">
        <v>4251.0600000000004</v>
      </c>
      <c r="B915">
        <v>914</v>
      </c>
    </row>
    <row r="916" spans="1:2" x14ac:dyDescent="0.25">
      <c r="A916" s="6">
        <v>4264.7300000000005</v>
      </c>
      <c r="B916">
        <v>915</v>
      </c>
    </row>
    <row r="917" spans="1:2" x14ac:dyDescent="0.25">
      <c r="A917" s="6">
        <v>4270.5700000000006</v>
      </c>
      <c r="B917">
        <v>916</v>
      </c>
    </row>
    <row r="918" spans="1:2" x14ac:dyDescent="0.25">
      <c r="A918" s="6">
        <v>4271.5999999999995</v>
      </c>
      <c r="B918">
        <v>917</v>
      </c>
    </row>
    <row r="919" spans="1:2" x14ac:dyDescent="0.25">
      <c r="A919" s="6">
        <v>4277.88</v>
      </c>
      <c r="B919">
        <v>918</v>
      </c>
    </row>
    <row r="920" spans="1:2" x14ac:dyDescent="0.25">
      <c r="A920" s="6">
        <v>4278.9599999999991</v>
      </c>
      <c r="B920">
        <v>919</v>
      </c>
    </row>
    <row r="921" spans="1:2" x14ac:dyDescent="0.25">
      <c r="A921" s="6">
        <v>4290.3500000000004</v>
      </c>
      <c r="B921">
        <v>920</v>
      </c>
    </row>
    <row r="922" spans="1:2" x14ac:dyDescent="0.25">
      <c r="A922" s="6">
        <v>4296.3799999999992</v>
      </c>
      <c r="B922">
        <v>921</v>
      </c>
    </row>
    <row r="923" spans="1:2" x14ac:dyDescent="0.25">
      <c r="A923" s="6">
        <v>4309.0899999999992</v>
      </c>
      <c r="B923">
        <v>922</v>
      </c>
    </row>
    <row r="924" spans="1:2" x14ac:dyDescent="0.25">
      <c r="A924" s="6">
        <v>4310.0099999999993</v>
      </c>
      <c r="B924">
        <v>923</v>
      </c>
    </row>
    <row r="925" spans="1:2" x14ac:dyDescent="0.25">
      <c r="A925" s="6">
        <v>4319.4799999999996</v>
      </c>
      <c r="B925">
        <v>924</v>
      </c>
    </row>
    <row r="926" spans="1:2" x14ac:dyDescent="0.25">
      <c r="A926" s="6">
        <v>4326.22</v>
      </c>
      <c r="B926">
        <v>925</v>
      </c>
    </row>
    <row r="927" spans="1:2" x14ac:dyDescent="0.25">
      <c r="A927" s="6">
        <v>4327.4699999999993</v>
      </c>
      <c r="B927">
        <v>926</v>
      </c>
    </row>
    <row r="928" spans="1:2" x14ac:dyDescent="0.25">
      <c r="A928" s="6">
        <v>4337.0800000000008</v>
      </c>
      <c r="B928">
        <v>927</v>
      </c>
    </row>
    <row r="929" spans="1:2" x14ac:dyDescent="0.25">
      <c r="A929" s="6">
        <v>4338.55</v>
      </c>
      <c r="B929">
        <v>928</v>
      </c>
    </row>
    <row r="930" spans="1:2" x14ac:dyDescent="0.25">
      <c r="A930" s="6">
        <v>4345.1899999999996</v>
      </c>
      <c r="B930">
        <v>929</v>
      </c>
    </row>
    <row r="931" spans="1:2" x14ac:dyDescent="0.25">
      <c r="A931" s="6">
        <v>4345.79</v>
      </c>
      <c r="B931">
        <v>930</v>
      </c>
    </row>
    <row r="932" spans="1:2" x14ac:dyDescent="0.25">
      <c r="A932" s="6">
        <v>4372.12</v>
      </c>
      <c r="B932">
        <v>931</v>
      </c>
    </row>
    <row r="933" spans="1:2" x14ac:dyDescent="0.25">
      <c r="A933" s="6">
        <v>4372.1999999999989</v>
      </c>
      <c r="B933">
        <v>932</v>
      </c>
    </row>
    <row r="934" spans="1:2" x14ac:dyDescent="0.25">
      <c r="A934" s="6">
        <v>4382.2299999999996</v>
      </c>
      <c r="B934">
        <v>933</v>
      </c>
    </row>
    <row r="935" spans="1:2" x14ac:dyDescent="0.25">
      <c r="A935" s="6">
        <v>4384.43</v>
      </c>
      <c r="B935">
        <v>934</v>
      </c>
    </row>
    <row r="936" spans="1:2" x14ac:dyDescent="0.25">
      <c r="A936" s="6">
        <v>4391.43</v>
      </c>
      <c r="B936">
        <v>935</v>
      </c>
    </row>
    <row r="937" spans="1:2" x14ac:dyDescent="0.25">
      <c r="A937" s="6">
        <v>4391.7999999999993</v>
      </c>
      <c r="B937">
        <v>936</v>
      </c>
    </row>
    <row r="938" spans="1:2" x14ac:dyDescent="0.25">
      <c r="A938" s="6">
        <v>4392.4300000000012</v>
      </c>
      <c r="B938">
        <v>937</v>
      </c>
    </row>
    <row r="939" spans="1:2" x14ac:dyDescent="0.25">
      <c r="A939" s="6">
        <v>4394.1400000000003</v>
      </c>
      <c r="B939">
        <v>938</v>
      </c>
    </row>
    <row r="940" spans="1:2" x14ac:dyDescent="0.25">
      <c r="A940" s="6">
        <v>4408.49</v>
      </c>
      <c r="B940">
        <v>939</v>
      </c>
    </row>
    <row r="941" spans="1:2" x14ac:dyDescent="0.25">
      <c r="A941" s="6">
        <v>4426.9799999999996</v>
      </c>
      <c r="B941">
        <v>940</v>
      </c>
    </row>
    <row r="942" spans="1:2" x14ac:dyDescent="0.25">
      <c r="A942" s="6">
        <v>4435.9800000000005</v>
      </c>
      <c r="B942">
        <v>941</v>
      </c>
    </row>
    <row r="943" spans="1:2" x14ac:dyDescent="0.25">
      <c r="A943" s="6">
        <v>4439.2800000000007</v>
      </c>
      <c r="B943">
        <v>942</v>
      </c>
    </row>
    <row r="944" spans="1:2" x14ac:dyDescent="0.25">
      <c r="A944" s="6">
        <v>4440.59</v>
      </c>
      <c r="B944">
        <v>943</v>
      </c>
    </row>
    <row r="945" spans="1:2" x14ac:dyDescent="0.25">
      <c r="A945" s="6">
        <v>4447.4100000000008</v>
      </c>
      <c r="B945">
        <v>944</v>
      </c>
    </row>
    <row r="946" spans="1:2" x14ac:dyDescent="0.25">
      <c r="A946" s="6">
        <v>4448.63</v>
      </c>
      <c r="B946">
        <v>945</v>
      </c>
    </row>
    <row r="947" spans="1:2" x14ac:dyDescent="0.25">
      <c r="A947" s="6">
        <v>4474.66</v>
      </c>
      <c r="B947">
        <v>946</v>
      </c>
    </row>
    <row r="948" spans="1:2" x14ac:dyDescent="0.25">
      <c r="A948" s="6">
        <v>4475.9799999999996</v>
      </c>
      <c r="B948">
        <v>947</v>
      </c>
    </row>
    <row r="949" spans="1:2" x14ac:dyDescent="0.25">
      <c r="A949" s="6">
        <v>4481.7999999999993</v>
      </c>
      <c r="B949">
        <v>948</v>
      </c>
    </row>
    <row r="950" spans="1:2" x14ac:dyDescent="0.25">
      <c r="A950" s="6">
        <v>4486.32</v>
      </c>
      <c r="B950">
        <v>949</v>
      </c>
    </row>
    <row r="951" spans="1:2" x14ac:dyDescent="0.25">
      <c r="A951" s="6">
        <v>4491.7199999999993</v>
      </c>
      <c r="B951">
        <v>950</v>
      </c>
    </row>
    <row r="952" spans="1:2" x14ac:dyDescent="0.25">
      <c r="A952" s="6">
        <v>4492.380000000001</v>
      </c>
      <c r="B952">
        <v>951</v>
      </c>
    </row>
    <row r="953" spans="1:2" x14ac:dyDescent="0.25">
      <c r="A953" s="6">
        <v>4502.5300000000007</v>
      </c>
      <c r="B953">
        <v>952</v>
      </c>
    </row>
    <row r="954" spans="1:2" x14ac:dyDescent="0.25">
      <c r="A954" s="6">
        <v>4505.5800000000008</v>
      </c>
      <c r="B954">
        <v>953</v>
      </c>
    </row>
    <row r="955" spans="1:2" x14ac:dyDescent="0.25">
      <c r="A955" s="6">
        <v>4509.1000000000004</v>
      </c>
      <c r="B955">
        <v>954</v>
      </c>
    </row>
    <row r="956" spans="1:2" x14ac:dyDescent="0.25">
      <c r="A956" s="6">
        <v>4518.57</v>
      </c>
      <c r="B956">
        <v>955</v>
      </c>
    </row>
    <row r="957" spans="1:2" x14ac:dyDescent="0.25">
      <c r="A957" s="6">
        <v>4520.97</v>
      </c>
      <c r="B957">
        <v>956</v>
      </c>
    </row>
    <row r="958" spans="1:2" x14ac:dyDescent="0.25">
      <c r="A958" s="6">
        <v>4530.25</v>
      </c>
      <c r="B958">
        <v>957</v>
      </c>
    </row>
    <row r="959" spans="1:2" x14ac:dyDescent="0.25">
      <c r="A959" s="6">
        <v>4544.45</v>
      </c>
      <c r="B959">
        <v>958</v>
      </c>
    </row>
    <row r="960" spans="1:2" x14ac:dyDescent="0.25">
      <c r="A960" s="6">
        <v>4556.2399999999989</v>
      </c>
      <c r="B960">
        <v>959</v>
      </c>
    </row>
    <row r="961" spans="1:2" x14ac:dyDescent="0.25">
      <c r="A961" s="6">
        <v>4558.12</v>
      </c>
      <c r="B961">
        <v>960</v>
      </c>
    </row>
    <row r="962" spans="1:2" x14ac:dyDescent="0.25">
      <c r="A962" s="6">
        <v>4572.6000000000004</v>
      </c>
      <c r="B962">
        <v>961</v>
      </c>
    </row>
    <row r="963" spans="1:2" x14ac:dyDescent="0.25">
      <c r="A963" s="6">
        <v>4576.7599999999993</v>
      </c>
      <c r="B963">
        <v>962</v>
      </c>
    </row>
    <row r="964" spans="1:2" x14ac:dyDescent="0.25">
      <c r="A964" s="6">
        <v>4578.2900000000009</v>
      </c>
      <c r="B964">
        <v>963</v>
      </c>
    </row>
    <row r="965" spans="1:2" x14ac:dyDescent="0.25">
      <c r="A965" s="6">
        <v>4579.43</v>
      </c>
      <c r="B965">
        <v>964</v>
      </c>
    </row>
    <row r="966" spans="1:2" x14ac:dyDescent="0.25">
      <c r="A966" s="6">
        <v>4593.6500000000005</v>
      </c>
      <c r="B966">
        <v>965</v>
      </c>
    </row>
    <row r="967" spans="1:2" x14ac:dyDescent="0.25">
      <c r="A967" s="6">
        <v>4597.83</v>
      </c>
      <c r="B967">
        <v>966</v>
      </c>
    </row>
    <row r="968" spans="1:2" x14ac:dyDescent="0.25">
      <c r="A968" s="6">
        <v>4609.1100000000006</v>
      </c>
      <c r="B968">
        <v>967</v>
      </c>
    </row>
    <row r="969" spans="1:2" x14ac:dyDescent="0.25">
      <c r="A969" s="6">
        <v>4609.67</v>
      </c>
      <c r="B969">
        <v>968</v>
      </c>
    </row>
    <row r="970" spans="1:2" x14ac:dyDescent="0.25">
      <c r="A970" s="6">
        <v>4611.75</v>
      </c>
      <c r="B970">
        <v>969</v>
      </c>
    </row>
    <row r="971" spans="1:2" x14ac:dyDescent="0.25">
      <c r="A971" s="6">
        <v>4611.95</v>
      </c>
      <c r="B971">
        <v>970</v>
      </c>
    </row>
    <row r="972" spans="1:2" x14ac:dyDescent="0.25">
      <c r="A972" s="6">
        <v>4624.2999999999993</v>
      </c>
      <c r="B972">
        <v>971</v>
      </c>
    </row>
    <row r="973" spans="1:2" x14ac:dyDescent="0.25">
      <c r="A973" s="6">
        <v>4642.8900000000003</v>
      </c>
      <c r="B973">
        <v>972</v>
      </c>
    </row>
    <row r="974" spans="1:2" x14ac:dyDescent="0.25">
      <c r="A974" s="6">
        <v>4680.8099999999995</v>
      </c>
      <c r="B974">
        <v>973</v>
      </c>
    </row>
    <row r="975" spans="1:2" x14ac:dyDescent="0.25">
      <c r="A975" s="6">
        <v>4700.3600000000006</v>
      </c>
      <c r="B975">
        <v>974</v>
      </c>
    </row>
    <row r="976" spans="1:2" x14ac:dyDescent="0.25">
      <c r="A976" s="6">
        <v>4700.9399999999996</v>
      </c>
      <c r="B976" s="29">
        <v>975</v>
      </c>
    </row>
    <row r="977" spans="1:10" x14ac:dyDescent="0.25">
      <c r="A977" s="6">
        <v>4710.0700000000006</v>
      </c>
      <c r="B977">
        <v>976</v>
      </c>
    </row>
    <row r="978" spans="1:10" x14ac:dyDescent="0.25">
      <c r="A978" s="6">
        <v>4715.66</v>
      </c>
      <c r="B978">
        <v>977</v>
      </c>
    </row>
    <row r="979" spans="1:10" x14ac:dyDescent="0.25">
      <c r="A979" s="6">
        <v>4715.9999999999991</v>
      </c>
      <c r="B979">
        <v>978</v>
      </c>
    </row>
    <row r="980" spans="1:10" x14ac:dyDescent="0.25">
      <c r="A980" s="28">
        <v>4721.6900000000005</v>
      </c>
      <c r="B980">
        <v>979</v>
      </c>
    </row>
    <row r="981" spans="1:10" x14ac:dyDescent="0.25">
      <c r="A981" s="6">
        <v>4723.8</v>
      </c>
      <c r="B981">
        <v>980</v>
      </c>
    </row>
    <row r="982" spans="1:10" x14ac:dyDescent="0.25">
      <c r="A982" s="6">
        <v>4756.7899999999991</v>
      </c>
      <c r="B982">
        <v>981</v>
      </c>
    </row>
    <row r="983" spans="1:10" x14ac:dyDescent="0.25">
      <c r="A983" s="6">
        <v>4762.7899999999991</v>
      </c>
      <c r="B983">
        <v>982</v>
      </c>
    </row>
    <row r="984" spans="1:10" x14ac:dyDescent="0.25">
      <c r="A984" s="6">
        <v>4786.5899999999992</v>
      </c>
      <c r="B984">
        <v>983</v>
      </c>
    </row>
    <row r="985" spans="1:10" x14ac:dyDescent="0.25">
      <c r="A985" s="6">
        <v>4796.8</v>
      </c>
      <c r="B985">
        <v>984</v>
      </c>
    </row>
    <row r="986" spans="1:10" x14ac:dyDescent="0.25">
      <c r="A986" s="6">
        <v>4802.6100000000006</v>
      </c>
      <c r="B986">
        <v>985</v>
      </c>
    </row>
    <row r="987" spans="1:10" x14ac:dyDescent="0.25">
      <c r="A987" s="6">
        <v>4814.5499999999993</v>
      </c>
      <c r="B987">
        <v>986</v>
      </c>
      <c r="J987" s="6"/>
    </row>
    <row r="988" spans="1:10" x14ac:dyDescent="0.25">
      <c r="A988" s="6">
        <v>4846.1500000000005</v>
      </c>
      <c r="B988">
        <v>987</v>
      </c>
    </row>
    <row r="989" spans="1:10" x14ac:dyDescent="0.25">
      <c r="A989" s="6">
        <v>4864.84</v>
      </c>
      <c r="B989">
        <v>988</v>
      </c>
    </row>
    <row r="990" spans="1:10" x14ac:dyDescent="0.25">
      <c r="A990" s="6">
        <v>4868.9000000000005</v>
      </c>
      <c r="B990">
        <v>989</v>
      </c>
    </row>
    <row r="991" spans="1:10" x14ac:dyDescent="0.25">
      <c r="A991" s="6">
        <v>4935.32</v>
      </c>
      <c r="B991">
        <v>990</v>
      </c>
    </row>
    <row r="992" spans="1:10" x14ac:dyDescent="0.25">
      <c r="A992" s="6">
        <v>4935.32</v>
      </c>
      <c r="B992">
        <v>991</v>
      </c>
    </row>
    <row r="993" spans="1:2" x14ac:dyDescent="0.25">
      <c r="A993" s="6">
        <v>4963.16</v>
      </c>
      <c r="B993">
        <v>992</v>
      </c>
    </row>
    <row r="994" spans="1:2" x14ac:dyDescent="0.25">
      <c r="A994" s="6">
        <v>4970.57</v>
      </c>
      <c r="B994">
        <v>993</v>
      </c>
    </row>
    <row r="995" spans="1:2" x14ac:dyDescent="0.25">
      <c r="A995" s="6">
        <v>5041.2299999999996</v>
      </c>
      <c r="B995">
        <v>994</v>
      </c>
    </row>
    <row r="996" spans="1:2" x14ac:dyDescent="0.25">
      <c r="A996" s="6">
        <v>5047.99</v>
      </c>
      <c r="B996">
        <v>995</v>
      </c>
    </row>
    <row r="997" spans="1:2" x14ac:dyDescent="0.25">
      <c r="A997" s="6">
        <v>5061.7099999999991</v>
      </c>
      <c r="B997">
        <v>996</v>
      </c>
    </row>
    <row r="998" spans="1:2" x14ac:dyDescent="0.25">
      <c r="A998" s="6">
        <v>5131.9100000000008</v>
      </c>
      <c r="B998">
        <v>997</v>
      </c>
    </row>
    <row r="999" spans="1:2" x14ac:dyDescent="0.25">
      <c r="A999" s="6">
        <v>5200.88</v>
      </c>
      <c r="B999">
        <v>998</v>
      </c>
    </row>
    <row r="1000" spans="1:2" x14ac:dyDescent="0.25">
      <c r="A1000" s="6">
        <v>5444.47</v>
      </c>
      <c r="B1000">
        <v>999</v>
      </c>
    </row>
    <row r="1001" spans="1:2" x14ac:dyDescent="0.25">
      <c r="A1001" s="6">
        <v>5646.44</v>
      </c>
      <c r="B1001">
        <v>1000</v>
      </c>
    </row>
  </sheetData>
  <sortState xmlns:xlrd2="http://schemas.microsoft.com/office/spreadsheetml/2017/richdata2" ref="A2:A1001">
    <sortCondition ref="A2:A10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Raw Data</vt:lpstr>
      <vt:lpstr>Summary Statistics</vt:lpstr>
      <vt:lpstr>Bootstrapping</vt:lpstr>
      <vt:lpstr>Confidence Interval</vt:lpstr>
      <vt:lpstr>Histogram</vt:lpstr>
    </vt:vector>
  </TitlesOfParts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Rivero-Arias</dc:creator>
  <cp:lastModifiedBy>Des Wong</cp:lastModifiedBy>
  <dcterms:created xsi:type="dcterms:W3CDTF">2009-04-14T14:27:12Z</dcterms:created>
  <dcterms:modified xsi:type="dcterms:W3CDTF">2021-11-24T17:03:35Z</dcterms:modified>
</cp:coreProperties>
</file>