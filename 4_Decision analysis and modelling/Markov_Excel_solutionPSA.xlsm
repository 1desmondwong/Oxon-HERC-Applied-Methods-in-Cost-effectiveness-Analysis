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705" yWindow="-60" windowWidth="15480" windowHeight="11640" activeTab="1"/>
  </bookViews>
  <sheets>
    <sheet name="Diagram" sheetId="1" r:id="rId1"/>
    <sheet name="Analysis" sheetId="5" r:id="rId2"/>
    <sheet name="Parameters" sheetId="2" r:id="rId3"/>
    <sheet name="No drug" sheetId="3" r:id="rId4"/>
    <sheet name="Drug" sheetId="4" r:id="rId5"/>
    <sheet name="PSA" sheetId="6" r:id="rId6"/>
    <sheet name="CEA curve" sheetId="8" r:id="rId7"/>
  </sheets>
  <externalReferences>
    <externalReference r:id="rId8"/>
  </externalReferences>
  <definedNames>
    <definedName name="cAsymp">Parameters!$B$12</definedName>
    <definedName name="cDeath">Parameters!$B$15</definedName>
    <definedName name="cDR">Parameters!$B$38</definedName>
    <definedName name="cDrug">Parameters!$B$14</definedName>
    <definedName name="cProg">Parameters!$B$13</definedName>
    <definedName name="cRatio">PSA!#REF!</definedName>
    <definedName name="Eff">Parameters!$B$33</definedName>
    <definedName name="ini_age">Parameters!$B$35</definedName>
    <definedName name="natDeath55">Parameters!$B$27</definedName>
    <definedName name="natDeath65">Parameters!$B$28</definedName>
    <definedName name="natDeath75">Parameters!$B$29</definedName>
    <definedName name="natDeath85">Parameters!$B$30</definedName>
    <definedName name="oDR">Parameters!$B$37</definedName>
    <definedName name="s">'[1]Hazard function'!$F$32</definedName>
    <definedName name="tpDcm">Parameters!$B$26</definedName>
    <definedName name="tpProg">Parameters!$B$25</definedName>
    <definedName name="uAsymp">Parameters!$B$19</definedName>
    <definedName name="uProg">Parameters!$B$20</definedName>
  </definedNames>
  <calcPr calcId="145621"/>
</workbook>
</file>

<file path=xl/calcChain.xml><?xml version="1.0" encoding="utf-8"?>
<calcChain xmlns="http://schemas.openxmlformats.org/spreadsheetml/2006/main">
  <c r="H25" i="2" l="1"/>
  <c r="T1005" i="6" l="1"/>
  <c r="S1005" i="6"/>
  <c r="T1004" i="6"/>
  <c r="S1004" i="6"/>
  <c r="T1003" i="6"/>
  <c r="S1003" i="6"/>
  <c r="T1002" i="6"/>
  <c r="S1002" i="6"/>
  <c r="T1001" i="6"/>
  <c r="S1001" i="6"/>
  <c r="T1000" i="6"/>
  <c r="S1000" i="6"/>
  <c r="T999" i="6"/>
  <c r="S999" i="6"/>
  <c r="T998" i="6"/>
  <c r="S998" i="6"/>
  <c r="T997" i="6"/>
  <c r="S997" i="6"/>
  <c r="T996" i="6"/>
  <c r="S996" i="6"/>
  <c r="T995" i="6"/>
  <c r="S995" i="6"/>
  <c r="T994" i="6"/>
  <c r="S994" i="6"/>
  <c r="T993" i="6"/>
  <c r="S993" i="6"/>
  <c r="T992" i="6"/>
  <c r="S992" i="6"/>
  <c r="T991" i="6"/>
  <c r="S991" i="6"/>
  <c r="T990" i="6"/>
  <c r="S990" i="6"/>
  <c r="T989" i="6"/>
  <c r="S989" i="6"/>
  <c r="T988" i="6"/>
  <c r="S988" i="6"/>
  <c r="T987" i="6"/>
  <c r="S987" i="6"/>
  <c r="T986" i="6"/>
  <c r="S986" i="6"/>
  <c r="T985" i="6"/>
  <c r="S985" i="6"/>
  <c r="T984" i="6"/>
  <c r="S984" i="6"/>
  <c r="T983" i="6"/>
  <c r="S983" i="6"/>
  <c r="T982" i="6"/>
  <c r="S982" i="6"/>
  <c r="T981" i="6"/>
  <c r="S981" i="6"/>
  <c r="T980" i="6"/>
  <c r="S980" i="6"/>
  <c r="T979" i="6"/>
  <c r="S979" i="6"/>
  <c r="T978" i="6"/>
  <c r="S978" i="6"/>
  <c r="T977" i="6"/>
  <c r="S977" i="6"/>
  <c r="T976" i="6"/>
  <c r="S976" i="6"/>
  <c r="T975" i="6"/>
  <c r="S975" i="6"/>
  <c r="T974" i="6"/>
  <c r="S974" i="6"/>
  <c r="T973" i="6"/>
  <c r="S973" i="6"/>
  <c r="T972" i="6"/>
  <c r="S972" i="6"/>
  <c r="T971" i="6"/>
  <c r="S971" i="6"/>
  <c r="T970" i="6"/>
  <c r="S970" i="6"/>
  <c r="T969" i="6"/>
  <c r="S969" i="6"/>
  <c r="T968" i="6"/>
  <c r="S968" i="6"/>
  <c r="T967" i="6"/>
  <c r="S967" i="6"/>
  <c r="T966" i="6"/>
  <c r="S966" i="6"/>
  <c r="T965" i="6"/>
  <c r="S965" i="6"/>
  <c r="T964" i="6"/>
  <c r="S964" i="6"/>
  <c r="T963" i="6"/>
  <c r="S963" i="6"/>
  <c r="T962" i="6"/>
  <c r="S962" i="6"/>
  <c r="T961" i="6"/>
  <c r="S961" i="6"/>
  <c r="T960" i="6"/>
  <c r="S960" i="6"/>
  <c r="T959" i="6"/>
  <c r="S959" i="6"/>
  <c r="T958" i="6"/>
  <c r="S958" i="6"/>
  <c r="T957" i="6"/>
  <c r="S957" i="6"/>
  <c r="T956" i="6"/>
  <c r="S956" i="6"/>
  <c r="T955" i="6"/>
  <c r="S955" i="6"/>
  <c r="T954" i="6"/>
  <c r="S954" i="6"/>
  <c r="T953" i="6"/>
  <c r="S953" i="6"/>
  <c r="T952" i="6"/>
  <c r="S952" i="6"/>
  <c r="T951" i="6"/>
  <c r="S951" i="6"/>
  <c r="T950" i="6"/>
  <c r="S950" i="6"/>
  <c r="T949" i="6"/>
  <c r="S949" i="6"/>
  <c r="T948" i="6"/>
  <c r="S948" i="6"/>
  <c r="T947" i="6"/>
  <c r="S947" i="6"/>
  <c r="T946" i="6"/>
  <c r="S946" i="6"/>
  <c r="T945" i="6"/>
  <c r="S945" i="6"/>
  <c r="T944" i="6"/>
  <c r="S944" i="6"/>
  <c r="T943" i="6"/>
  <c r="S943" i="6"/>
  <c r="T942" i="6"/>
  <c r="S942" i="6"/>
  <c r="T941" i="6"/>
  <c r="S941" i="6"/>
  <c r="T940" i="6"/>
  <c r="S940" i="6"/>
  <c r="T939" i="6"/>
  <c r="S939" i="6"/>
  <c r="T938" i="6"/>
  <c r="S938" i="6"/>
  <c r="T937" i="6"/>
  <c r="S937" i="6"/>
  <c r="T936" i="6"/>
  <c r="S936" i="6"/>
  <c r="T935" i="6"/>
  <c r="S935" i="6"/>
  <c r="T934" i="6"/>
  <c r="S934" i="6"/>
  <c r="T933" i="6"/>
  <c r="S933" i="6"/>
  <c r="T932" i="6"/>
  <c r="S932" i="6"/>
  <c r="T931" i="6"/>
  <c r="S931" i="6"/>
  <c r="T930" i="6"/>
  <c r="S930" i="6"/>
  <c r="T929" i="6"/>
  <c r="S929" i="6"/>
  <c r="T928" i="6"/>
  <c r="S928" i="6"/>
  <c r="T927" i="6"/>
  <c r="S927" i="6"/>
  <c r="T926" i="6"/>
  <c r="S926" i="6"/>
  <c r="T925" i="6"/>
  <c r="S925" i="6"/>
  <c r="T924" i="6"/>
  <c r="S924" i="6"/>
  <c r="T923" i="6"/>
  <c r="S923" i="6"/>
  <c r="T922" i="6"/>
  <c r="S922" i="6"/>
  <c r="T921" i="6"/>
  <c r="S921" i="6"/>
  <c r="T920" i="6"/>
  <c r="S920" i="6"/>
  <c r="T919" i="6"/>
  <c r="S919" i="6"/>
  <c r="T918" i="6"/>
  <c r="S918" i="6"/>
  <c r="T917" i="6"/>
  <c r="S917" i="6"/>
  <c r="T916" i="6"/>
  <c r="S916" i="6"/>
  <c r="T915" i="6"/>
  <c r="S915" i="6"/>
  <c r="T914" i="6"/>
  <c r="S914" i="6"/>
  <c r="T913" i="6"/>
  <c r="S913" i="6"/>
  <c r="T912" i="6"/>
  <c r="S912" i="6"/>
  <c r="T911" i="6"/>
  <c r="S911" i="6"/>
  <c r="T910" i="6"/>
  <c r="S910" i="6"/>
  <c r="T909" i="6"/>
  <c r="S909" i="6"/>
  <c r="T908" i="6"/>
  <c r="S908" i="6"/>
  <c r="T907" i="6"/>
  <c r="S907" i="6"/>
  <c r="T906" i="6"/>
  <c r="S906" i="6"/>
  <c r="T905" i="6"/>
  <c r="S905" i="6"/>
  <c r="T904" i="6"/>
  <c r="S904" i="6"/>
  <c r="T903" i="6"/>
  <c r="S903" i="6"/>
  <c r="T902" i="6"/>
  <c r="S902" i="6"/>
  <c r="T901" i="6"/>
  <c r="S901" i="6"/>
  <c r="T900" i="6"/>
  <c r="S900" i="6"/>
  <c r="T899" i="6"/>
  <c r="S899" i="6"/>
  <c r="T898" i="6"/>
  <c r="S898" i="6"/>
  <c r="T897" i="6"/>
  <c r="S897" i="6"/>
  <c r="T896" i="6"/>
  <c r="S896" i="6"/>
  <c r="T895" i="6"/>
  <c r="S895" i="6"/>
  <c r="T894" i="6"/>
  <c r="S894" i="6"/>
  <c r="T893" i="6"/>
  <c r="S893" i="6"/>
  <c r="T892" i="6"/>
  <c r="S892" i="6"/>
  <c r="T891" i="6"/>
  <c r="S891" i="6"/>
  <c r="T890" i="6"/>
  <c r="S890" i="6"/>
  <c r="T889" i="6"/>
  <c r="S889" i="6"/>
  <c r="T888" i="6"/>
  <c r="S888" i="6"/>
  <c r="T887" i="6"/>
  <c r="S887" i="6"/>
  <c r="T886" i="6"/>
  <c r="S886" i="6"/>
  <c r="T885" i="6"/>
  <c r="S885" i="6"/>
  <c r="T884" i="6"/>
  <c r="S884" i="6"/>
  <c r="T883" i="6"/>
  <c r="S883" i="6"/>
  <c r="T882" i="6"/>
  <c r="S882" i="6"/>
  <c r="T881" i="6"/>
  <c r="S881" i="6"/>
  <c r="T880" i="6"/>
  <c r="S880" i="6"/>
  <c r="T879" i="6"/>
  <c r="S879" i="6"/>
  <c r="T878" i="6"/>
  <c r="S878" i="6"/>
  <c r="T877" i="6"/>
  <c r="S877" i="6"/>
  <c r="T876" i="6"/>
  <c r="S876" i="6"/>
  <c r="T875" i="6"/>
  <c r="S875" i="6"/>
  <c r="T874" i="6"/>
  <c r="S874" i="6"/>
  <c r="T873" i="6"/>
  <c r="S873" i="6"/>
  <c r="T872" i="6"/>
  <c r="S872" i="6"/>
  <c r="T871" i="6"/>
  <c r="S871" i="6"/>
  <c r="T870" i="6"/>
  <c r="S870" i="6"/>
  <c r="T869" i="6"/>
  <c r="S869" i="6"/>
  <c r="T868" i="6"/>
  <c r="S868" i="6"/>
  <c r="T867" i="6"/>
  <c r="S867" i="6"/>
  <c r="T866" i="6"/>
  <c r="S866" i="6"/>
  <c r="T865" i="6"/>
  <c r="S865" i="6"/>
  <c r="T864" i="6"/>
  <c r="S864" i="6"/>
  <c r="T863" i="6"/>
  <c r="S863" i="6"/>
  <c r="T862" i="6"/>
  <c r="S862" i="6"/>
  <c r="T861" i="6"/>
  <c r="S861" i="6"/>
  <c r="T860" i="6"/>
  <c r="S860" i="6"/>
  <c r="T859" i="6"/>
  <c r="S859" i="6"/>
  <c r="T858" i="6"/>
  <c r="S858" i="6"/>
  <c r="T857" i="6"/>
  <c r="S857" i="6"/>
  <c r="T856" i="6"/>
  <c r="S856" i="6"/>
  <c r="T855" i="6"/>
  <c r="S855" i="6"/>
  <c r="T854" i="6"/>
  <c r="S854" i="6"/>
  <c r="T853" i="6"/>
  <c r="S853" i="6"/>
  <c r="T852" i="6"/>
  <c r="S852" i="6"/>
  <c r="T851" i="6"/>
  <c r="S851" i="6"/>
  <c r="T850" i="6"/>
  <c r="S850" i="6"/>
  <c r="T849" i="6"/>
  <c r="S849" i="6"/>
  <c r="T848" i="6"/>
  <c r="S848" i="6"/>
  <c r="T847" i="6"/>
  <c r="S847" i="6"/>
  <c r="T846" i="6"/>
  <c r="S846" i="6"/>
  <c r="T845" i="6"/>
  <c r="S845" i="6"/>
  <c r="T844" i="6"/>
  <c r="S844" i="6"/>
  <c r="T843" i="6"/>
  <c r="S843" i="6"/>
  <c r="T842" i="6"/>
  <c r="S842" i="6"/>
  <c r="T841" i="6"/>
  <c r="S841" i="6"/>
  <c r="T840" i="6"/>
  <c r="S840" i="6"/>
  <c r="T839" i="6"/>
  <c r="S839" i="6"/>
  <c r="T838" i="6"/>
  <c r="S838" i="6"/>
  <c r="T837" i="6"/>
  <c r="S837" i="6"/>
  <c r="T836" i="6"/>
  <c r="S836" i="6"/>
  <c r="T835" i="6"/>
  <c r="S835" i="6"/>
  <c r="T834" i="6"/>
  <c r="S834" i="6"/>
  <c r="T833" i="6"/>
  <c r="S833" i="6"/>
  <c r="T832" i="6"/>
  <c r="S832" i="6"/>
  <c r="T831" i="6"/>
  <c r="S831" i="6"/>
  <c r="T830" i="6"/>
  <c r="S830" i="6"/>
  <c r="T829" i="6"/>
  <c r="S829" i="6"/>
  <c r="T828" i="6"/>
  <c r="S828" i="6"/>
  <c r="T827" i="6"/>
  <c r="S827" i="6"/>
  <c r="T826" i="6"/>
  <c r="S826" i="6"/>
  <c r="T825" i="6"/>
  <c r="S825" i="6"/>
  <c r="T824" i="6"/>
  <c r="S824" i="6"/>
  <c r="T823" i="6"/>
  <c r="S823" i="6"/>
  <c r="T822" i="6"/>
  <c r="S822" i="6"/>
  <c r="T821" i="6"/>
  <c r="S821" i="6"/>
  <c r="T820" i="6"/>
  <c r="S820" i="6"/>
  <c r="T819" i="6"/>
  <c r="S819" i="6"/>
  <c r="T818" i="6"/>
  <c r="S818" i="6"/>
  <c r="T817" i="6"/>
  <c r="S817" i="6"/>
  <c r="T816" i="6"/>
  <c r="S816" i="6"/>
  <c r="T815" i="6"/>
  <c r="S815" i="6"/>
  <c r="T814" i="6"/>
  <c r="S814" i="6"/>
  <c r="T813" i="6"/>
  <c r="S813" i="6"/>
  <c r="T812" i="6"/>
  <c r="S812" i="6"/>
  <c r="T811" i="6"/>
  <c r="S811" i="6"/>
  <c r="T810" i="6"/>
  <c r="S810" i="6"/>
  <c r="T809" i="6"/>
  <c r="S809" i="6"/>
  <c r="T808" i="6"/>
  <c r="S808" i="6"/>
  <c r="T807" i="6"/>
  <c r="S807" i="6"/>
  <c r="T806" i="6"/>
  <c r="S806" i="6"/>
  <c r="T805" i="6"/>
  <c r="S805" i="6"/>
  <c r="T804" i="6"/>
  <c r="S804" i="6"/>
  <c r="T803" i="6"/>
  <c r="S803" i="6"/>
  <c r="T802" i="6"/>
  <c r="S802" i="6"/>
  <c r="T801" i="6"/>
  <c r="S801" i="6"/>
  <c r="T800" i="6"/>
  <c r="S800" i="6"/>
  <c r="T799" i="6"/>
  <c r="S799" i="6"/>
  <c r="T798" i="6"/>
  <c r="S798" i="6"/>
  <c r="T797" i="6"/>
  <c r="S797" i="6"/>
  <c r="T796" i="6"/>
  <c r="S796" i="6"/>
  <c r="T795" i="6"/>
  <c r="S795" i="6"/>
  <c r="T794" i="6"/>
  <c r="S794" i="6"/>
  <c r="T793" i="6"/>
  <c r="S793" i="6"/>
  <c r="T792" i="6"/>
  <c r="S792" i="6"/>
  <c r="T791" i="6"/>
  <c r="S791" i="6"/>
  <c r="T790" i="6"/>
  <c r="S790" i="6"/>
  <c r="T789" i="6"/>
  <c r="S789" i="6"/>
  <c r="T788" i="6"/>
  <c r="S788" i="6"/>
  <c r="T787" i="6"/>
  <c r="S787" i="6"/>
  <c r="T786" i="6"/>
  <c r="S786" i="6"/>
  <c r="T785" i="6"/>
  <c r="S785" i="6"/>
  <c r="T784" i="6"/>
  <c r="S784" i="6"/>
  <c r="T783" i="6"/>
  <c r="S783" i="6"/>
  <c r="T782" i="6"/>
  <c r="S782" i="6"/>
  <c r="T781" i="6"/>
  <c r="S781" i="6"/>
  <c r="T780" i="6"/>
  <c r="S780" i="6"/>
  <c r="T779" i="6"/>
  <c r="S779" i="6"/>
  <c r="T778" i="6"/>
  <c r="S778" i="6"/>
  <c r="T777" i="6"/>
  <c r="S777" i="6"/>
  <c r="T776" i="6"/>
  <c r="S776" i="6"/>
  <c r="T775" i="6"/>
  <c r="S775" i="6"/>
  <c r="T774" i="6"/>
  <c r="S774" i="6"/>
  <c r="T773" i="6"/>
  <c r="S773" i="6"/>
  <c r="T772" i="6"/>
  <c r="S772" i="6"/>
  <c r="T771" i="6"/>
  <c r="S771" i="6"/>
  <c r="T770" i="6"/>
  <c r="S770" i="6"/>
  <c r="T769" i="6"/>
  <c r="S769" i="6"/>
  <c r="T768" i="6"/>
  <c r="S768" i="6"/>
  <c r="T767" i="6"/>
  <c r="S767" i="6"/>
  <c r="T766" i="6"/>
  <c r="S766" i="6"/>
  <c r="T765" i="6"/>
  <c r="S765" i="6"/>
  <c r="T764" i="6"/>
  <c r="S764" i="6"/>
  <c r="T763" i="6"/>
  <c r="S763" i="6"/>
  <c r="T762" i="6"/>
  <c r="S762" i="6"/>
  <c r="T761" i="6"/>
  <c r="S761" i="6"/>
  <c r="T760" i="6"/>
  <c r="S760" i="6"/>
  <c r="T759" i="6"/>
  <c r="S759" i="6"/>
  <c r="T758" i="6"/>
  <c r="S758" i="6"/>
  <c r="T757" i="6"/>
  <c r="S757" i="6"/>
  <c r="T756" i="6"/>
  <c r="S756" i="6"/>
  <c r="T755" i="6"/>
  <c r="S755" i="6"/>
  <c r="T754" i="6"/>
  <c r="S754" i="6"/>
  <c r="T753" i="6"/>
  <c r="S753" i="6"/>
  <c r="T752" i="6"/>
  <c r="S752" i="6"/>
  <c r="T751" i="6"/>
  <c r="S751" i="6"/>
  <c r="T750" i="6"/>
  <c r="S750" i="6"/>
  <c r="T749" i="6"/>
  <c r="S749" i="6"/>
  <c r="T748" i="6"/>
  <c r="S748" i="6"/>
  <c r="T747" i="6"/>
  <c r="S747" i="6"/>
  <c r="T746" i="6"/>
  <c r="S746" i="6"/>
  <c r="T745" i="6"/>
  <c r="S745" i="6"/>
  <c r="T744" i="6"/>
  <c r="S744" i="6"/>
  <c r="T743" i="6"/>
  <c r="S743" i="6"/>
  <c r="T742" i="6"/>
  <c r="S742" i="6"/>
  <c r="T741" i="6"/>
  <c r="S741" i="6"/>
  <c r="T740" i="6"/>
  <c r="S740" i="6"/>
  <c r="T739" i="6"/>
  <c r="S739" i="6"/>
  <c r="T738" i="6"/>
  <c r="S738" i="6"/>
  <c r="T737" i="6"/>
  <c r="S737" i="6"/>
  <c r="T736" i="6"/>
  <c r="S736" i="6"/>
  <c r="T735" i="6"/>
  <c r="S735" i="6"/>
  <c r="T734" i="6"/>
  <c r="S734" i="6"/>
  <c r="T733" i="6"/>
  <c r="S733" i="6"/>
  <c r="T732" i="6"/>
  <c r="S732" i="6"/>
  <c r="T731" i="6"/>
  <c r="S731" i="6"/>
  <c r="T730" i="6"/>
  <c r="S730" i="6"/>
  <c r="T729" i="6"/>
  <c r="S729" i="6"/>
  <c r="T728" i="6"/>
  <c r="S728" i="6"/>
  <c r="T727" i="6"/>
  <c r="S727" i="6"/>
  <c r="T726" i="6"/>
  <c r="S726" i="6"/>
  <c r="T725" i="6"/>
  <c r="S725" i="6"/>
  <c r="T724" i="6"/>
  <c r="S724" i="6"/>
  <c r="T723" i="6"/>
  <c r="S723" i="6"/>
  <c r="T722" i="6"/>
  <c r="S722" i="6"/>
  <c r="T721" i="6"/>
  <c r="S721" i="6"/>
  <c r="T720" i="6"/>
  <c r="S720" i="6"/>
  <c r="T719" i="6"/>
  <c r="S719" i="6"/>
  <c r="T718" i="6"/>
  <c r="S718" i="6"/>
  <c r="T717" i="6"/>
  <c r="S717" i="6"/>
  <c r="T716" i="6"/>
  <c r="S716" i="6"/>
  <c r="T715" i="6"/>
  <c r="S715" i="6"/>
  <c r="T714" i="6"/>
  <c r="S714" i="6"/>
  <c r="T713" i="6"/>
  <c r="S713" i="6"/>
  <c r="T712" i="6"/>
  <c r="S712" i="6"/>
  <c r="T711" i="6"/>
  <c r="S711" i="6"/>
  <c r="T710" i="6"/>
  <c r="S710" i="6"/>
  <c r="T709" i="6"/>
  <c r="S709" i="6"/>
  <c r="T708" i="6"/>
  <c r="S708" i="6"/>
  <c r="T707" i="6"/>
  <c r="S707" i="6"/>
  <c r="T706" i="6"/>
  <c r="S706" i="6"/>
  <c r="T705" i="6"/>
  <c r="S705" i="6"/>
  <c r="T704" i="6"/>
  <c r="S704" i="6"/>
  <c r="T703" i="6"/>
  <c r="S703" i="6"/>
  <c r="T702" i="6"/>
  <c r="S702" i="6"/>
  <c r="T701" i="6"/>
  <c r="S701" i="6"/>
  <c r="T700" i="6"/>
  <c r="S700" i="6"/>
  <c r="T699" i="6"/>
  <c r="S699" i="6"/>
  <c r="T698" i="6"/>
  <c r="S698" i="6"/>
  <c r="T697" i="6"/>
  <c r="S697" i="6"/>
  <c r="T696" i="6"/>
  <c r="S696" i="6"/>
  <c r="T695" i="6"/>
  <c r="S695" i="6"/>
  <c r="T694" i="6"/>
  <c r="S694" i="6"/>
  <c r="T693" i="6"/>
  <c r="S693" i="6"/>
  <c r="T692" i="6"/>
  <c r="S692" i="6"/>
  <c r="T691" i="6"/>
  <c r="S691" i="6"/>
  <c r="T690" i="6"/>
  <c r="S690" i="6"/>
  <c r="T689" i="6"/>
  <c r="S689" i="6"/>
  <c r="T688" i="6"/>
  <c r="S688" i="6"/>
  <c r="T687" i="6"/>
  <c r="S687" i="6"/>
  <c r="T686" i="6"/>
  <c r="S686" i="6"/>
  <c r="T685" i="6"/>
  <c r="S685" i="6"/>
  <c r="T684" i="6"/>
  <c r="S684" i="6"/>
  <c r="T683" i="6"/>
  <c r="S683" i="6"/>
  <c r="T682" i="6"/>
  <c r="S682" i="6"/>
  <c r="T681" i="6"/>
  <c r="S681" i="6"/>
  <c r="T680" i="6"/>
  <c r="S680" i="6"/>
  <c r="T679" i="6"/>
  <c r="S679" i="6"/>
  <c r="T678" i="6"/>
  <c r="S678" i="6"/>
  <c r="T677" i="6"/>
  <c r="S677" i="6"/>
  <c r="T676" i="6"/>
  <c r="S676" i="6"/>
  <c r="T675" i="6"/>
  <c r="S675" i="6"/>
  <c r="T674" i="6"/>
  <c r="S674" i="6"/>
  <c r="T673" i="6"/>
  <c r="S673" i="6"/>
  <c r="T672" i="6"/>
  <c r="S672" i="6"/>
  <c r="T671" i="6"/>
  <c r="S671" i="6"/>
  <c r="T670" i="6"/>
  <c r="S670" i="6"/>
  <c r="T669" i="6"/>
  <c r="S669" i="6"/>
  <c r="T668" i="6"/>
  <c r="S668" i="6"/>
  <c r="T667" i="6"/>
  <c r="S667" i="6"/>
  <c r="T666" i="6"/>
  <c r="S666" i="6"/>
  <c r="T665" i="6"/>
  <c r="S665" i="6"/>
  <c r="T664" i="6"/>
  <c r="S664" i="6"/>
  <c r="T663" i="6"/>
  <c r="S663" i="6"/>
  <c r="T662" i="6"/>
  <c r="S662" i="6"/>
  <c r="T661" i="6"/>
  <c r="S661" i="6"/>
  <c r="T660" i="6"/>
  <c r="S660" i="6"/>
  <c r="T659" i="6"/>
  <c r="S659" i="6"/>
  <c r="T658" i="6"/>
  <c r="S658" i="6"/>
  <c r="T657" i="6"/>
  <c r="S657" i="6"/>
  <c r="T656" i="6"/>
  <c r="S656" i="6"/>
  <c r="T655" i="6"/>
  <c r="S655" i="6"/>
  <c r="T654" i="6"/>
  <c r="S654" i="6"/>
  <c r="T653" i="6"/>
  <c r="S653" i="6"/>
  <c r="T652" i="6"/>
  <c r="S652" i="6"/>
  <c r="T651" i="6"/>
  <c r="S651" i="6"/>
  <c r="T650" i="6"/>
  <c r="S650" i="6"/>
  <c r="T649" i="6"/>
  <c r="S649" i="6"/>
  <c r="T648" i="6"/>
  <c r="S648" i="6"/>
  <c r="T647" i="6"/>
  <c r="S647" i="6"/>
  <c r="T646" i="6"/>
  <c r="S646" i="6"/>
  <c r="T645" i="6"/>
  <c r="S645" i="6"/>
  <c r="T644" i="6"/>
  <c r="S644" i="6"/>
  <c r="T643" i="6"/>
  <c r="S643" i="6"/>
  <c r="T642" i="6"/>
  <c r="S642" i="6"/>
  <c r="T641" i="6"/>
  <c r="S641" i="6"/>
  <c r="T640" i="6"/>
  <c r="S640" i="6"/>
  <c r="T639" i="6"/>
  <c r="S639" i="6"/>
  <c r="T638" i="6"/>
  <c r="S638" i="6"/>
  <c r="T637" i="6"/>
  <c r="S637" i="6"/>
  <c r="T636" i="6"/>
  <c r="S636" i="6"/>
  <c r="T635" i="6"/>
  <c r="S635" i="6"/>
  <c r="T634" i="6"/>
  <c r="S634" i="6"/>
  <c r="T633" i="6"/>
  <c r="S633" i="6"/>
  <c r="T632" i="6"/>
  <c r="S632" i="6"/>
  <c r="T631" i="6"/>
  <c r="S631" i="6"/>
  <c r="T630" i="6"/>
  <c r="S630" i="6"/>
  <c r="T629" i="6"/>
  <c r="S629" i="6"/>
  <c r="T628" i="6"/>
  <c r="S628" i="6"/>
  <c r="T627" i="6"/>
  <c r="S627" i="6"/>
  <c r="T626" i="6"/>
  <c r="S626" i="6"/>
  <c r="T625" i="6"/>
  <c r="S625" i="6"/>
  <c r="T624" i="6"/>
  <c r="S624" i="6"/>
  <c r="T623" i="6"/>
  <c r="S623" i="6"/>
  <c r="T622" i="6"/>
  <c r="S622" i="6"/>
  <c r="T621" i="6"/>
  <c r="S621" i="6"/>
  <c r="T620" i="6"/>
  <c r="S620" i="6"/>
  <c r="T619" i="6"/>
  <c r="S619" i="6"/>
  <c r="T618" i="6"/>
  <c r="S618" i="6"/>
  <c r="T617" i="6"/>
  <c r="S617" i="6"/>
  <c r="T616" i="6"/>
  <c r="S616" i="6"/>
  <c r="T615" i="6"/>
  <c r="S615" i="6"/>
  <c r="T614" i="6"/>
  <c r="S614" i="6"/>
  <c r="T613" i="6"/>
  <c r="S613" i="6"/>
  <c r="T612" i="6"/>
  <c r="S612" i="6"/>
  <c r="T611" i="6"/>
  <c r="S611" i="6"/>
  <c r="T610" i="6"/>
  <c r="S610" i="6"/>
  <c r="T609" i="6"/>
  <c r="S609" i="6"/>
  <c r="T608" i="6"/>
  <c r="S608" i="6"/>
  <c r="T607" i="6"/>
  <c r="S607" i="6"/>
  <c r="T606" i="6"/>
  <c r="S606" i="6"/>
  <c r="T605" i="6"/>
  <c r="S605" i="6"/>
  <c r="T604" i="6"/>
  <c r="S604" i="6"/>
  <c r="T603" i="6"/>
  <c r="S603" i="6"/>
  <c r="T602" i="6"/>
  <c r="S602" i="6"/>
  <c r="T601" i="6"/>
  <c r="S601" i="6"/>
  <c r="T600" i="6"/>
  <c r="S600" i="6"/>
  <c r="T599" i="6"/>
  <c r="S599" i="6"/>
  <c r="T598" i="6"/>
  <c r="S598" i="6"/>
  <c r="T597" i="6"/>
  <c r="S597" i="6"/>
  <c r="T596" i="6"/>
  <c r="S596" i="6"/>
  <c r="T595" i="6"/>
  <c r="S595" i="6"/>
  <c r="T594" i="6"/>
  <c r="S594" i="6"/>
  <c r="T593" i="6"/>
  <c r="S593" i="6"/>
  <c r="T592" i="6"/>
  <c r="S592" i="6"/>
  <c r="T591" i="6"/>
  <c r="S591" i="6"/>
  <c r="T590" i="6"/>
  <c r="S590" i="6"/>
  <c r="T589" i="6"/>
  <c r="S589" i="6"/>
  <c r="T588" i="6"/>
  <c r="S588" i="6"/>
  <c r="T587" i="6"/>
  <c r="S587" i="6"/>
  <c r="T586" i="6"/>
  <c r="S586" i="6"/>
  <c r="T585" i="6"/>
  <c r="S585" i="6"/>
  <c r="T584" i="6"/>
  <c r="S584" i="6"/>
  <c r="T583" i="6"/>
  <c r="S583" i="6"/>
  <c r="T582" i="6"/>
  <c r="S582" i="6"/>
  <c r="T581" i="6"/>
  <c r="S581" i="6"/>
  <c r="T580" i="6"/>
  <c r="S580" i="6"/>
  <c r="T579" i="6"/>
  <c r="S579" i="6"/>
  <c r="T578" i="6"/>
  <c r="S578" i="6"/>
  <c r="T577" i="6"/>
  <c r="S577" i="6"/>
  <c r="T576" i="6"/>
  <c r="S576" i="6"/>
  <c r="T575" i="6"/>
  <c r="S575" i="6"/>
  <c r="T574" i="6"/>
  <c r="S574" i="6"/>
  <c r="T573" i="6"/>
  <c r="S573" i="6"/>
  <c r="T572" i="6"/>
  <c r="S572" i="6"/>
  <c r="T571" i="6"/>
  <c r="S571" i="6"/>
  <c r="T570" i="6"/>
  <c r="S570" i="6"/>
  <c r="T569" i="6"/>
  <c r="S569" i="6"/>
  <c r="T568" i="6"/>
  <c r="S568" i="6"/>
  <c r="T567" i="6"/>
  <c r="S567" i="6"/>
  <c r="T566" i="6"/>
  <c r="S566" i="6"/>
  <c r="T565" i="6"/>
  <c r="S565" i="6"/>
  <c r="T564" i="6"/>
  <c r="S564" i="6"/>
  <c r="T563" i="6"/>
  <c r="S563" i="6"/>
  <c r="T562" i="6"/>
  <c r="S562" i="6"/>
  <c r="T561" i="6"/>
  <c r="S561" i="6"/>
  <c r="T560" i="6"/>
  <c r="S560" i="6"/>
  <c r="T559" i="6"/>
  <c r="S559" i="6"/>
  <c r="T558" i="6"/>
  <c r="S558" i="6"/>
  <c r="T557" i="6"/>
  <c r="S557" i="6"/>
  <c r="T556" i="6"/>
  <c r="S556" i="6"/>
  <c r="T555" i="6"/>
  <c r="S555" i="6"/>
  <c r="T554" i="6"/>
  <c r="S554" i="6"/>
  <c r="T553" i="6"/>
  <c r="S553" i="6"/>
  <c r="T552" i="6"/>
  <c r="S552" i="6"/>
  <c r="T551" i="6"/>
  <c r="S551" i="6"/>
  <c r="T550" i="6"/>
  <c r="S550" i="6"/>
  <c r="T549" i="6"/>
  <c r="S549" i="6"/>
  <c r="T548" i="6"/>
  <c r="S548" i="6"/>
  <c r="T547" i="6"/>
  <c r="S547" i="6"/>
  <c r="T546" i="6"/>
  <c r="S546" i="6"/>
  <c r="T545" i="6"/>
  <c r="S545" i="6"/>
  <c r="T544" i="6"/>
  <c r="S544" i="6"/>
  <c r="T543" i="6"/>
  <c r="S543" i="6"/>
  <c r="T542" i="6"/>
  <c r="S542" i="6"/>
  <c r="T541" i="6"/>
  <c r="S541" i="6"/>
  <c r="T540" i="6"/>
  <c r="S540" i="6"/>
  <c r="T539" i="6"/>
  <c r="S539" i="6"/>
  <c r="T538" i="6"/>
  <c r="S538" i="6"/>
  <c r="T537" i="6"/>
  <c r="S537" i="6"/>
  <c r="T536" i="6"/>
  <c r="S536" i="6"/>
  <c r="T535" i="6"/>
  <c r="S535" i="6"/>
  <c r="T534" i="6"/>
  <c r="S534" i="6"/>
  <c r="T533" i="6"/>
  <c r="S533" i="6"/>
  <c r="T532" i="6"/>
  <c r="S532" i="6"/>
  <c r="T531" i="6"/>
  <c r="S531" i="6"/>
  <c r="T530" i="6"/>
  <c r="S530" i="6"/>
  <c r="T529" i="6"/>
  <c r="S529" i="6"/>
  <c r="T528" i="6"/>
  <c r="S528" i="6"/>
  <c r="T527" i="6"/>
  <c r="S527" i="6"/>
  <c r="T526" i="6"/>
  <c r="S526" i="6"/>
  <c r="T525" i="6"/>
  <c r="S525" i="6"/>
  <c r="T524" i="6"/>
  <c r="S524" i="6"/>
  <c r="T523" i="6"/>
  <c r="S523" i="6"/>
  <c r="T522" i="6"/>
  <c r="S522" i="6"/>
  <c r="T521" i="6"/>
  <c r="S521" i="6"/>
  <c r="T520" i="6"/>
  <c r="S520" i="6"/>
  <c r="T519" i="6"/>
  <c r="S519" i="6"/>
  <c r="T518" i="6"/>
  <c r="S518" i="6"/>
  <c r="T517" i="6"/>
  <c r="S517" i="6"/>
  <c r="T516" i="6"/>
  <c r="S516" i="6"/>
  <c r="T515" i="6"/>
  <c r="S515" i="6"/>
  <c r="T514" i="6"/>
  <c r="S514" i="6"/>
  <c r="T513" i="6"/>
  <c r="S513" i="6"/>
  <c r="T512" i="6"/>
  <c r="S512" i="6"/>
  <c r="T511" i="6"/>
  <c r="S511" i="6"/>
  <c r="T510" i="6"/>
  <c r="S510" i="6"/>
  <c r="T509" i="6"/>
  <c r="S509" i="6"/>
  <c r="T508" i="6"/>
  <c r="S508" i="6"/>
  <c r="T507" i="6"/>
  <c r="S507" i="6"/>
  <c r="T506" i="6"/>
  <c r="S506" i="6"/>
  <c r="T505" i="6"/>
  <c r="S505" i="6"/>
  <c r="T504" i="6"/>
  <c r="S504" i="6"/>
  <c r="T503" i="6"/>
  <c r="S503" i="6"/>
  <c r="T502" i="6"/>
  <c r="S502" i="6"/>
  <c r="T501" i="6"/>
  <c r="S501" i="6"/>
  <c r="T500" i="6"/>
  <c r="S500" i="6"/>
  <c r="T499" i="6"/>
  <c r="S499" i="6"/>
  <c r="T498" i="6"/>
  <c r="S498" i="6"/>
  <c r="T497" i="6"/>
  <c r="S497" i="6"/>
  <c r="T496" i="6"/>
  <c r="S496" i="6"/>
  <c r="T495" i="6"/>
  <c r="S495" i="6"/>
  <c r="T494" i="6"/>
  <c r="S494" i="6"/>
  <c r="T493" i="6"/>
  <c r="S493" i="6"/>
  <c r="T492" i="6"/>
  <c r="S492" i="6"/>
  <c r="T491" i="6"/>
  <c r="S491" i="6"/>
  <c r="T490" i="6"/>
  <c r="S490" i="6"/>
  <c r="T489" i="6"/>
  <c r="S489" i="6"/>
  <c r="T488" i="6"/>
  <c r="S488" i="6"/>
  <c r="T487" i="6"/>
  <c r="S487" i="6"/>
  <c r="T486" i="6"/>
  <c r="S486" i="6"/>
  <c r="T485" i="6"/>
  <c r="S485" i="6"/>
  <c r="T484" i="6"/>
  <c r="S484" i="6"/>
  <c r="T483" i="6"/>
  <c r="S483" i="6"/>
  <c r="T482" i="6"/>
  <c r="S482" i="6"/>
  <c r="T481" i="6"/>
  <c r="S481" i="6"/>
  <c r="T480" i="6"/>
  <c r="S480" i="6"/>
  <c r="T479" i="6"/>
  <c r="S479" i="6"/>
  <c r="T478" i="6"/>
  <c r="S478" i="6"/>
  <c r="T477" i="6"/>
  <c r="S477" i="6"/>
  <c r="T476" i="6"/>
  <c r="S476" i="6"/>
  <c r="T475" i="6"/>
  <c r="S475" i="6"/>
  <c r="T474" i="6"/>
  <c r="S474" i="6"/>
  <c r="T473" i="6"/>
  <c r="S473" i="6"/>
  <c r="T472" i="6"/>
  <c r="S472" i="6"/>
  <c r="T471" i="6"/>
  <c r="S471" i="6"/>
  <c r="T470" i="6"/>
  <c r="S470" i="6"/>
  <c r="T469" i="6"/>
  <c r="S469" i="6"/>
  <c r="T468" i="6"/>
  <c r="S468" i="6"/>
  <c r="T467" i="6"/>
  <c r="S467" i="6"/>
  <c r="T466" i="6"/>
  <c r="S466" i="6"/>
  <c r="T465" i="6"/>
  <c r="S465" i="6"/>
  <c r="T464" i="6"/>
  <c r="S464" i="6"/>
  <c r="T463" i="6"/>
  <c r="S463" i="6"/>
  <c r="T462" i="6"/>
  <c r="S462" i="6"/>
  <c r="T461" i="6"/>
  <c r="S461" i="6"/>
  <c r="T460" i="6"/>
  <c r="S460" i="6"/>
  <c r="T459" i="6"/>
  <c r="S459" i="6"/>
  <c r="T458" i="6"/>
  <c r="S458" i="6"/>
  <c r="T457" i="6"/>
  <c r="S457" i="6"/>
  <c r="T456" i="6"/>
  <c r="S456" i="6"/>
  <c r="T455" i="6"/>
  <c r="S455" i="6"/>
  <c r="T454" i="6"/>
  <c r="S454" i="6"/>
  <c r="T453" i="6"/>
  <c r="S453" i="6"/>
  <c r="T452" i="6"/>
  <c r="S452" i="6"/>
  <c r="T451" i="6"/>
  <c r="S451" i="6"/>
  <c r="T450" i="6"/>
  <c r="S450" i="6"/>
  <c r="T449" i="6"/>
  <c r="S449" i="6"/>
  <c r="T448" i="6"/>
  <c r="S448" i="6"/>
  <c r="T447" i="6"/>
  <c r="S447" i="6"/>
  <c r="T446" i="6"/>
  <c r="S446" i="6"/>
  <c r="T445" i="6"/>
  <c r="S445" i="6"/>
  <c r="T444" i="6"/>
  <c r="S444" i="6"/>
  <c r="T443" i="6"/>
  <c r="S443" i="6"/>
  <c r="T442" i="6"/>
  <c r="S442" i="6"/>
  <c r="T441" i="6"/>
  <c r="S441" i="6"/>
  <c r="T440" i="6"/>
  <c r="S440" i="6"/>
  <c r="T439" i="6"/>
  <c r="S439" i="6"/>
  <c r="T438" i="6"/>
  <c r="S438" i="6"/>
  <c r="T437" i="6"/>
  <c r="S437" i="6"/>
  <c r="T436" i="6"/>
  <c r="S436" i="6"/>
  <c r="T435" i="6"/>
  <c r="S435" i="6"/>
  <c r="T434" i="6"/>
  <c r="S434" i="6"/>
  <c r="T433" i="6"/>
  <c r="S433" i="6"/>
  <c r="T432" i="6"/>
  <c r="S432" i="6"/>
  <c r="T431" i="6"/>
  <c r="S431" i="6"/>
  <c r="T430" i="6"/>
  <c r="S430" i="6"/>
  <c r="T429" i="6"/>
  <c r="S429" i="6"/>
  <c r="T428" i="6"/>
  <c r="S428" i="6"/>
  <c r="T427" i="6"/>
  <c r="S427" i="6"/>
  <c r="T426" i="6"/>
  <c r="S426" i="6"/>
  <c r="T425" i="6"/>
  <c r="S425" i="6"/>
  <c r="T424" i="6"/>
  <c r="S424" i="6"/>
  <c r="T423" i="6"/>
  <c r="S423" i="6"/>
  <c r="T422" i="6"/>
  <c r="S422" i="6"/>
  <c r="T421" i="6"/>
  <c r="S421" i="6"/>
  <c r="T420" i="6"/>
  <c r="S420" i="6"/>
  <c r="T419" i="6"/>
  <c r="S419" i="6"/>
  <c r="T418" i="6"/>
  <c r="S418" i="6"/>
  <c r="T417" i="6"/>
  <c r="S417" i="6"/>
  <c r="T416" i="6"/>
  <c r="S416" i="6"/>
  <c r="T415" i="6"/>
  <c r="S415" i="6"/>
  <c r="T414" i="6"/>
  <c r="S414" i="6"/>
  <c r="T413" i="6"/>
  <c r="S413" i="6"/>
  <c r="T412" i="6"/>
  <c r="S412" i="6"/>
  <c r="T411" i="6"/>
  <c r="S411" i="6"/>
  <c r="T410" i="6"/>
  <c r="S410" i="6"/>
  <c r="T409" i="6"/>
  <c r="S409" i="6"/>
  <c r="T408" i="6"/>
  <c r="S408" i="6"/>
  <c r="T407" i="6"/>
  <c r="S407" i="6"/>
  <c r="T406" i="6"/>
  <c r="S406" i="6"/>
  <c r="T405" i="6"/>
  <c r="S405" i="6"/>
  <c r="T404" i="6"/>
  <c r="S404" i="6"/>
  <c r="T403" i="6"/>
  <c r="S403" i="6"/>
  <c r="T402" i="6"/>
  <c r="S402" i="6"/>
  <c r="T401" i="6"/>
  <c r="S401" i="6"/>
  <c r="T400" i="6"/>
  <c r="S400" i="6"/>
  <c r="T399" i="6"/>
  <c r="S399" i="6"/>
  <c r="T398" i="6"/>
  <c r="S398" i="6"/>
  <c r="T397" i="6"/>
  <c r="S397" i="6"/>
  <c r="T396" i="6"/>
  <c r="S396" i="6"/>
  <c r="T395" i="6"/>
  <c r="S395" i="6"/>
  <c r="T394" i="6"/>
  <c r="S394" i="6"/>
  <c r="T393" i="6"/>
  <c r="S393" i="6"/>
  <c r="T392" i="6"/>
  <c r="S392" i="6"/>
  <c r="T391" i="6"/>
  <c r="S391" i="6"/>
  <c r="T390" i="6"/>
  <c r="S390" i="6"/>
  <c r="T389" i="6"/>
  <c r="S389" i="6"/>
  <c r="T388" i="6"/>
  <c r="S388" i="6"/>
  <c r="T387" i="6"/>
  <c r="S387" i="6"/>
  <c r="T386" i="6"/>
  <c r="S386" i="6"/>
  <c r="T385" i="6"/>
  <c r="S385" i="6"/>
  <c r="T384" i="6"/>
  <c r="S384" i="6"/>
  <c r="T383" i="6"/>
  <c r="S383" i="6"/>
  <c r="T382" i="6"/>
  <c r="S382" i="6"/>
  <c r="T381" i="6"/>
  <c r="S381" i="6"/>
  <c r="T380" i="6"/>
  <c r="S380" i="6"/>
  <c r="T379" i="6"/>
  <c r="S379" i="6"/>
  <c r="T378" i="6"/>
  <c r="S378" i="6"/>
  <c r="T377" i="6"/>
  <c r="S377" i="6"/>
  <c r="T376" i="6"/>
  <c r="S376" i="6"/>
  <c r="T375" i="6"/>
  <c r="S375" i="6"/>
  <c r="T374" i="6"/>
  <c r="S374" i="6"/>
  <c r="T373" i="6"/>
  <c r="S373" i="6"/>
  <c r="T372" i="6"/>
  <c r="S372" i="6"/>
  <c r="T371" i="6"/>
  <c r="S371" i="6"/>
  <c r="T370" i="6"/>
  <c r="S370" i="6"/>
  <c r="T369" i="6"/>
  <c r="S369" i="6"/>
  <c r="T368" i="6"/>
  <c r="S368" i="6"/>
  <c r="T367" i="6"/>
  <c r="S367" i="6"/>
  <c r="T366" i="6"/>
  <c r="S366" i="6"/>
  <c r="T365" i="6"/>
  <c r="S365" i="6"/>
  <c r="T364" i="6"/>
  <c r="S364" i="6"/>
  <c r="T363" i="6"/>
  <c r="S363" i="6"/>
  <c r="T362" i="6"/>
  <c r="S362" i="6"/>
  <c r="T361" i="6"/>
  <c r="S361" i="6"/>
  <c r="T360" i="6"/>
  <c r="S360" i="6"/>
  <c r="T359" i="6"/>
  <c r="S359" i="6"/>
  <c r="T358" i="6"/>
  <c r="S358" i="6"/>
  <c r="T357" i="6"/>
  <c r="S357" i="6"/>
  <c r="T356" i="6"/>
  <c r="S356" i="6"/>
  <c r="T355" i="6"/>
  <c r="S355" i="6"/>
  <c r="T354" i="6"/>
  <c r="S354" i="6"/>
  <c r="T353" i="6"/>
  <c r="S353" i="6"/>
  <c r="T352" i="6"/>
  <c r="S352" i="6"/>
  <c r="T351" i="6"/>
  <c r="S351" i="6"/>
  <c r="T350" i="6"/>
  <c r="S350" i="6"/>
  <c r="T349" i="6"/>
  <c r="S349" i="6"/>
  <c r="T348" i="6"/>
  <c r="S348" i="6"/>
  <c r="T347" i="6"/>
  <c r="S347" i="6"/>
  <c r="T346" i="6"/>
  <c r="S346" i="6"/>
  <c r="T345" i="6"/>
  <c r="S345" i="6"/>
  <c r="T344" i="6"/>
  <c r="S344" i="6"/>
  <c r="T343" i="6"/>
  <c r="S343" i="6"/>
  <c r="T342" i="6"/>
  <c r="S342" i="6"/>
  <c r="T341" i="6"/>
  <c r="S341" i="6"/>
  <c r="T340" i="6"/>
  <c r="S340" i="6"/>
  <c r="T339" i="6"/>
  <c r="S339" i="6"/>
  <c r="T338" i="6"/>
  <c r="S338" i="6"/>
  <c r="T337" i="6"/>
  <c r="S337" i="6"/>
  <c r="T336" i="6"/>
  <c r="S336" i="6"/>
  <c r="T335" i="6"/>
  <c r="S335" i="6"/>
  <c r="T334" i="6"/>
  <c r="S334" i="6"/>
  <c r="T333" i="6"/>
  <c r="S333" i="6"/>
  <c r="T332" i="6"/>
  <c r="S332" i="6"/>
  <c r="T331" i="6"/>
  <c r="S331" i="6"/>
  <c r="T330" i="6"/>
  <c r="S330" i="6"/>
  <c r="T329" i="6"/>
  <c r="S329" i="6"/>
  <c r="T328" i="6"/>
  <c r="S328" i="6"/>
  <c r="T327" i="6"/>
  <c r="S327" i="6"/>
  <c r="T326" i="6"/>
  <c r="S326" i="6"/>
  <c r="T325" i="6"/>
  <c r="S325" i="6"/>
  <c r="T324" i="6"/>
  <c r="S324" i="6"/>
  <c r="T323" i="6"/>
  <c r="S323" i="6"/>
  <c r="T322" i="6"/>
  <c r="S322" i="6"/>
  <c r="T321" i="6"/>
  <c r="S321" i="6"/>
  <c r="T320" i="6"/>
  <c r="S320" i="6"/>
  <c r="T319" i="6"/>
  <c r="S319" i="6"/>
  <c r="T318" i="6"/>
  <c r="S318" i="6"/>
  <c r="T317" i="6"/>
  <c r="S317" i="6"/>
  <c r="T316" i="6"/>
  <c r="S316" i="6"/>
  <c r="T315" i="6"/>
  <c r="S315" i="6"/>
  <c r="T314" i="6"/>
  <c r="S314" i="6"/>
  <c r="T313" i="6"/>
  <c r="S313" i="6"/>
  <c r="T312" i="6"/>
  <c r="S312" i="6"/>
  <c r="T311" i="6"/>
  <c r="S311" i="6"/>
  <c r="T310" i="6"/>
  <c r="S310" i="6"/>
  <c r="T309" i="6"/>
  <c r="S309" i="6"/>
  <c r="T308" i="6"/>
  <c r="S308" i="6"/>
  <c r="T307" i="6"/>
  <c r="S307" i="6"/>
  <c r="T306" i="6"/>
  <c r="S306" i="6"/>
  <c r="T305" i="6"/>
  <c r="S305" i="6"/>
  <c r="T304" i="6"/>
  <c r="S304" i="6"/>
  <c r="T303" i="6"/>
  <c r="S303" i="6"/>
  <c r="T302" i="6"/>
  <c r="S302" i="6"/>
  <c r="T301" i="6"/>
  <c r="S301" i="6"/>
  <c r="T300" i="6"/>
  <c r="S300" i="6"/>
  <c r="T299" i="6"/>
  <c r="S299" i="6"/>
  <c r="T298" i="6"/>
  <c r="S298" i="6"/>
  <c r="T297" i="6"/>
  <c r="S297" i="6"/>
  <c r="T296" i="6"/>
  <c r="S296" i="6"/>
  <c r="T295" i="6"/>
  <c r="S295" i="6"/>
  <c r="T294" i="6"/>
  <c r="S294" i="6"/>
  <c r="T293" i="6"/>
  <c r="S293" i="6"/>
  <c r="T292" i="6"/>
  <c r="S292" i="6"/>
  <c r="T291" i="6"/>
  <c r="S291" i="6"/>
  <c r="T290" i="6"/>
  <c r="S290" i="6"/>
  <c r="T289" i="6"/>
  <c r="S289" i="6"/>
  <c r="T288" i="6"/>
  <c r="S288" i="6"/>
  <c r="T287" i="6"/>
  <c r="S287" i="6"/>
  <c r="T286" i="6"/>
  <c r="S286" i="6"/>
  <c r="T285" i="6"/>
  <c r="S285" i="6"/>
  <c r="T284" i="6"/>
  <c r="S284" i="6"/>
  <c r="T283" i="6"/>
  <c r="S283" i="6"/>
  <c r="T282" i="6"/>
  <c r="S282" i="6"/>
  <c r="T281" i="6"/>
  <c r="S281" i="6"/>
  <c r="T280" i="6"/>
  <c r="S280" i="6"/>
  <c r="T279" i="6"/>
  <c r="S279" i="6"/>
  <c r="T278" i="6"/>
  <c r="S278" i="6"/>
  <c r="T277" i="6"/>
  <c r="S277" i="6"/>
  <c r="T276" i="6"/>
  <c r="S276" i="6"/>
  <c r="T275" i="6"/>
  <c r="S275" i="6"/>
  <c r="T274" i="6"/>
  <c r="S274" i="6"/>
  <c r="T273" i="6"/>
  <c r="S273" i="6"/>
  <c r="T272" i="6"/>
  <c r="S272" i="6"/>
  <c r="T271" i="6"/>
  <c r="S271" i="6"/>
  <c r="T270" i="6"/>
  <c r="S270" i="6"/>
  <c r="T269" i="6"/>
  <c r="S269" i="6"/>
  <c r="T268" i="6"/>
  <c r="S268" i="6"/>
  <c r="T267" i="6"/>
  <c r="S267" i="6"/>
  <c r="T266" i="6"/>
  <c r="S266" i="6"/>
  <c r="T265" i="6"/>
  <c r="S265" i="6"/>
  <c r="T264" i="6"/>
  <c r="S264" i="6"/>
  <c r="T263" i="6"/>
  <c r="S263" i="6"/>
  <c r="T262" i="6"/>
  <c r="S262" i="6"/>
  <c r="T261" i="6"/>
  <c r="S261" i="6"/>
  <c r="T260" i="6"/>
  <c r="S260" i="6"/>
  <c r="T259" i="6"/>
  <c r="S259" i="6"/>
  <c r="T258" i="6"/>
  <c r="S258" i="6"/>
  <c r="T257" i="6"/>
  <c r="S257" i="6"/>
  <c r="T256" i="6"/>
  <c r="S256" i="6"/>
  <c r="T255" i="6"/>
  <c r="S255" i="6"/>
  <c r="T254" i="6"/>
  <c r="S254" i="6"/>
  <c r="T253" i="6"/>
  <c r="S253" i="6"/>
  <c r="T252" i="6"/>
  <c r="S252" i="6"/>
  <c r="T251" i="6"/>
  <c r="S251" i="6"/>
  <c r="T250" i="6"/>
  <c r="S250" i="6"/>
  <c r="T249" i="6"/>
  <c r="S249" i="6"/>
  <c r="T248" i="6"/>
  <c r="S248" i="6"/>
  <c r="T247" i="6"/>
  <c r="S247" i="6"/>
  <c r="T246" i="6"/>
  <c r="S246" i="6"/>
  <c r="T245" i="6"/>
  <c r="S245" i="6"/>
  <c r="T244" i="6"/>
  <c r="S244" i="6"/>
  <c r="T243" i="6"/>
  <c r="S243" i="6"/>
  <c r="T242" i="6"/>
  <c r="S242" i="6"/>
  <c r="T241" i="6"/>
  <c r="S241" i="6"/>
  <c r="T240" i="6"/>
  <c r="S240" i="6"/>
  <c r="T239" i="6"/>
  <c r="S239" i="6"/>
  <c r="T238" i="6"/>
  <c r="S238" i="6"/>
  <c r="T237" i="6"/>
  <c r="S237" i="6"/>
  <c r="T236" i="6"/>
  <c r="S236" i="6"/>
  <c r="T235" i="6"/>
  <c r="S235" i="6"/>
  <c r="T234" i="6"/>
  <c r="S234" i="6"/>
  <c r="T233" i="6"/>
  <c r="S233" i="6"/>
  <c r="T232" i="6"/>
  <c r="S232" i="6"/>
  <c r="T231" i="6"/>
  <c r="S231" i="6"/>
  <c r="T230" i="6"/>
  <c r="S230" i="6"/>
  <c r="T229" i="6"/>
  <c r="S229" i="6"/>
  <c r="T228" i="6"/>
  <c r="S228" i="6"/>
  <c r="T227" i="6"/>
  <c r="S227" i="6"/>
  <c r="T226" i="6"/>
  <c r="S226" i="6"/>
  <c r="T225" i="6"/>
  <c r="S225" i="6"/>
  <c r="T224" i="6"/>
  <c r="S224" i="6"/>
  <c r="T223" i="6"/>
  <c r="S223" i="6"/>
  <c r="T222" i="6"/>
  <c r="S222" i="6"/>
  <c r="T221" i="6"/>
  <c r="S221" i="6"/>
  <c r="T220" i="6"/>
  <c r="S220" i="6"/>
  <c r="T219" i="6"/>
  <c r="S219" i="6"/>
  <c r="T218" i="6"/>
  <c r="S218" i="6"/>
  <c r="T217" i="6"/>
  <c r="S217" i="6"/>
  <c r="T216" i="6"/>
  <c r="S216" i="6"/>
  <c r="T215" i="6"/>
  <c r="S215" i="6"/>
  <c r="T214" i="6"/>
  <c r="S214" i="6"/>
  <c r="T213" i="6"/>
  <c r="S213" i="6"/>
  <c r="T212" i="6"/>
  <c r="S212" i="6"/>
  <c r="T211" i="6"/>
  <c r="S211" i="6"/>
  <c r="T210" i="6"/>
  <c r="S210" i="6"/>
  <c r="T209" i="6"/>
  <c r="S209" i="6"/>
  <c r="T208" i="6"/>
  <c r="S208" i="6"/>
  <c r="T207" i="6"/>
  <c r="S207" i="6"/>
  <c r="T206" i="6"/>
  <c r="S206" i="6"/>
  <c r="T205" i="6"/>
  <c r="S205" i="6"/>
  <c r="T204" i="6"/>
  <c r="S204" i="6"/>
  <c r="T203" i="6"/>
  <c r="S203" i="6"/>
  <c r="T202" i="6"/>
  <c r="S202" i="6"/>
  <c r="T201" i="6"/>
  <c r="S201" i="6"/>
  <c r="T200" i="6"/>
  <c r="S200" i="6"/>
  <c r="T199" i="6"/>
  <c r="S199" i="6"/>
  <c r="T198" i="6"/>
  <c r="S198" i="6"/>
  <c r="T197" i="6"/>
  <c r="S197" i="6"/>
  <c r="T196" i="6"/>
  <c r="S196" i="6"/>
  <c r="T195" i="6"/>
  <c r="S195" i="6"/>
  <c r="T194" i="6"/>
  <c r="S194" i="6"/>
  <c r="T193" i="6"/>
  <c r="S193" i="6"/>
  <c r="T192" i="6"/>
  <c r="S192" i="6"/>
  <c r="T191" i="6"/>
  <c r="S191" i="6"/>
  <c r="T190" i="6"/>
  <c r="S190" i="6"/>
  <c r="T189" i="6"/>
  <c r="S189" i="6"/>
  <c r="T188" i="6"/>
  <c r="S188" i="6"/>
  <c r="T187" i="6"/>
  <c r="S187" i="6"/>
  <c r="T186" i="6"/>
  <c r="S186" i="6"/>
  <c r="T185" i="6"/>
  <c r="S185" i="6"/>
  <c r="T184" i="6"/>
  <c r="S184" i="6"/>
  <c r="T183" i="6"/>
  <c r="S183" i="6"/>
  <c r="T182" i="6"/>
  <c r="S182" i="6"/>
  <c r="T181" i="6"/>
  <c r="S181" i="6"/>
  <c r="T180" i="6"/>
  <c r="S180" i="6"/>
  <c r="T179" i="6"/>
  <c r="S179" i="6"/>
  <c r="T178" i="6"/>
  <c r="S178" i="6"/>
  <c r="T177" i="6"/>
  <c r="S177" i="6"/>
  <c r="T176" i="6"/>
  <c r="S176" i="6"/>
  <c r="T175" i="6"/>
  <c r="S175" i="6"/>
  <c r="T174" i="6"/>
  <c r="S174" i="6"/>
  <c r="T173" i="6"/>
  <c r="S173" i="6"/>
  <c r="T172" i="6"/>
  <c r="S172" i="6"/>
  <c r="T171" i="6"/>
  <c r="S171" i="6"/>
  <c r="T170" i="6"/>
  <c r="S170" i="6"/>
  <c r="T169" i="6"/>
  <c r="S169" i="6"/>
  <c r="T168" i="6"/>
  <c r="S168" i="6"/>
  <c r="T167" i="6"/>
  <c r="S167" i="6"/>
  <c r="T166" i="6"/>
  <c r="S166" i="6"/>
  <c r="T165" i="6"/>
  <c r="S165" i="6"/>
  <c r="T164" i="6"/>
  <c r="S164" i="6"/>
  <c r="T163" i="6"/>
  <c r="S163" i="6"/>
  <c r="T162" i="6"/>
  <c r="S162" i="6"/>
  <c r="T161" i="6"/>
  <c r="S161" i="6"/>
  <c r="T160" i="6"/>
  <c r="S160" i="6"/>
  <c r="T159" i="6"/>
  <c r="S159" i="6"/>
  <c r="T158" i="6"/>
  <c r="S158" i="6"/>
  <c r="T157" i="6"/>
  <c r="S157" i="6"/>
  <c r="T156" i="6"/>
  <c r="S156" i="6"/>
  <c r="T155" i="6"/>
  <c r="S155" i="6"/>
  <c r="T154" i="6"/>
  <c r="S154" i="6"/>
  <c r="T153" i="6"/>
  <c r="S153" i="6"/>
  <c r="T152" i="6"/>
  <c r="S152" i="6"/>
  <c r="T151" i="6"/>
  <c r="S151" i="6"/>
  <c r="T150" i="6"/>
  <c r="S150" i="6"/>
  <c r="T149" i="6"/>
  <c r="S149" i="6"/>
  <c r="T148" i="6"/>
  <c r="S148" i="6"/>
  <c r="T147" i="6"/>
  <c r="S147" i="6"/>
  <c r="T146" i="6"/>
  <c r="S146" i="6"/>
  <c r="T145" i="6"/>
  <c r="S145" i="6"/>
  <c r="T144" i="6"/>
  <c r="S144" i="6"/>
  <c r="T143" i="6"/>
  <c r="S143" i="6"/>
  <c r="T142" i="6"/>
  <c r="S142" i="6"/>
  <c r="T141" i="6"/>
  <c r="S141" i="6"/>
  <c r="T140" i="6"/>
  <c r="S140" i="6"/>
  <c r="T139" i="6"/>
  <c r="S139" i="6"/>
  <c r="T138" i="6"/>
  <c r="S138" i="6"/>
  <c r="T137" i="6"/>
  <c r="S137" i="6"/>
  <c r="T136" i="6"/>
  <c r="S136" i="6"/>
  <c r="T135" i="6"/>
  <c r="S135" i="6"/>
  <c r="T134" i="6"/>
  <c r="S134" i="6"/>
  <c r="T133" i="6"/>
  <c r="S133" i="6"/>
  <c r="T132" i="6"/>
  <c r="S132" i="6"/>
  <c r="T131" i="6"/>
  <c r="S131" i="6"/>
  <c r="T130" i="6"/>
  <c r="S130" i="6"/>
  <c r="T129" i="6"/>
  <c r="S129" i="6"/>
  <c r="T128" i="6"/>
  <c r="S128" i="6"/>
  <c r="T127" i="6"/>
  <c r="S127" i="6"/>
  <c r="T126" i="6"/>
  <c r="S126" i="6"/>
  <c r="T125" i="6"/>
  <c r="S125" i="6"/>
  <c r="T124" i="6"/>
  <c r="S124" i="6"/>
  <c r="T123" i="6"/>
  <c r="S123" i="6"/>
  <c r="T122" i="6"/>
  <c r="S122" i="6"/>
  <c r="T121" i="6"/>
  <c r="S121" i="6"/>
  <c r="T120" i="6"/>
  <c r="S120" i="6"/>
  <c r="T119" i="6"/>
  <c r="S119" i="6"/>
  <c r="T118" i="6"/>
  <c r="S118" i="6"/>
  <c r="T117" i="6"/>
  <c r="S117" i="6"/>
  <c r="T116" i="6"/>
  <c r="S116" i="6"/>
  <c r="T115" i="6"/>
  <c r="S115" i="6"/>
  <c r="T114" i="6"/>
  <c r="S114" i="6"/>
  <c r="T113" i="6"/>
  <c r="S113" i="6"/>
  <c r="T112" i="6"/>
  <c r="S112" i="6"/>
  <c r="T111" i="6"/>
  <c r="S111" i="6"/>
  <c r="T110" i="6"/>
  <c r="S110" i="6"/>
  <c r="T109" i="6"/>
  <c r="S109" i="6"/>
  <c r="T108" i="6"/>
  <c r="S108" i="6"/>
  <c r="T107" i="6"/>
  <c r="S107" i="6"/>
  <c r="T106" i="6"/>
  <c r="S106" i="6"/>
  <c r="T105" i="6"/>
  <c r="S105" i="6"/>
  <c r="T104" i="6"/>
  <c r="S104" i="6"/>
  <c r="T103" i="6"/>
  <c r="S103" i="6"/>
  <c r="T102" i="6"/>
  <c r="S102" i="6"/>
  <c r="T101" i="6"/>
  <c r="S101" i="6"/>
  <c r="T100" i="6"/>
  <c r="S100" i="6"/>
  <c r="T99" i="6"/>
  <c r="S99" i="6"/>
  <c r="T98" i="6"/>
  <c r="S98" i="6"/>
  <c r="T97" i="6"/>
  <c r="S97" i="6"/>
  <c r="T96" i="6"/>
  <c r="S96" i="6"/>
  <c r="T95" i="6"/>
  <c r="S95" i="6"/>
  <c r="T94" i="6"/>
  <c r="S94" i="6"/>
  <c r="T93" i="6"/>
  <c r="S93" i="6"/>
  <c r="T92" i="6"/>
  <c r="S92" i="6"/>
  <c r="T91" i="6"/>
  <c r="S91" i="6"/>
  <c r="T90" i="6"/>
  <c r="S90" i="6"/>
  <c r="T89" i="6"/>
  <c r="S89" i="6"/>
  <c r="T88" i="6"/>
  <c r="S88" i="6"/>
  <c r="T87" i="6"/>
  <c r="S87" i="6"/>
  <c r="T86" i="6"/>
  <c r="S86" i="6"/>
  <c r="T85" i="6"/>
  <c r="S85" i="6"/>
  <c r="T84" i="6"/>
  <c r="S84" i="6"/>
  <c r="T83" i="6"/>
  <c r="S83" i="6"/>
  <c r="T82" i="6"/>
  <c r="S82" i="6"/>
  <c r="T81" i="6"/>
  <c r="S81" i="6"/>
  <c r="T80" i="6"/>
  <c r="S80" i="6"/>
  <c r="T79" i="6"/>
  <c r="S79" i="6"/>
  <c r="T78" i="6"/>
  <c r="S78" i="6"/>
  <c r="T77" i="6"/>
  <c r="S77" i="6"/>
  <c r="T76" i="6"/>
  <c r="S76" i="6"/>
  <c r="T75" i="6"/>
  <c r="S75" i="6"/>
  <c r="T74" i="6"/>
  <c r="S74" i="6"/>
  <c r="T73" i="6"/>
  <c r="S73" i="6"/>
  <c r="T72" i="6"/>
  <c r="S72" i="6"/>
  <c r="T71" i="6"/>
  <c r="S71" i="6"/>
  <c r="T70" i="6"/>
  <c r="S70" i="6"/>
  <c r="T69" i="6"/>
  <c r="S69" i="6"/>
  <c r="T68" i="6"/>
  <c r="S68" i="6"/>
  <c r="T67" i="6"/>
  <c r="S67" i="6"/>
  <c r="T66" i="6"/>
  <c r="S66" i="6"/>
  <c r="T65" i="6"/>
  <c r="S65" i="6"/>
  <c r="T64" i="6"/>
  <c r="S64" i="6"/>
  <c r="T63" i="6"/>
  <c r="S63" i="6"/>
  <c r="T62" i="6"/>
  <c r="S62" i="6"/>
  <c r="T61" i="6"/>
  <c r="S61" i="6"/>
  <c r="T60" i="6"/>
  <c r="S60" i="6"/>
  <c r="T59" i="6"/>
  <c r="S59" i="6"/>
  <c r="T58" i="6"/>
  <c r="S58" i="6"/>
  <c r="T57" i="6"/>
  <c r="S57" i="6"/>
  <c r="T56" i="6"/>
  <c r="S56" i="6"/>
  <c r="T55" i="6"/>
  <c r="S55" i="6"/>
  <c r="T54" i="6"/>
  <c r="S54" i="6"/>
  <c r="T53" i="6"/>
  <c r="S53" i="6"/>
  <c r="T52" i="6"/>
  <c r="S52" i="6"/>
  <c r="T51" i="6"/>
  <c r="S51" i="6"/>
  <c r="T50" i="6"/>
  <c r="S50" i="6"/>
  <c r="T49" i="6"/>
  <c r="S49" i="6"/>
  <c r="T48" i="6"/>
  <c r="S48" i="6"/>
  <c r="T47" i="6"/>
  <c r="S47" i="6"/>
  <c r="T46" i="6"/>
  <c r="S46" i="6"/>
  <c r="T45" i="6"/>
  <c r="S45" i="6"/>
  <c r="T44" i="6"/>
  <c r="S44" i="6"/>
  <c r="T43" i="6"/>
  <c r="S43" i="6"/>
  <c r="T42" i="6"/>
  <c r="S42" i="6"/>
  <c r="T41" i="6"/>
  <c r="S41" i="6"/>
  <c r="T40" i="6"/>
  <c r="S40" i="6"/>
  <c r="T39" i="6"/>
  <c r="S39" i="6"/>
  <c r="T38" i="6"/>
  <c r="S38" i="6"/>
  <c r="T37" i="6"/>
  <c r="S37" i="6"/>
  <c r="T36" i="6"/>
  <c r="S36" i="6"/>
  <c r="T35" i="6"/>
  <c r="S35" i="6"/>
  <c r="T34" i="6"/>
  <c r="S34" i="6"/>
  <c r="T33" i="6"/>
  <c r="S33" i="6"/>
  <c r="T32" i="6"/>
  <c r="S32" i="6"/>
  <c r="T31" i="6"/>
  <c r="S31" i="6"/>
  <c r="T30" i="6"/>
  <c r="S30" i="6"/>
  <c r="T29" i="6"/>
  <c r="S29" i="6"/>
  <c r="T28" i="6"/>
  <c r="S28" i="6"/>
  <c r="T27" i="6"/>
  <c r="S27" i="6"/>
  <c r="T26" i="6"/>
  <c r="S26" i="6"/>
  <c r="T25" i="6"/>
  <c r="S25" i="6"/>
  <c r="T24" i="6"/>
  <c r="S24" i="6"/>
  <c r="T23" i="6"/>
  <c r="S23" i="6"/>
  <c r="T22" i="6"/>
  <c r="S22" i="6"/>
  <c r="T21" i="6"/>
  <c r="S21" i="6"/>
  <c r="T20" i="6"/>
  <c r="S20" i="6"/>
  <c r="T19" i="6"/>
  <c r="S19" i="6"/>
  <c r="T18" i="6"/>
  <c r="S18" i="6"/>
  <c r="T17" i="6"/>
  <c r="S17" i="6"/>
  <c r="T16" i="6"/>
  <c r="S16" i="6"/>
  <c r="T15" i="6"/>
  <c r="S15" i="6"/>
  <c r="T14" i="6"/>
  <c r="S14" i="6"/>
  <c r="T13" i="6"/>
  <c r="S13" i="6"/>
  <c r="T12" i="6"/>
  <c r="S12" i="6"/>
  <c r="T11" i="6"/>
  <c r="S11" i="6"/>
  <c r="T10" i="6"/>
  <c r="S10" i="6"/>
  <c r="T9" i="6"/>
  <c r="S9" i="6"/>
  <c r="T8" i="6"/>
  <c r="S8" i="6"/>
  <c r="T7" i="6"/>
  <c r="S7" i="6"/>
  <c r="T6" i="6"/>
  <c r="S6" i="6"/>
  <c r="H33" i="2"/>
  <c r="G33" i="2"/>
  <c r="D33" i="2"/>
  <c r="G26" i="2"/>
  <c r="H26" i="2" s="1"/>
  <c r="D25" i="2"/>
  <c r="G25" i="2"/>
  <c r="G20" i="2"/>
  <c r="H20" i="2" s="1"/>
  <c r="G19" i="2"/>
  <c r="H19" i="2" s="1"/>
  <c r="H15" i="2"/>
  <c r="D15" i="2" s="1"/>
  <c r="H14" i="2"/>
  <c r="D14" i="2" s="1"/>
  <c r="H13" i="2"/>
  <c r="D13" i="2" s="1"/>
  <c r="H12" i="2"/>
  <c r="G12" i="2"/>
  <c r="D12" i="2" l="1"/>
  <c r="D19" i="2"/>
  <c r="D20" i="2"/>
  <c r="D26" i="2"/>
  <c r="Y53" i="4" l="1"/>
  <c r="X53" i="4"/>
  <c r="W53" i="4"/>
  <c r="V53" i="4"/>
  <c r="W11" i="6" l="1"/>
  <c r="W23" i="6"/>
  <c r="V27" i="6"/>
  <c r="W29" i="6"/>
  <c r="V35" i="6"/>
  <c r="V39" i="6"/>
  <c r="V43" i="6"/>
  <c r="W47" i="6"/>
  <c r="V51" i="6"/>
  <c r="V55" i="6"/>
  <c r="V59" i="6"/>
  <c r="W62" i="6"/>
  <c r="V63" i="6"/>
  <c r="V67" i="6"/>
  <c r="W71" i="6"/>
  <c r="V75" i="6"/>
  <c r="V83" i="6"/>
  <c r="V91" i="6"/>
  <c r="V99" i="6"/>
  <c r="V107" i="6"/>
  <c r="W111" i="6"/>
  <c r="V115" i="6"/>
  <c r="V119" i="6"/>
  <c r="V123" i="6"/>
  <c r="V127" i="6"/>
  <c r="V131" i="6"/>
  <c r="W135" i="6"/>
  <c r="V139" i="6"/>
  <c r="V143" i="6"/>
  <c r="V147" i="6"/>
  <c r="V151" i="6"/>
  <c r="V155" i="6"/>
  <c r="V163" i="6"/>
  <c r="V167" i="6"/>
  <c r="V171" i="6"/>
  <c r="V179" i="6"/>
  <c r="V183" i="6"/>
  <c r="V187" i="6"/>
  <c r="V195" i="6"/>
  <c r="V199" i="6"/>
  <c r="V203" i="6"/>
  <c r="W207" i="6"/>
  <c r="V211" i="6"/>
  <c r="V215" i="6"/>
  <c r="V219" i="6"/>
  <c r="V227" i="6"/>
  <c r="V235" i="6"/>
  <c r="V243" i="6"/>
  <c r="V247" i="6"/>
  <c r="V251" i="6"/>
  <c r="W255" i="6"/>
  <c r="V259" i="6"/>
  <c r="V267" i="6"/>
  <c r="W271" i="6"/>
  <c r="V275" i="6"/>
  <c r="V279" i="6"/>
  <c r="W282" i="6"/>
  <c r="V283" i="6"/>
  <c r="V287" i="6"/>
  <c r="V291" i="6"/>
  <c r="W297" i="6"/>
  <c r="V299" i="6"/>
  <c r="V303" i="6"/>
  <c r="V307" i="6"/>
  <c r="V311" i="6"/>
  <c r="V315" i="6"/>
  <c r="W318" i="6"/>
  <c r="V323" i="6"/>
  <c r="V331" i="6"/>
  <c r="W335" i="6"/>
  <c r="V339" i="6"/>
  <c r="V343" i="6"/>
  <c r="V347" i="6"/>
  <c r="V351" i="6"/>
  <c r="V355" i="6"/>
  <c r="V363" i="6"/>
  <c r="W367" i="6"/>
  <c r="W370" i="6"/>
  <c r="V371" i="6"/>
  <c r="V375" i="6"/>
  <c r="V379" i="6"/>
  <c r="W383" i="6"/>
  <c r="V387" i="6"/>
  <c r="V391" i="6"/>
  <c r="V395" i="6"/>
  <c r="V403" i="6"/>
  <c r="V407" i="6"/>
  <c r="W410" i="6"/>
  <c r="V411" i="6"/>
  <c r="V415" i="6"/>
  <c r="V419" i="6"/>
  <c r="W422" i="6"/>
  <c r="V427" i="6"/>
  <c r="V435" i="6"/>
  <c r="V439" i="6"/>
  <c r="V443" i="6"/>
  <c r="W446" i="6"/>
  <c r="W447" i="6"/>
  <c r="V451" i="6"/>
  <c r="V455" i="6"/>
  <c r="V459" i="6"/>
  <c r="V467" i="6"/>
  <c r="V471" i="6"/>
  <c r="V475" i="6"/>
  <c r="V479" i="6"/>
  <c r="W482" i="6"/>
  <c r="V483" i="6"/>
  <c r="W486" i="6"/>
  <c r="V491" i="6"/>
  <c r="W495" i="6"/>
  <c r="V499" i="6"/>
  <c r="V503" i="6"/>
  <c r="V507" i="6"/>
  <c r="V511" i="6"/>
  <c r="V515" i="6"/>
  <c r="V523" i="6"/>
  <c r="V527" i="6"/>
  <c r="W529" i="6"/>
  <c r="V531" i="6"/>
  <c r="V535" i="6"/>
  <c r="V539" i="6"/>
  <c r="V543" i="6"/>
  <c r="V547" i="6"/>
  <c r="W554" i="6"/>
  <c r="V555" i="6"/>
  <c r="V559" i="6"/>
  <c r="W562" i="6"/>
  <c r="V563" i="6"/>
  <c r="V567" i="6"/>
  <c r="V571" i="6"/>
  <c r="V579" i="6"/>
  <c r="W586" i="6"/>
  <c r="V587" i="6"/>
  <c r="V595" i="6"/>
  <c r="V599" i="6"/>
  <c r="V603" i="6"/>
  <c r="V607" i="6"/>
  <c r="V611" i="6"/>
  <c r="V619" i="6"/>
  <c r="W630" i="6"/>
  <c r="V639" i="6"/>
  <c r="V643" i="6"/>
  <c r="W650" i="6"/>
  <c r="V651" i="6"/>
  <c r="V659" i="6"/>
  <c r="V671" i="6"/>
  <c r="W674" i="6"/>
  <c r="W682" i="6"/>
  <c r="V683" i="6"/>
  <c r="W687" i="6"/>
  <c r="V689" i="6"/>
  <c r="V695" i="6"/>
  <c r="V707" i="6"/>
  <c r="V711" i="6"/>
  <c r="V715" i="6"/>
  <c r="V723" i="6"/>
  <c r="V727" i="6"/>
  <c r="V731" i="6"/>
  <c r="V735" i="6"/>
  <c r="V747" i="6"/>
  <c r="V751" i="6"/>
  <c r="V759" i="6"/>
  <c r="V763" i="6"/>
  <c r="V771" i="6"/>
  <c r="W775" i="6"/>
  <c r="V779" i="6"/>
  <c r="V791" i="6"/>
  <c r="V799" i="6"/>
  <c r="V807" i="6"/>
  <c r="V811" i="6"/>
  <c r="W815" i="6"/>
  <c r="W818" i="6"/>
  <c r="V819" i="6"/>
  <c r="V823" i="6"/>
  <c r="V827" i="6"/>
  <c r="V835" i="6"/>
  <c r="V839" i="6"/>
  <c r="V843" i="6"/>
  <c r="V851" i="6"/>
  <c r="V859" i="6"/>
  <c r="V863" i="6"/>
  <c r="V867" i="6"/>
  <c r="V870" i="6"/>
  <c r="V875" i="6"/>
  <c r="V882" i="6"/>
  <c r="V883" i="6"/>
  <c r="V887" i="6"/>
  <c r="V891" i="6"/>
  <c r="W893" i="6"/>
  <c r="V899" i="6"/>
  <c r="V907" i="6"/>
  <c r="W909" i="6"/>
  <c r="V915" i="6"/>
  <c r="V923" i="6"/>
  <c r="V931" i="6"/>
  <c r="V935" i="6"/>
  <c r="V939" i="6"/>
  <c r="V947" i="6"/>
  <c r="W950" i="6"/>
  <c r="V951" i="6"/>
  <c r="V955" i="6"/>
  <c r="V959" i="6"/>
  <c r="V963" i="6"/>
  <c r="W967" i="6"/>
  <c r="V971" i="6"/>
  <c r="V983" i="6"/>
  <c r="V995" i="6"/>
  <c r="W999" i="6"/>
  <c r="C6" i="3"/>
  <c r="C6" i="4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B13" i="2"/>
  <c r="B14" i="2"/>
  <c r="D4" i="6" s="1"/>
  <c r="B15" i="2"/>
  <c r="E4" i="6" s="1"/>
  <c r="B19" i="2"/>
  <c r="B12" i="2"/>
  <c r="W7" i="6"/>
  <c r="W8" i="6"/>
  <c r="W12" i="6"/>
  <c r="W15" i="6"/>
  <c r="W16" i="6"/>
  <c r="W20" i="6"/>
  <c r="W24" i="6"/>
  <c r="W28" i="6"/>
  <c r="W32" i="6"/>
  <c r="W36" i="6"/>
  <c r="W39" i="6"/>
  <c r="W40" i="6"/>
  <c r="W44" i="6"/>
  <c r="W48" i="6"/>
  <c r="W52" i="6"/>
  <c r="W56" i="6"/>
  <c r="W60" i="6"/>
  <c r="W63" i="6"/>
  <c r="W64" i="6"/>
  <c r="W68" i="6"/>
  <c r="W72" i="6"/>
  <c r="W76" i="6"/>
  <c r="W79" i="6"/>
  <c r="W80" i="6"/>
  <c r="W84" i="6"/>
  <c r="W88" i="6"/>
  <c r="W92" i="6"/>
  <c r="W96" i="6"/>
  <c r="W100" i="6"/>
  <c r="W104" i="6"/>
  <c r="W108" i="6"/>
  <c r="W112" i="6"/>
  <c r="W116" i="6"/>
  <c r="W120" i="6"/>
  <c r="W124" i="6"/>
  <c r="W127" i="6"/>
  <c r="W128" i="6"/>
  <c r="W132" i="6"/>
  <c r="W136" i="6"/>
  <c r="W140" i="6"/>
  <c r="W143" i="6"/>
  <c r="W144" i="6"/>
  <c r="W148" i="6"/>
  <c r="W152" i="6"/>
  <c r="W156" i="6"/>
  <c r="W160" i="6"/>
  <c r="W164" i="6"/>
  <c r="W167" i="6"/>
  <c r="W168" i="6"/>
  <c r="W172" i="6"/>
  <c r="W176" i="6"/>
  <c r="W180" i="6"/>
  <c r="W184" i="6"/>
  <c r="W188" i="6"/>
  <c r="W192" i="6"/>
  <c r="W196" i="6"/>
  <c r="W200" i="6"/>
  <c r="W204" i="6"/>
  <c r="W208" i="6"/>
  <c r="W212" i="6"/>
  <c r="W216" i="6"/>
  <c r="W220" i="6"/>
  <c r="W224" i="6"/>
  <c r="W228" i="6"/>
  <c r="W232" i="6"/>
  <c r="W236" i="6"/>
  <c r="W240" i="6"/>
  <c r="W244" i="6"/>
  <c r="W248" i="6"/>
  <c r="W252" i="6"/>
  <c r="W256" i="6"/>
  <c r="W260" i="6"/>
  <c r="W264" i="6"/>
  <c r="W268" i="6"/>
  <c r="W272" i="6"/>
  <c r="W276" i="6"/>
  <c r="W280" i="6"/>
  <c r="W284" i="6"/>
  <c r="W288" i="6"/>
  <c r="W292" i="6"/>
  <c r="W296" i="6"/>
  <c r="W300" i="6"/>
  <c r="W303" i="6"/>
  <c r="W304" i="6"/>
  <c r="W308" i="6"/>
  <c r="W312" i="6"/>
  <c r="W316" i="6"/>
  <c r="W320" i="6"/>
  <c r="W324" i="6"/>
  <c r="W328" i="6"/>
  <c r="W332" i="6"/>
  <c r="W336" i="6"/>
  <c r="W340" i="6"/>
  <c r="W344" i="6"/>
  <c r="W348" i="6"/>
  <c r="W352" i="6"/>
  <c r="W356" i="6"/>
  <c r="W360" i="6"/>
  <c r="W364" i="6"/>
  <c r="W368" i="6"/>
  <c r="W372" i="6"/>
  <c r="W376" i="6"/>
  <c r="W380" i="6"/>
  <c r="W384" i="6"/>
  <c r="W388" i="6"/>
  <c r="W391" i="6"/>
  <c r="W392" i="6"/>
  <c r="W396" i="6"/>
  <c r="W400" i="6"/>
  <c r="W404" i="6"/>
  <c r="W408" i="6"/>
  <c r="W412" i="6"/>
  <c r="W416" i="6"/>
  <c r="W420" i="6"/>
  <c r="W424" i="6"/>
  <c r="W428" i="6"/>
  <c r="W432" i="6"/>
  <c r="W436" i="6"/>
  <c r="W440" i="6"/>
  <c r="W444" i="6"/>
  <c r="W448" i="6"/>
  <c r="W452" i="6"/>
  <c r="W456" i="6"/>
  <c r="W460" i="6"/>
  <c r="W464" i="6"/>
  <c r="W468" i="6"/>
  <c r="W472" i="6"/>
  <c r="W476" i="6"/>
  <c r="W480" i="6"/>
  <c r="W484" i="6"/>
  <c r="W488" i="6"/>
  <c r="W492" i="6"/>
  <c r="W496" i="6"/>
  <c r="W500" i="6"/>
  <c r="W504" i="6"/>
  <c r="W508" i="6"/>
  <c r="W512" i="6"/>
  <c r="W516" i="6"/>
  <c r="W520" i="6"/>
  <c r="W524" i="6"/>
  <c r="W528" i="6"/>
  <c r="W532" i="6"/>
  <c r="W536" i="6"/>
  <c r="W540" i="6"/>
  <c r="W544" i="6"/>
  <c r="W548" i="6"/>
  <c r="W552" i="6"/>
  <c r="W556" i="6"/>
  <c r="W560" i="6"/>
  <c r="W564" i="6"/>
  <c r="W568" i="6"/>
  <c r="W572" i="6"/>
  <c r="W576" i="6"/>
  <c r="W580" i="6"/>
  <c r="W584" i="6"/>
  <c r="W588" i="6"/>
  <c r="W592" i="6"/>
  <c r="W596" i="6"/>
  <c r="W600" i="6"/>
  <c r="W604" i="6"/>
  <c r="W608" i="6"/>
  <c r="W612" i="6"/>
  <c r="W616" i="6"/>
  <c r="W620" i="6"/>
  <c r="W624" i="6"/>
  <c r="W628" i="6"/>
  <c r="W632" i="6"/>
  <c r="W636" i="6"/>
  <c r="W639" i="6"/>
  <c r="W640" i="6"/>
  <c r="W644" i="6"/>
  <c r="W648" i="6"/>
  <c r="W652" i="6"/>
  <c r="W656" i="6"/>
  <c r="W659" i="6"/>
  <c r="W660" i="6"/>
  <c r="W664" i="6"/>
  <c r="W668" i="6"/>
  <c r="W672" i="6"/>
  <c r="W676" i="6"/>
  <c r="W680" i="6"/>
  <c r="W684" i="6"/>
  <c r="W688" i="6"/>
  <c r="W689" i="6"/>
  <c r="W692" i="6"/>
  <c r="W696" i="6"/>
  <c r="W700" i="6"/>
  <c r="W704" i="6"/>
  <c r="W708" i="6"/>
  <c r="W711" i="6"/>
  <c r="W712" i="6"/>
  <c r="W716" i="6"/>
  <c r="W720" i="6"/>
  <c r="W723" i="6"/>
  <c r="W724" i="6"/>
  <c r="W728" i="6"/>
  <c r="W731" i="6"/>
  <c r="W732" i="6"/>
  <c r="W736" i="6"/>
  <c r="W740" i="6"/>
  <c r="W744" i="6"/>
  <c r="W748" i="6"/>
  <c r="W752" i="6"/>
  <c r="W756" i="6"/>
  <c r="W760" i="6"/>
  <c r="W763" i="6"/>
  <c r="W764" i="6"/>
  <c r="W768" i="6"/>
  <c r="W772" i="6"/>
  <c r="W776" i="6"/>
  <c r="W780" i="6"/>
  <c r="W784" i="6"/>
  <c r="W788" i="6"/>
  <c r="W792" i="6"/>
  <c r="W796" i="6"/>
  <c r="W800" i="6"/>
  <c r="W804" i="6"/>
  <c r="W808" i="6"/>
  <c r="W811" i="6"/>
  <c r="W812" i="6"/>
  <c r="W816" i="6"/>
  <c r="W820" i="6"/>
  <c r="W823" i="6"/>
  <c r="W824" i="6"/>
  <c r="W828" i="6"/>
  <c r="W832" i="6"/>
  <c r="W836" i="6"/>
  <c r="W840" i="6"/>
  <c r="W844" i="6"/>
  <c r="W848" i="6"/>
  <c r="W852" i="6"/>
  <c r="W856" i="6"/>
  <c r="W860" i="6"/>
  <c r="W863" i="6"/>
  <c r="W864" i="6"/>
  <c r="W868" i="6"/>
  <c r="W870" i="6"/>
  <c r="W872" i="6"/>
  <c r="W876" i="6"/>
  <c r="W880" i="6"/>
  <c r="W884" i="6"/>
  <c r="W888" i="6"/>
  <c r="W892" i="6"/>
  <c r="W896" i="6"/>
  <c r="W900" i="6"/>
  <c r="W904" i="6"/>
  <c r="W908" i="6"/>
  <c r="W912" i="6"/>
  <c r="W916" i="6"/>
  <c r="W920" i="6"/>
  <c r="W924" i="6"/>
  <c r="W928" i="6"/>
  <c r="W932" i="6"/>
  <c r="W935" i="6"/>
  <c r="W936" i="6"/>
  <c r="W940" i="6"/>
  <c r="W944" i="6"/>
  <c r="W948" i="6"/>
  <c r="W952" i="6"/>
  <c r="W956" i="6"/>
  <c r="W960" i="6"/>
  <c r="W964" i="6"/>
  <c r="W968" i="6"/>
  <c r="W972" i="6"/>
  <c r="W976" i="6"/>
  <c r="W980" i="6"/>
  <c r="W983" i="6"/>
  <c r="W984" i="6"/>
  <c r="W988" i="6"/>
  <c r="W992" i="6"/>
  <c r="W996" i="6"/>
  <c r="W1000" i="6"/>
  <c r="W1004" i="6"/>
  <c r="V7" i="6"/>
  <c r="V8" i="6"/>
  <c r="V11" i="6"/>
  <c r="V12" i="6"/>
  <c r="V15" i="6"/>
  <c r="V16" i="6"/>
  <c r="V19" i="6"/>
  <c r="V20" i="6"/>
  <c r="V23" i="6"/>
  <c r="V24" i="6"/>
  <c r="V28" i="6"/>
  <c r="V32" i="6"/>
  <c r="V36" i="6"/>
  <c r="V40" i="6"/>
  <c r="V44" i="6"/>
  <c r="V47" i="6"/>
  <c r="V48" i="6"/>
  <c r="V52" i="6"/>
  <c r="V56" i="6"/>
  <c r="V60" i="6"/>
  <c r="V64" i="6"/>
  <c r="V68" i="6"/>
  <c r="V71" i="6"/>
  <c r="V72" i="6"/>
  <c r="V76" i="6"/>
  <c r="V79" i="6"/>
  <c r="V80" i="6"/>
  <c r="V84" i="6"/>
  <c r="V87" i="6"/>
  <c r="V88" i="6"/>
  <c r="V92" i="6"/>
  <c r="V96" i="6"/>
  <c r="V100" i="6"/>
  <c r="V104" i="6"/>
  <c r="V108" i="6"/>
  <c r="V112" i="6"/>
  <c r="V116" i="6"/>
  <c r="V120" i="6"/>
  <c r="V124" i="6"/>
  <c r="V128" i="6"/>
  <c r="V132" i="6"/>
  <c r="V135" i="6"/>
  <c r="V136" i="6"/>
  <c r="V140" i="6"/>
  <c r="V144" i="6"/>
  <c r="V148" i="6"/>
  <c r="V152" i="6"/>
  <c r="V156" i="6"/>
  <c r="V160" i="6"/>
  <c r="V164" i="6"/>
  <c r="V168" i="6"/>
  <c r="V172" i="6"/>
  <c r="V176" i="6"/>
  <c r="V180" i="6"/>
  <c r="V184" i="6"/>
  <c r="V188" i="6"/>
  <c r="V192" i="6"/>
  <c r="V196" i="6"/>
  <c r="V200" i="6"/>
  <c r="V204" i="6"/>
  <c r="V207" i="6"/>
  <c r="V208" i="6"/>
  <c r="V212" i="6"/>
  <c r="V216" i="6"/>
  <c r="V220" i="6"/>
  <c r="V224" i="6"/>
  <c r="V228" i="6"/>
  <c r="V232" i="6"/>
  <c r="V236" i="6"/>
  <c r="V240" i="6"/>
  <c r="V244" i="6"/>
  <c r="V248" i="6"/>
  <c r="V252" i="6"/>
  <c r="V256" i="6"/>
  <c r="V260" i="6"/>
  <c r="V264" i="6"/>
  <c r="V268" i="6"/>
  <c r="V272" i="6"/>
  <c r="V276" i="6"/>
  <c r="V280" i="6"/>
  <c r="V282" i="6"/>
  <c r="V284" i="6"/>
  <c r="V288" i="6"/>
  <c r="V292" i="6"/>
  <c r="V296" i="6"/>
  <c r="V297" i="6"/>
  <c r="V300" i="6"/>
  <c r="V304" i="6"/>
  <c r="V308" i="6"/>
  <c r="V312" i="6"/>
  <c r="V316" i="6"/>
  <c r="V318" i="6"/>
  <c r="V320" i="6"/>
  <c r="V324" i="6"/>
  <c r="V328" i="6"/>
  <c r="V332" i="6"/>
  <c r="V335" i="6"/>
  <c r="V336" i="6"/>
  <c r="V340" i="6"/>
  <c r="V344" i="6"/>
  <c r="V348" i="6"/>
  <c r="V352" i="6"/>
  <c r="V356" i="6"/>
  <c r="V360" i="6"/>
  <c r="V364" i="6"/>
  <c r="V367" i="6"/>
  <c r="V368" i="6"/>
  <c r="V370" i="6"/>
  <c r="V372" i="6"/>
  <c r="V376" i="6"/>
  <c r="V380" i="6"/>
  <c r="V383" i="6"/>
  <c r="V384" i="6"/>
  <c r="V388" i="6"/>
  <c r="V392" i="6"/>
  <c r="V396" i="6"/>
  <c r="V400" i="6"/>
  <c r="V404" i="6"/>
  <c r="V408" i="6"/>
  <c r="V412" i="6"/>
  <c r="V416" i="6"/>
  <c r="V420" i="6"/>
  <c r="V424" i="6"/>
  <c r="V428" i="6"/>
  <c r="V432" i="6"/>
  <c r="V436" i="6"/>
  <c r="V440" i="6"/>
  <c r="V444" i="6"/>
  <c r="V448" i="6"/>
  <c r="V452" i="6"/>
  <c r="V456" i="6"/>
  <c r="V460" i="6"/>
  <c r="V464" i="6"/>
  <c r="V468" i="6"/>
  <c r="V472" i="6"/>
  <c r="V476" i="6"/>
  <c r="V480" i="6"/>
  <c r="V484" i="6"/>
  <c r="V486" i="6"/>
  <c r="V488" i="6"/>
  <c r="V492" i="6"/>
  <c r="V495" i="6"/>
  <c r="V496" i="6"/>
  <c r="V500" i="6"/>
  <c r="V504" i="6"/>
  <c r="V508" i="6"/>
  <c r="V512" i="6"/>
  <c r="V516" i="6"/>
  <c r="V520" i="6"/>
  <c r="V524" i="6"/>
  <c r="V528" i="6"/>
  <c r="V529" i="6"/>
  <c r="V532" i="6"/>
  <c r="V536" i="6"/>
  <c r="V540" i="6"/>
  <c r="V544" i="6"/>
  <c r="V548" i="6"/>
  <c r="V552" i="6"/>
  <c r="V556" i="6"/>
  <c r="V560" i="6"/>
  <c r="V564" i="6"/>
  <c r="V568" i="6"/>
  <c r="V572" i="6"/>
  <c r="V576" i="6"/>
  <c r="V580" i="6"/>
  <c r="V584" i="6"/>
  <c r="V588" i="6"/>
  <c r="V592" i="6"/>
  <c r="V596" i="6"/>
  <c r="V600" i="6"/>
  <c r="V604" i="6"/>
  <c r="V608" i="6"/>
  <c r="V612" i="6"/>
  <c r="V616" i="6"/>
  <c r="V620" i="6"/>
  <c r="V624" i="6"/>
  <c r="V628" i="6"/>
  <c r="V630" i="6"/>
  <c r="V631" i="6"/>
  <c r="V632" i="6"/>
  <c r="V636" i="6"/>
  <c r="V640" i="6"/>
  <c r="V644" i="6"/>
  <c r="V648" i="6"/>
  <c r="V650" i="6"/>
  <c r="V652" i="6"/>
  <c r="V656" i="6"/>
  <c r="V660" i="6"/>
  <c r="V663" i="6"/>
  <c r="V664" i="6"/>
  <c r="V668" i="6"/>
  <c r="V672" i="6"/>
  <c r="V674" i="6"/>
  <c r="V676" i="6"/>
  <c r="V680" i="6"/>
  <c r="V682" i="6"/>
  <c r="V684" i="6"/>
  <c r="V687" i="6"/>
  <c r="V688" i="6"/>
  <c r="V692" i="6"/>
  <c r="V696" i="6"/>
  <c r="V700" i="6"/>
  <c r="V704" i="6"/>
  <c r="V708" i="6"/>
  <c r="V712" i="6"/>
  <c r="V716" i="6"/>
  <c r="V720" i="6"/>
  <c r="V724" i="6"/>
  <c r="V728" i="6"/>
  <c r="V732" i="6"/>
  <c r="V736" i="6"/>
  <c r="V740" i="6"/>
  <c r="V744" i="6"/>
  <c r="V748" i="6"/>
  <c r="V752" i="6"/>
  <c r="V756" i="6"/>
  <c r="V760" i="6"/>
  <c r="V764" i="6"/>
  <c r="V768" i="6"/>
  <c r="V772" i="6"/>
  <c r="V775" i="6"/>
  <c r="V776" i="6"/>
  <c r="V780" i="6"/>
  <c r="V784" i="6"/>
  <c r="V788" i="6"/>
  <c r="V792" i="6"/>
  <c r="V796" i="6"/>
  <c r="V800" i="6"/>
  <c r="V804" i="6"/>
  <c r="V808" i="6"/>
  <c r="V812" i="6"/>
  <c r="V815" i="6"/>
  <c r="V816" i="6"/>
  <c r="V818" i="6"/>
  <c r="V820" i="6"/>
  <c r="V824" i="6"/>
  <c r="V828" i="6"/>
  <c r="V831" i="6"/>
  <c r="V832" i="6"/>
  <c r="V836" i="6"/>
  <c r="V840" i="6"/>
  <c r="V844" i="6"/>
  <c r="V848" i="6"/>
  <c r="V852" i="6"/>
  <c r="V856" i="6"/>
  <c r="V860" i="6"/>
  <c r="V864" i="6"/>
  <c r="V868" i="6"/>
  <c r="V872" i="6"/>
  <c r="V876" i="6"/>
  <c r="V880" i="6"/>
  <c r="V884" i="6"/>
  <c r="V888" i="6"/>
  <c r="V892" i="6"/>
  <c r="V893" i="6"/>
  <c r="V895" i="6"/>
  <c r="V896" i="6"/>
  <c r="V900" i="6"/>
  <c r="V904" i="6"/>
  <c r="V908" i="6"/>
  <c r="V909" i="6"/>
  <c r="V912" i="6"/>
  <c r="V916" i="6"/>
  <c r="V920" i="6"/>
  <c r="V924" i="6"/>
  <c r="V928" i="6"/>
  <c r="V932" i="6"/>
  <c r="V936" i="6"/>
  <c r="V940" i="6"/>
  <c r="V944" i="6"/>
  <c r="V948" i="6"/>
  <c r="V952" i="6"/>
  <c r="V956" i="6"/>
  <c r="V960" i="6"/>
  <c r="V964" i="6"/>
  <c r="V967" i="6"/>
  <c r="V968" i="6"/>
  <c r="V972" i="6"/>
  <c r="V976" i="6"/>
  <c r="V979" i="6"/>
  <c r="V980" i="6"/>
  <c r="V984" i="6"/>
  <c r="V987" i="6"/>
  <c r="V988" i="6"/>
  <c r="V992" i="6"/>
  <c r="V996" i="6"/>
  <c r="V999" i="6"/>
  <c r="V1000" i="6"/>
  <c r="V1003" i="6"/>
  <c r="V1004" i="6"/>
  <c r="B26" i="2"/>
  <c r="Y53" i="3"/>
  <c r="X53" i="3"/>
  <c r="W53" i="3"/>
  <c r="V53" i="3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B20" i="2"/>
  <c r="G4" i="6" s="1"/>
  <c r="V6" i="4"/>
  <c r="X6" i="4"/>
  <c r="AD53" i="4"/>
  <c r="AC53" i="4"/>
  <c r="AB53" i="4"/>
  <c r="AA53" i="4"/>
  <c r="AD53" i="3"/>
  <c r="AC53" i="3"/>
  <c r="AB53" i="3"/>
  <c r="AA53" i="3"/>
  <c r="V6" i="3"/>
  <c r="X6" i="3"/>
  <c r="H7" i="4"/>
  <c r="H7" i="3"/>
  <c r="Q1007" i="6"/>
  <c r="L10" i="5" s="1"/>
  <c r="P1007" i="6"/>
  <c r="M10" i="5" s="1"/>
  <c r="O1007" i="6"/>
  <c r="K10" i="5" s="1"/>
  <c r="N1007" i="6"/>
  <c r="L9" i="5" s="1"/>
  <c r="M1007" i="6"/>
  <c r="M9" i="5" s="1"/>
  <c r="L1007" i="6"/>
  <c r="K9" i="5" s="1"/>
  <c r="C1007" i="6"/>
  <c r="D1007" i="6"/>
  <c r="E1007" i="6"/>
  <c r="F1007" i="6"/>
  <c r="G1007" i="6"/>
  <c r="H1007" i="6"/>
  <c r="I1007" i="6"/>
  <c r="J1007" i="6"/>
  <c r="B1007" i="6"/>
  <c r="J3" i="6"/>
  <c r="I3" i="6"/>
  <c r="H3" i="6"/>
  <c r="G3" i="6"/>
  <c r="F3" i="6"/>
  <c r="E3" i="6"/>
  <c r="D3" i="6"/>
  <c r="C3" i="6"/>
  <c r="B3" i="6"/>
  <c r="S53" i="3"/>
  <c r="R53" i="3"/>
  <c r="Q53" i="3"/>
  <c r="P53" i="3"/>
  <c r="N53" i="3"/>
  <c r="M53" i="3"/>
  <c r="L53" i="3"/>
  <c r="K53" i="3"/>
  <c r="S53" i="4"/>
  <c r="Q53" i="4"/>
  <c r="R53" i="4"/>
  <c r="P53" i="4"/>
  <c r="M53" i="4"/>
  <c r="N53" i="4"/>
  <c r="L53" i="4"/>
  <c r="K53" i="4"/>
  <c r="C51" i="4"/>
  <c r="I6" i="4"/>
  <c r="I6" i="3"/>
  <c r="C51" i="3"/>
  <c r="B25" i="2"/>
  <c r="E7" i="3" s="1"/>
  <c r="K11" i="5" l="1"/>
  <c r="M11" i="5"/>
  <c r="L11" i="5"/>
  <c r="H4" i="6"/>
  <c r="F4" i="6"/>
  <c r="W6" i="4"/>
  <c r="Y6" i="4" s="1"/>
  <c r="W6" i="3"/>
  <c r="Y6" i="3" s="1"/>
  <c r="F7" i="3"/>
  <c r="Q7" i="3" s="1"/>
  <c r="AB7" i="3" s="1"/>
  <c r="Q6" i="3"/>
  <c r="AB6" i="3" s="1"/>
  <c r="G7" i="4"/>
  <c r="G7" i="3"/>
  <c r="Q6" i="4"/>
  <c r="AB6" i="4" s="1"/>
  <c r="I4" i="6"/>
  <c r="AA6" i="4"/>
  <c r="B4" i="6"/>
  <c r="AA6" i="3"/>
  <c r="C4" i="6"/>
  <c r="E8" i="3"/>
  <c r="W1005" i="6"/>
  <c r="V1005" i="6"/>
  <c r="V1001" i="6"/>
  <c r="W1001" i="6"/>
  <c r="W997" i="6"/>
  <c r="V997" i="6"/>
  <c r="W993" i="6"/>
  <c r="V993" i="6"/>
  <c r="W989" i="6"/>
  <c r="V989" i="6"/>
  <c r="V985" i="6"/>
  <c r="W985" i="6"/>
  <c r="W981" i="6"/>
  <c r="V981" i="6"/>
  <c r="W977" i="6"/>
  <c r="V977" i="6"/>
  <c r="W973" i="6"/>
  <c r="V973" i="6"/>
  <c r="V969" i="6"/>
  <c r="W969" i="6"/>
  <c r="W965" i="6"/>
  <c r="V965" i="6"/>
  <c r="V961" i="6"/>
  <c r="W961" i="6"/>
  <c r="W957" i="6"/>
  <c r="V957" i="6"/>
  <c r="V953" i="6"/>
  <c r="W953" i="6"/>
  <c r="V949" i="6"/>
  <c r="W949" i="6"/>
  <c r="V945" i="6"/>
  <c r="W945" i="6"/>
  <c r="W941" i="6"/>
  <c r="V941" i="6"/>
  <c r="V937" i="6"/>
  <c r="W937" i="6"/>
  <c r="W929" i="6"/>
  <c r="V929" i="6"/>
  <c r="W925" i="6"/>
  <c r="V925" i="6"/>
  <c r="V921" i="6"/>
  <c r="W921" i="6"/>
  <c r="W917" i="6"/>
  <c r="V917" i="6"/>
  <c r="W913" i="6"/>
  <c r="V913" i="6"/>
  <c r="V905" i="6"/>
  <c r="W905" i="6"/>
  <c r="V901" i="6"/>
  <c r="W901" i="6"/>
  <c r="V897" i="6"/>
  <c r="W897" i="6"/>
  <c r="V889" i="6"/>
  <c r="W889" i="6"/>
  <c r="V885" i="6"/>
  <c r="W885" i="6"/>
  <c r="V881" i="6"/>
  <c r="W881" i="6"/>
  <c r="W877" i="6"/>
  <c r="V877" i="6"/>
  <c r="V873" i="6"/>
  <c r="W873" i="6"/>
  <c r="W869" i="6"/>
  <c r="V869" i="6"/>
  <c r="W865" i="6"/>
  <c r="V865" i="6"/>
  <c r="V861" i="6"/>
  <c r="W861" i="6"/>
  <c r="V857" i="6"/>
  <c r="W857" i="6"/>
  <c r="V853" i="6"/>
  <c r="W853" i="6"/>
  <c r="W849" i="6"/>
  <c r="V849" i="6"/>
  <c r="V845" i="6"/>
  <c r="W845" i="6"/>
  <c r="W841" i="6"/>
  <c r="V841" i="6"/>
  <c r="V837" i="6"/>
  <c r="W837" i="6"/>
  <c r="V833" i="6"/>
  <c r="W833" i="6"/>
  <c r="W829" i="6"/>
  <c r="V829" i="6"/>
  <c r="V825" i="6"/>
  <c r="W825" i="6"/>
  <c r="W821" i="6"/>
  <c r="V821" i="6"/>
  <c r="W817" i="6"/>
  <c r="V817" i="6"/>
  <c r="W813" i="6"/>
  <c r="V813" i="6"/>
  <c r="W809" i="6"/>
  <c r="V809" i="6"/>
  <c r="W805" i="6"/>
  <c r="V805" i="6"/>
  <c r="W801" i="6"/>
  <c r="V801" i="6"/>
  <c r="W797" i="6"/>
  <c r="V797" i="6"/>
  <c r="W793" i="6"/>
  <c r="V793" i="6"/>
  <c r="W789" i="6"/>
  <c r="V789" i="6"/>
  <c r="W785" i="6"/>
  <c r="V785" i="6"/>
  <c r="W781" i="6"/>
  <c r="V781" i="6"/>
  <c r="V777" i="6"/>
  <c r="W777" i="6"/>
  <c r="W773" i="6"/>
  <c r="V773" i="6"/>
  <c r="W769" i="6"/>
  <c r="V769" i="6"/>
  <c r="W765" i="6"/>
  <c r="V765" i="6"/>
  <c r="V761" i="6"/>
  <c r="W761" i="6"/>
  <c r="W757" i="6"/>
  <c r="V757" i="6"/>
  <c r="V753" i="6"/>
  <c r="W753" i="6"/>
  <c r="W749" i="6"/>
  <c r="V749" i="6"/>
  <c r="W745" i="6"/>
  <c r="V745" i="6"/>
  <c r="W741" i="6"/>
  <c r="V741" i="6"/>
  <c r="W737" i="6"/>
  <c r="V737" i="6"/>
  <c r="W733" i="6"/>
  <c r="V733" i="6"/>
  <c r="W729" i="6"/>
  <c r="V729" i="6"/>
  <c r="W725" i="6"/>
  <c r="V725" i="6"/>
  <c r="W721" i="6"/>
  <c r="V721" i="6"/>
  <c r="W717" i="6"/>
  <c r="V717" i="6"/>
  <c r="W713" i="6"/>
  <c r="V713" i="6"/>
  <c r="W709" i="6"/>
  <c r="V709" i="6"/>
  <c r="W705" i="6"/>
  <c r="V705" i="6"/>
  <c r="W701" i="6"/>
  <c r="V701" i="6"/>
  <c r="V697" i="6"/>
  <c r="W697" i="6"/>
  <c r="W693" i="6"/>
  <c r="V693" i="6"/>
  <c r="W685" i="6"/>
  <c r="V685" i="6"/>
  <c r="W681" i="6"/>
  <c r="V681" i="6"/>
  <c r="W677" i="6"/>
  <c r="V677" i="6"/>
  <c r="W673" i="6"/>
  <c r="V673" i="6"/>
  <c r="W669" i="6"/>
  <c r="V669" i="6"/>
  <c r="W665" i="6"/>
  <c r="V665" i="6"/>
  <c r="W661" i="6"/>
  <c r="V661" i="6"/>
  <c r="W657" i="6"/>
  <c r="V657" i="6"/>
  <c r="W653" i="6"/>
  <c r="V653" i="6"/>
  <c r="W649" i="6"/>
  <c r="V649" i="6"/>
  <c r="W645" i="6"/>
  <c r="V645" i="6"/>
  <c r="W641" i="6"/>
  <c r="V641" i="6"/>
  <c r="W637" i="6"/>
  <c r="V637" i="6"/>
  <c r="V633" i="6"/>
  <c r="W633" i="6"/>
  <c r="W629" i="6"/>
  <c r="V629" i="6"/>
  <c r="V625" i="6"/>
  <c r="W625" i="6"/>
  <c r="W621" i="6"/>
  <c r="V621" i="6"/>
  <c r="W617" i="6"/>
  <c r="V617" i="6"/>
  <c r="W613" i="6"/>
  <c r="V613" i="6"/>
  <c r="W609" i="6"/>
  <c r="V609" i="6"/>
  <c r="W605" i="6"/>
  <c r="V605" i="6"/>
  <c r="V601" i="6"/>
  <c r="W601" i="6"/>
  <c r="V597" i="6"/>
  <c r="W597" i="6"/>
  <c r="W589" i="6"/>
  <c r="V589" i="6"/>
  <c r="V585" i="6"/>
  <c r="W585" i="6"/>
  <c r="W581" i="6"/>
  <c r="V581" i="6"/>
  <c r="W577" i="6"/>
  <c r="V577" i="6"/>
  <c r="W573" i="6"/>
  <c r="V573" i="6"/>
  <c r="W569" i="6"/>
  <c r="V569" i="6"/>
  <c r="W565" i="6"/>
  <c r="V565" i="6"/>
  <c r="V561" i="6"/>
  <c r="W561" i="6"/>
  <c r="W557" i="6"/>
  <c r="V557" i="6"/>
  <c r="W553" i="6"/>
  <c r="V553" i="6"/>
  <c r="W549" i="6"/>
  <c r="V549" i="6"/>
  <c r="W545" i="6"/>
  <c r="V545" i="6"/>
  <c r="W541" i="6"/>
  <c r="V541" i="6"/>
  <c r="W537" i="6"/>
  <c r="V537" i="6"/>
  <c r="W533" i="6"/>
  <c r="V533" i="6"/>
  <c r="W525" i="6"/>
  <c r="V525" i="6"/>
  <c r="W521" i="6"/>
  <c r="V521" i="6"/>
  <c r="W517" i="6"/>
  <c r="V517" i="6"/>
  <c r="W513" i="6"/>
  <c r="V513" i="6"/>
  <c r="V509" i="6"/>
  <c r="W509" i="6"/>
  <c r="W505" i="6"/>
  <c r="V505" i="6"/>
  <c r="W501" i="6"/>
  <c r="V501" i="6"/>
  <c r="V497" i="6"/>
  <c r="W497" i="6"/>
  <c r="W493" i="6"/>
  <c r="V493" i="6"/>
  <c r="W489" i="6"/>
  <c r="V489" i="6"/>
  <c r="V485" i="6"/>
  <c r="W485" i="6"/>
  <c r="W481" i="6"/>
  <c r="V481" i="6"/>
  <c r="W477" i="6"/>
  <c r="V477" i="6"/>
  <c r="V473" i="6"/>
  <c r="W473" i="6"/>
  <c r="V469" i="6"/>
  <c r="W469" i="6"/>
  <c r="W465" i="6"/>
  <c r="V465" i="6"/>
  <c r="W461" i="6"/>
  <c r="V461" i="6"/>
  <c r="W453" i="6"/>
  <c r="V453" i="6"/>
  <c r="W449" i="6"/>
  <c r="V449" i="6"/>
  <c r="W445" i="6"/>
  <c r="V445" i="6"/>
  <c r="W441" i="6"/>
  <c r="V441" i="6"/>
  <c r="V437" i="6"/>
  <c r="W437" i="6"/>
  <c r="W433" i="6"/>
  <c r="V433" i="6"/>
  <c r="W429" i="6"/>
  <c r="V429" i="6"/>
  <c r="W425" i="6"/>
  <c r="V425" i="6"/>
  <c r="V421" i="6"/>
  <c r="W421" i="6"/>
  <c r="W417" i="6"/>
  <c r="V417" i="6"/>
  <c r="W413" i="6"/>
  <c r="V413" i="6"/>
  <c r="W409" i="6"/>
  <c r="V409" i="6"/>
  <c r="V405" i="6"/>
  <c r="W405" i="6"/>
  <c r="W401" i="6"/>
  <c r="V401" i="6"/>
  <c r="W397" i="6"/>
  <c r="V397" i="6"/>
  <c r="W393" i="6"/>
  <c r="V393" i="6"/>
  <c r="W389" i="6"/>
  <c r="V389" i="6"/>
  <c r="W385" i="6"/>
  <c r="V385" i="6"/>
  <c r="W381" i="6"/>
  <c r="V381" i="6"/>
  <c r="W377" i="6"/>
  <c r="V377" i="6"/>
  <c r="V373" i="6"/>
  <c r="W373" i="6"/>
  <c r="W369" i="6"/>
  <c r="V369" i="6"/>
  <c r="W365" i="6"/>
  <c r="V365" i="6"/>
  <c r="W361" i="6"/>
  <c r="V361" i="6"/>
  <c r="V357" i="6"/>
  <c r="W357" i="6"/>
  <c r="W353" i="6"/>
  <c r="V353" i="6"/>
  <c r="V349" i="6"/>
  <c r="W349" i="6"/>
  <c r="W345" i="6"/>
  <c r="V345" i="6"/>
  <c r="V341" i="6"/>
  <c r="W341" i="6"/>
  <c r="W337" i="6"/>
  <c r="V337" i="6"/>
  <c r="W333" i="6"/>
  <c r="V333" i="6"/>
  <c r="V329" i="6"/>
  <c r="W329" i="6"/>
  <c r="W325" i="6"/>
  <c r="V325" i="6"/>
  <c r="W321" i="6"/>
  <c r="V321" i="6"/>
  <c r="W317" i="6"/>
  <c r="V317" i="6"/>
  <c r="W313" i="6"/>
  <c r="V313" i="6"/>
  <c r="W309" i="6"/>
  <c r="V309" i="6"/>
  <c r="V305" i="6"/>
  <c r="W305" i="6"/>
  <c r="V293" i="6"/>
  <c r="W293" i="6"/>
  <c r="W289" i="6"/>
  <c r="V289" i="6"/>
  <c r="W285" i="6"/>
  <c r="V285" i="6"/>
  <c r="W281" i="6"/>
  <c r="V281" i="6"/>
  <c r="W277" i="6"/>
  <c r="V277" i="6"/>
  <c r="W273" i="6"/>
  <c r="V273" i="6"/>
  <c r="W269" i="6"/>
  <c r="V269" i="6"/>
  <c r="V265" i="6"/>
  <c r="W265" i="6"/>
  <c r="W261" i="6"/>
  <c r="V261" i="6"/>
  <c r="W257" i="6"/>
  <c r="V257" i="6"/>
  <c r="W253" i="6"/>
  <c r="V253" i="6"/>
  <c r="W249" i="6"/>
  <c r="V249" i="6"/>
  <c r="W245" i="6"/>
  <c r="V245" i="6"/>
  <c r="W241" i="6"/>
  <c r="V241" i="6"/>
  <c r="W237" i="6"/>
  <c r="V237" i="6"/>
  <c r="W233" i="6"/>
  <c r="V233" i="6"/>
  <c r="W229" i="6"/>
  <c r="V229" i="6"/>
  <c r="W225" i="6"/>
  <c r="V225" i="6"/>
  <c r="W221" i="6"/>
  <c r="V221" i="6"/>
  <c r="W217" i="6"/>
  <c r="V217" i="6"/>
  <c r="V213" i="6"/>
  <c r="W213" i="6"/>
  <c r="W209" i="6"/>
  <c r="V209" i="6"/>
  <c r="W205" i="6"/>
  <c r="V205" i="6"/>
  <c r="V201" i="6"/>
  <c r="W201" i="6"/>
  <c r="W197" i="6"/>
  <c r="V197" i="6"/>
  <c r="W193" i="6"/>
  <c r="V193" i="6"/>
  <c r="V189" i="6"/>
  <c r="W189" i="6"/>
  <c r="W185" i="6"/>
  <c r="V185" i="6"/>
  <c r="V181" i="6"/>
  <c r="W181" i="6"/>
  <c r="V177" i="6"/>
  <c r="W177" i="6"/>
  <c r="W173" i="6"/>
  <c r="V173" i="6"/>
  <c r="W169" i="6"/>
  <c r="V169" i="6"/>
  <c r="V165" i="6"/>
  <c r="W165" i="6"/>
  <c r="W161" i="6"/>
  <c r="V161" i="6"/>
  <c r="W157" i="6"/>
  <c r="V157" i="6"/>
  <c r="W153" i="6"/>
  <c r="V153" i="6"/>
  <c r="W149" i="6"/>
  <c r="V149" i="6"/>
  <c r="W145" i="6"/>
  <c r="V145" i="6"/>
  <c r="W141" i="6"/>
  <c r="V141" i="6"/>
  <c r="V137" i="6"/>
  <c r="W137" i="6"/>
  <c r="W133" i="6"/>
  <c r="V133" i="6"/>
  <c r="W129" i="6"/>
  <c r="V129" i="6"/>
  <c r="W125" i="6"/>
  <c r="V125" i="6"/>
  <c r="W121" i="6"/>
  <c r="V121" i="6"/>
  <c r="W117" i="6"/>
  <c r="V117" i="6"/>
  <c r="W113" i="6"/>
  <c r="V113" i="6"/>
  <c r="W109" i="6"/>
  <c r="V109" i="6"/>
  <c r="W105" i="6"/>
  <c r="V105" i="6"/>
  <c r="W101" i="6"/>
  <c r="V101" i="6"/>
  <c r="W97" i="6"/>
  <c r="V97" i="6"/>
  <c r="W93" i="6"/>
  <c r="V93" i="6"/>
  <c r="V89" i="6"/>
  <c r="W89" i="6"/>
  <c r="V85" i="6"/>
  <c r="W85" i="6"/>
  <c r="W81" i="6"/>
  <c r="V81" i="6"/>
  <c r="W77" i="6"/>
  <c r="V77" i="6"/>
  <c r="V73" i="6"/>
  <c r="W73" i="6"/>
  <c r="W69" i="6"/>
  <c r="V69" i="6"/>
  <c r="W65" i="6"/>
  <c r="V65" i="6"/>
  <c r="W61" i="6"/>
  <c r="V61" i="6"/>
  <c r="W57" i="6"/>
  <c r="V57" i="6"/>
  <c r="V53" i="6"/>
  <c r="W53" i="6"/>
  <c r="V49" i="6"/>
  <c r="W49" i="6"/>
  <c r="W45" i="6"/>
  <c r="V45" i="6"/>
  <c r="W41" i="6"/>
  <c r="V41" i="6"/>
  <c r="V37" i="6"/>
  <c r="W37" i="6"/>
  <c r="W33" i="6"/>
  <c r="V33" i="6"/>
  <c r="W25" i="6"/>
  <c r="V25" i="6"/>
  <c r="W21" i="6"/>
  <c r="V21" i="6"/>
  <c r="W17" i="6"/>
  <c r="V17" i="6"/>
  <c r="W13" i="6"/>
  <c r="V13" i="6"/>
  <c r="W9" i="6"/>
  <c r="V9" i="6"/>
  <c r="V457" i="6"/>
  <c r="W457" i="6"/>
  <c r="V29" i="6"/>
  <c r="W933" i="6"/>
  <c r="V933" i="6"/>
  <c r="W301" i="6"/>
  <c r="V301" i="6"/>
  <c r="W593" i="6"/>
  <c r="V593" i="6"/>
  <c r="W1002" i="6"/>
  <c r="V1002" i="6"/>
  <c r="V994" i="6"/>
  <c r="W994" i="6"/>
  <c r="W986" i="6"/>
  <c r="V986" i="6"/>
  <c r="W978" i="6"/>
  <c r="V978" i="6"/>
  <c r="V970" i="6"/>
  <c r="W970" i="6"/>
  <c r="W966" i="6"/>
  <c r="V966" i="6"/>
  <c r="V958" i="6"/>
  <c r="W958" i="6"/>
  <c r="V954" i="6"/>
  <c r="W954" i="6"/>
  <c r="V946" i="6"/>
  <c r="W946" i="6"/>
  <c r="W938" i="6"/>
  <c r="V938" i="6"/>
  <c r="V930" i="6"/>
  <c r="W930" i="6"/>
  <c r="W922" i="6"/>
  <c r="V922" i="6"/>
  <c r="W914" i="6"/>
  <c r="V914" i="6"/>
  <c r="W902" i="6"/>
  <c r="V902" i="6"/>
  <c r="W894" i="6"/>
  <c r="V894" i="6"/>
  <c r="W878" i="6"/>
  <c r="V878" i="6"/>
  <c r="W874" i="6"/>
  <c r="V874" i="6"/>
  <c r="W866" i="6"/>
  <c r="V866" i="6"/>
  <c r="W858" i="6"/>
  <c r="V858" i="6"/>
  <c r="W850" i="6"/>
  <c r="V850" i="6"/>
  <c r="W842" i="6"/>
  <c r="V842" i="6"/>
  <c r="V834" i="6"/>
  <c r="W834" i="6"/>
  <c r="W826" i="6"/>
  <c r="V826" i="6"/>
  <c r="W822" i="6"/>
  <c r="V822" i="6"/>
  <c r="W814" i="6"/>
  <c r="V814" i="6"/>
  <c r="W806" i="6"/>
  <c r="V806" i="6"/>
  <c r="W794" i="6"/>
  <c r="V794" i="6"/>
  <c r="W786" i="6"/>
  <c r="V786" i="6"/>
  <c r="W778" i="6"/>
  <c r="V778" i="6"/>
  <c r="V770" i="6"/>
  <c r="W770" i="6"/>
  <c r="V762" i="6"/>
  <c r="W762" i="6"/>
  <c r="W754" i="6"/>
  <c r="V754" i="6"/>
  <c r="W742" i="6"/>
  <c r="V742" i="6"/>
  <c r="W730" i="6"/>
  <c r="V730" i="6"/>
  <c r="W722" i="6"/>
  <c r="V722" i="6"/>
  <c r="W714" i="6"/>
  <c r="V714" i="6"/>
  <c r="V706" i="6"/>
  <c r="W706" i="6"/>
  <c r="V698" i="6"/>
  <c r="W698" i="6"/>
  <c r="V690" i="6"/>
  <c r="W690" i="6"/>
  <c r="W686" i="6"/>
  <c r="V686" i="6"/>
  <c r="W666" i="6"/>
  <c r="V666" i="6"/>
  <c r="W658" i="6"/>
  <c r="V658" i="6"/>
  <c r="W654" i="6"/>
  <c r="V654" i="6"/>
  <c r="W646" i="6"/>
  <c r="V646" i="6"/>
  <c r="W638" i="6"/>
  <c r="V638" i="6"/>
  <c r="W634" i="6"/>
  <c r="V634" i="6"/>
  <c r="W626" i="6"/>
  <c r="V626" i="6"/>
  <c r="W618" i="6"/>
  <c r="V618" i="6"/>
  <c r="W610" i="6"/>
  <c r="V610" i="6"/>
  <c r="W598" i="6"/>
  <c r="V598" i="6"/>
  <c r="W574" i="6"/>
  <c r="V574" i="6"/>
  <c r="W558" i="6"/>
  <c r="V558" i="6"/>
  <c r="W550" i="6"/>
  <c r="V550" i="6"/>
  <c r="W542" i="6"/>
  <c r="V542" i="6"/>
  <c r="W534" i="6"/>
  <c r="V534" i="6"/>
  <c r="W526" i="6"/>
  <c r="V526" i="6"/>
  <c r="W518" i="6"/>
  <c r="V518" i="6"/>
  <c r="W510" i="6"/>
  <c r="V510" i="6"/>
  <c r="W502" i="6"/>
  <c r="V502" i="6"/>
  <c r="V494" i="6"/>
  <c r="W494" i="6"/>
  <c r="W490" i="6"/>
  <c r="V490" i="6"/>
  <c r="W474" i="6"/>
  <c r="V474" i="6"/>
  <c r="W466" i="6"/>
  <c r="V466" i="6"/>
  <c r="V462" i="6"/>
  <c r="W462" i="6"/>
  <c r="W454" i="6"/>
  <c r="V454" i="6"/>
  <c r="W450" i="6"/>
  <c r="V450" i="6"/>
  <c r="W438" i="6"/>
  <c r="V438" i="6"/>
  <c r="W402" i="6"/>
  <c r="V402" i="6"/>
  <c r="W394" i="6"/>
  <c r="V394" i="6"/>
  <c r="W390" i="6"/>
  <c r="V390" i="6"/>
  <c r="W382" i="6"/>
  <c r="V382" i="6"/>
  <c r="W378" i="6"/>
  <c r="V378" i="6"/>
  <c r="W374" i="6"/>
  <c r="V374" i="6"/>
  <c r="V366" i="6"/>
  <c r="W366" i="6"/>
  <c r="W358" i="6"/>
  <c r="V358" i="6"/>
  <c r="W350" i="6"/>
  <c r="V350" i="6"/>
  <c r="W342" i="6"/>
  <c r="V342" i="6"/>
  <c r="W334" i="6"/>
  <c r="V334" i="6"/>
  <c r="W330" i="6"/>
  <c r="V330" i="6"/>
  <c r="W326" i="6"/>
  <c r="V326" i="6"/>
  <c r="W322" i="6"/>
  <c r="V322" i="6"/>
  <c r="W314" i="6"/>
  <c r="V314" i="6"/>
  <c r="W306" i="6"/>
  <c r="V306" i="6"/>
  <c r="W294" i="6"/>
  <c r="V294" i="6"/>
  <c r="W270" i="6"/>
  <c r="V270" i="6"/>
  <c r="W262" i="6"/>
  <c r="V262" i="6"/>
  <c r="W254" i="6"/>
  <c r="V254" i="6"/>
  <c r="W246" i="6"/>
  <c r="V246" i="6"/>
  <c r="W234" i="6"/>
  <c r="V234" i="6"/>
  <c r="W226" i="6"/>
  <c r="V226" i="6"/>
  <c r="W218" i="6"/>
  <c r="V218" i="6"/>
  <c r="W210" i="6"/>
  <c r="V210" i="6"/>
  <c r="W198" i="6"/>
  <c r="V198" i="6"/>
  <c r="V190" i="6"/>
  <c r="W190" i="6"/>
  <c r="W182" i="6"/>
  <c r="V182" i="6"/>
  <c r="V174" i="6"/>
  <c r="W174" i="6"/>
  <c r="W166" i="6"/>
  <c r="V166" i="6"/>
  <c r="W158" i="6"/>
  <c r="V158" i="6"/>
  <c r="W154" i="6"/>
  <c r="V154" i="6"/>
  <c r="W146" i="6"/>
  <c r="V146" i="6"/>
  <c r="W142" i="6"/>
  <c r="V142" i="6"/>
  <c r="W134" i="6"/>
  <c r="V134" i="6"/>
  <c r="W130" i="6"/>
  <c r="V130" i="6"/>
  <c r="V126" i="6"/>
  <c r="W126" i="6"/>
  <c r="W122" i="6"/>
  <c r="V122" i="6"/>
  <c r="W118" i="6"/>
  <c r="V118" i="6"/>
  <c r="V110" i="6"/>
  <c r="W110" i="6"/>
  <c r="W106" i="6"/>
  <c r="V106" i="6"/>
  <c r="V102" i="6"/>
  <c r="W102" i="6"/>
  <c r="W98" i="6"/>
  <c r="V98" i="6"/>
  <c r="W94" i="6"/>
  <c r="V94" i="6"/>
  <c r="W90" i="6"/>
  <c r="V90" i="6"/>
  <c r="W86" i="6"/>
  <c r="V86" i="6"/>
  <c r="W82" i="6"/>
  <c r="V82" i="6"/>
  <c r="W78" i="6"/>
  <c r="V78" i="6"/>
  <c r="W74" i="6"/>
  <c r="V74" i="6"/>
  <c r="W70" i="6"/>
  <c r="V70" i="6"/>
  <c r="W66" i="6"/>
  <c r="V66" i="6"/>
  <c r="W58" i="6"/>
  <c r="V58" i="6"/>
  <c r="W54" i="6"/>
  <c r="V54" i="6"/>
  <c r="W50" i="6"/>
  <c r="V50" i="6"/>
  <c r="V46" i="6"/>
  <c r="W46" i="6"/>
  <c r="W42" i="6"/>
  <c r="V42" i="6"/>
  <c r="W38" i="6"/>
  <c r="V38" i="6"/>
  <c r="W34" i="6"/>
  <c r="V34" i="6"/>
  <c r="W30" i="6"/>
  <c r="V30" i="6"/>
  <c r="W26" i="6"/>
  <c r="V26" i="6"/>
  <c r="W22" i="6"/>
  <c r="V22" i="6"/>
  <c r="W18" i="6"/>
  <c r="V18" i="6"/>
  <c r="W10" i="6"/>
  <c r="V10" i="6"/>
  <c r="T4" i="6"/>
  <c r="V586" i="6"/>
  <c r="V562" i="6"/>
  <c r="V410" i="6"/>
  <c r="W882" i="6"/>
  <c r="W6" i="6"/>
  <c r="V6" i="6"/>
  <c r="S4" i="6"/>
  <c r="V998" i="6"/>
  <c r="W998" i="6"/>
  <c r="W990" i="6"/>
  <c r="V990" i="6"/>
  <c r="W982" i="6"/>
  <c r="V982" i="6"/>
  <c r="V974" i="6"/>
  <c r="W974" i="6"/>
  <c r="V962" i="6"/>
  <c r="W962" i="6"/>
  <c r="W942" i="6"/>
  <c r="V942" i="6"/>
  <c r="V934" i="6"/>
  <c r="W934" i="6"/>
  <c r="V926" i="6"/>
  <c r="W926" i="6"/>
  <c r="W918" i="6"/>
  <c r="V918" i="6"/>
  <c r="V910" i="6"/>
  <c r="W910" i="6"/>
  <c r="V906" i="6"/>
  <c r="W906" i="6"/>
  <c r="V898" i="6"/>
  <c r="W898" i="6"/>
  <c r="V890" i="6"/>
  <c r="W890" i="6"/>
  <c r="W886" i="6"/>
  <c r="V886" i="6"/>
  <c r="V862" i="6"/>
  <c r="W862" i="6"/>
  <c r="V854" i="6"/>
  <c r="W854" i="6"/>
  <c r="V846" i="6"/>
  <c r="W846" i="6"/>
  <c r="W838" i="6"/>
  <c r="V838" i="6"/>
  <c r="W830" i="6"/>
  <c r="V830" i="6"/>
  <c r="W810" i="6"/>
  <c r="V810" i="6"/>
  <c r="W802" i="6"/>
  <c r="V802" i="6"/>
  <c r="W798" i="6"/>
  <c r="V798" i="6"/>
  <c r="W790" i="6"/>
  <c r="V790" i="6"/>
  <c r="W782" i="6"/>
  <c r="V782" i="6"/>
  <c r="W774" i="6"/>
  <c r="V774" i="6"/>
  <c r="W766" i="6"/>
  <c r="V766" i="6"/>
  <c r="W758" i="6"/>
  <c r="V758" i="6"/>
  <c r="W750" i="6"/>
  <c r="V750" i="6"/>
  <c r="W746" i="6"/>
  <c r="V746" i="6"/>
  <c r="W738" i="6"/>
  <c r="V738" i="6"/>
  <c r="W734" i="6"/>
  <c r="V734" i="6"/>
  <c r="W726" i="6"/>
  <c r="V726" i="6"/>
  <c r="W718" i="6"/>
  <c r="V718" i="6"/>
  <c r="W710" i="6"/>
  <c r="V710" i="6"/>
  <c r="W702" i="6"/>
  <c r="V702" i="6"/>
  <c r="W694" i="6"/>
  <c r="V694" i="6"/>
  <c r="W678" i="6"/>
  <c r="V678" i="6"/>
  <c r="W670" i="6"/>
  <c r="V670" i="6"/>
  <c r="W662" i="6"/>
  <c r="V662" i="6"/>
  <c r="V642" i="6"/>
  <c r="W642" i="6"/>
  <c r="V622" i="6"/>
  <c r="W622" i="6"/>
  <c r="W614" i="6"/>
  <c r="V614" i="6"/>
  <c r="W606" i="6"/>
  <c r="V606" i="6"/>
  <c r="W602" i="6"/>
  <c r="V602" i="6"/>
  <c r="W594" i="6"/>
  <c r="V594" i="6"/>
  <c r="W590" i="6"/>
  <c r="V590" i="6"/>
  <c r="W582" i="6"/>
  <c r="V582" i="6"/>
  <c r="W578" i="6"/>
  <c r="V578" i="6"/>
  <c r="W570" i="6"/>
  <c r="V570" i="6"/>
  <c r="W566" i="6"/>
  <c r="V566" i="6"/>
  <c r="W546" i="6"/>
  <c r="V546" i="6"/>
  <c r="W538" i="6"/>
  <c r="V538" i="6"/>
  <c r="W530" i="6"/>
  <c r="V530" i="6"/>
  <c r="W522" i="6"/>
  <c r="V522" i="6"/>
  <c r="W514" i="6"/>
  <c r="V514" i="6"/>
  <c r="W506" i="6"/>
  <c r="V506" i="6"/>
  <c r="W498" i="6"/>
  <c r="V498" i="6"/>
  <c r="W478" i="6"/>
  <c r="V478" i="6"/>
  <c r="W470" i="6"/>
  <c r="V470" i="6"/>
  <c r="W458" i="6"/>
  <c r="V458" i="6"/>
  <c r="W442" i="6"/>
  <c r="V442" i="6"/>
  <c r="W434" i="6"/>
  <c r="V434" i="6"/>
  <c r="W430" i="6"/>
  <c r="V430" i="6"/>
  <c r="W426" i="6"/>
  <c r="V426" i="6"/>
  <c r="W418" i="6"/>
  <c r="V418" i="6"/>
  <c r="W414" i="6"/>
  <c r="V414" i="6"/>
  <c r="W406" i="6"/>
  <c r="V406" i="6"/>
  <c r="W398" i="6"/>
  <c r="V398" i="6"/>
  <c r="W386" i="6"/>
  <c r="V386" i="6"/>
  <c r="W362" i="6"/>
  <c r="V362" i="6"/>
  <c r="W354" i="6"/>
  <c r="V354" i="6"/>
  <c r="W346" i="6"/>
  <c r="V346" i="6"/>
  <c r="W338" i="6"/>
  <c r="V338" i="6"/>
  <c r="W310" i="6"/>
  <c r="V310" i="6"/>
  <c r="W302" i="6"/>
  <c r="V302" i="6"/>
  <c r="W298" i="6"/>
  <c r="V298" i="6"/>
  <c r="W290" i="6"/>
  <c r="V290" i="6"/>
  <c r="W286" i="6"/>
  <c r="V286" i="6"/>
  <c r="W278" i="6"/>
  <c r="V278" i="6"/>
  <c r="W274" i="6"/>
  <c r="V274" i="6"/>
  <c r="W266" i="6"/>
  <c r="V266" i="6"/>
  <c r="W258" i="6"/>
  <c r="V258" i="6"/>
  <c r="W250" i="6"/>
  <c r="V250" i="6"/>
  <c r="W242" i="6"/>
  <c r="V242" i="6"/>
  <c r="V238" i="6"/>
  <c r="W238" i="6"/>
  <c r="W230" i="6"/>
  <c r="V230" i="6"/>
  <c r="W222" i="6"/>
  <c r="V222" i="6"/>
  <c r="W214" i="6"/>
  <c r="V214" i="6"/>
  <c r="W206" i="6"/>
  <c r="V206" i="6"/>
  <c r="W202" i="6"/>
  <c r="V202" i="6"/>
  <c r="W194" i="6"/>
  <c r="V194" i="6"/>
  <c r="W186" i="6"/>
  <c r="V186" i="6"/>
  <c r="W178" i="6"/>
  <c r="V178" i="6"/>
  <c r="W170" i="6"/>
  <c r="V170" i="6"/>
  <c r="W162" i="6"/>
  <c r="V162" i="6"/>
  <c r="W150" i="6"/>
  <c r="V150" i="6"/>
  <c r="W138" i="6"/>
  <c r="V138" i="6"/>
  <c r="W114" i="6"/>
  <c r="V114" i="6"/>
  <c r="W14" i="6"/>
  <c r="V14" i="6"/>
  <c r="V950" i="6"/>
  <c r="V482" i="6"/>
  <c r="V554" i="6"/>
  <c r="V446" i="6"/>
  <c r="V422" i="6"/>
  <c r="V62" i="6"/>
  <c r="W991" i="6"/>
  <c r="V991" i="6"/>
  <c r="W975" i="6"/>
  <c r="V975" i="6"/>
  <c r="W943" i="6"/>
  <c r="V943" i="6"/>
  <c r="W927" i="6"/>
  <c r="V927" i="6"/>
  <c r="W919" i="6"/>
  <c r="V919" i="6"/>
  <c r="W911" i="6"/>
  <c r="V911" i="6"/>
  <c r="W903" i="6"/>
  <c r="V903" i="6"/>
  <c r="W879" i="6"/>
  <c r="V879" i="6"/>
  <c r="W751" i="6"/>
  <c r="W839" i="6"/>
  <c r="V871" i="6"/>
  <c r="W871" i="6"/>
  <c r="W855" i="6"/>
  <c r="V855" i="6"/>
  <c r="W847" i="6"/>
  <c r="V847" i="6"/>
  <c r="V803" i="6"/>
  <c r="W803" i="6"/>
  <c r="V795" i="6"/>
  <c r="W795" i="6"/>
  <c r="V787" i="6"/>
  <c r="W787" i="6"/>
  <c r="W783" i="6"/>
  <c r="V783" i="6"/>
  <c r="W767" i="6"/>
  <c r="V767" i="6"/>
  <c r="V755" i="6"/>
  <c r="W755" i="6"/>
  <c r="W743" i="6"/>
  <c r="V743" i="6"/>
  <c r="V739" i="6"/>
  <c r="W739" i="6"/>
  <c r="W719" i="6"/>
  <c r="V719" i="6"/>
  <c r="W703" i="6"/>
  <c r="V703" i="6"/>
  <c r="V699" i="6"/>
  <c r="W699" i="6"/>
  <c r="V691" i="6"/>
  <c r="W691" i="6"/>
  <c r="W679" i="6"/>
  <c r="V679" i="6"/>
  <c r="V675" i="6"/>
  <c r="W675" i="6"/>
  <c r="V667" i="6"/>
  <c r="W667" i="6"/>
  <c r="W655" i="6"/>
  <c r="V655" i="6"/>
  <c r="W647" i="6"/>
  <c r="V647" i="6"/>
  <c r="V635" i="6"/>
  <c r="W635" i="6"/>
  <c r="V627" i="6"/>
  <c r="W627" i="6"/>
  <c r="V623" i="6"/>
  <c r="W623" i="6"/>
  <c r="W615" i="6"/>
  <c r="V615" i="6"/>
  <c r="W591" i="6"/>
  <c r="V591" i="6"/>
  <c r="V583" i="6"/>
  <c r="W583" i="6"/>
  <c r="W575" i="6"/>
  <c r="V575" i="6"/>
  <c r="V551" i="6"/>
  <c r="W551" i="6"/>
  <c r="W519" i="6"/>
  <c r="V519" i="6"/>
  <c r="V271" i="6"/>
  <c r="V111" i="6"/>
  <c r="W199" i="6"/>
  <c r="V255" i="6"/>
  <c r="W455" i="6"/>
  <c r="V447" i="6"/>
  <c r="W487" i="6"/>
  <c r="V487" i="6"/>
  <c r="W463" i="6"/>
  <c r="V463" i="6"/>
  <c r="W431" i="6"/>
  <c r="V431" i="6"/>
  <c r="V423" i="6"/>
  <c r="W423" i="6"/>
  <c r="W399" i="6"/>
  <c r="V399" i="6"/>
  <c r="V359" i="6"/>
  <c r="W359" i="6"/>
  <c r="W327" i="6"/>
  <c r="V327" i="6"/>
  <c r="W319" i="6"/>
  <c r="V319" i="6"/>
  <c r="V295" i="6"/>
  <c r="W295" i="6"/>
  <c r="W263" i="6"/>
  <c r="V263" i="6"/>
  <c r="W239" i="6"/>
  <c r="V239" i="6"/>
  <c r="W231" i="6"/>
  <c r="V231" i="6"/>
  <c r="W223" i="6"/>
  <c r="V223" i="6"/>
  <c r="W191" i="6"/>
  <c r="V191" i="6"/>
  <c r="V175" i="6"/>
  <c r="W175" i="6"/>
  <c r="W159" i="6"/>
  <c r="V159" i="6"/>
  <c r="W103" i="6"/>
  <c r="V103" i="6"/>
  <c r="W95" i="6"/>
  <c r="V95" i="6"/>
  <c r="W31" i="6"/>
  <c r="V31" i="6"/>
  <c r="W959" i="6"/>
  <c r="W951" i="6"/>
  <c r="W895" i="6"/>
  <c r="W887" i="6"/>
  <c r="W831" i="6"/>
  <c r="W819" i="6"/>
  <c r="W807" i="6"/>
  <c r="W771" i="6"/>
  <c r="W735" i="6"/>
  <c r="W707" i="6"/>
  <c r="W671" i="6"/>
  <c r="W643" i="6"/>
  <c r="W631" i="6"/>
  <c r="W559" i="6"/>
  <c r="W527" i="6"/>
  <c r="W511" i="6"/>
  <c r="B33" i="2"/>
  <c r="J4" i="6" s="1"/>
  <c r="W1003" i="6"/>
  <c r="W995" i="6"/>
  <c r="W987" i="6"/>
  <c r="W979" i="6"/>
  <c r="W971" i="6"/>
  <c r="W963" i="6"/>
  <c r="W955" i="6"/>
  <c r="W947" i="6"/>
  <c r="W939" i="6"/>
  <c r="W931" i="6"/>
  <c r="W923" i="6"/>
  <c r="W915" i="6"/>
  <c r="W907" i="6"/>
  <c r="W899" i="6"/>
  <c r="W891" i="6"/>
  <c r="W883" i="6"/>
  <c r="W875" i="6"/>
  <c r="W867" i="6"/>
  <c r="W859" i="6"/>
  <c r="W851" i="6"/>
  <c r="W843" i="6"/>
  <c r="W835" i="6"/>
  <c r="W827" i="6"/>
  <c r="W799" i="6"/>
  <c r="W791" i="6"/>
  <c r="W779" i="6"/>
  <c r="W759" i="6"/>
  <c r="W747" i="6"/>
  <c r="W727" i="6"/>
  <c r="W715" i="6"/>
  <c r="W695" i="6"/>
  <c r="W683" i="6"/>
  <c r="W663" i="6"/>
  <c r="W651" i="6"/>
  <c r="W619" i="6"/>
  <c r="W611" i="6"/>
  <c r="W607" i="6"/>
  <c r="W603" i="6"/>
  <c r="W599" i="6"/>
  <c r="W595" i="6"/>
  <c r="W587" i="6"/>
  <c r="W579" i="6"/>
  <c r="W571" i="6"/>
  <c r="W567" i="6"/>
  <c r="W563" i="6"/>
  <c r="W555" i="6"/>
  <c r="W547" i="6"/>
  <c r="W543" i="6"/>
  <c r="W539" i="6"/>
  <c r="W535" i="6"/>
  <c r="W531" i="6"/>
  <c r="W523" i="6"/>
  <c r="W515" i="6"/>
  <c r="W507" i="6"/>
  <c r="W503" i="6"/>
  <c r="W499" i="6"/>
  <c r="W479" i="6"/>
  <c r="W415" i="6"/>
  <c r="W351" i="6"/>
  <c r="W287" i="6"/>
  <c r="W491" i="6"/>
  <c r="W483" i="6"/>
  <c r="W475" i="6"/>
  <c r="W471" i="6"/>
  <c r="W467" i="6"/>
  <c r="W459" i="6"/>
  <c r="W451" i="6"/>
  <c r="W443" i="6"/>
  <c r="W439" i="6"/>
  <c r="W435" i="6"/>
  <c r="W427" i="6"/>
  <c r="W419" i="6"/>
  <c r="W411" i="6"/>
  <c r="W407" i="6"/>
  <c r="W403" i="6"/>
  <c r="W395" i="6"/>
  <c r="W387" i="6"/>
  <c r="W379" i="6"/>
  <c r="W375" i="6"/>
  <c r="W371" i="6"/>
  <c r="W363" i="6"/>
  <c r="W355" i="6"/>
  <c r="W347" i="6"/>
  <c r="W343" i="6"/>
  <c r="W339" i="6"/>
  <c r="W331" i="6"/>
  <c r="W323" i="6"/>
  <c r="W315" i="6"/>
  <c r="W311" i="6"/>
  <c r="W307" i="6"/>
  <c r="W299" i="6"/>
  <c r="W291" i="6"/>
  <c r="W283" i="6"/>
  <c r="W279" i="6"/>
  <c r="W275" i="6"/>
  <c r="W267" i="6"/>
  <c r="W259" i="6"/>
  <c r="W251" i="6"/>
  <c r="W247" i="6"/>
  <c r="W243" i="6"/>
  <c r="W235" i="6"/>
  <c r="W215" i="6"/>
  <c r="W183" i="6"/>
  <c r="W151" i="6"/>
  <c r="W119" i="6"/>
  <c r="W87" i="6"/>
  <c r="W55" i="6"/>
  <c r="W227" i="6"/>
  <c r="W219" i="6"/>
  <c r="W211" i="6"/>
  <c r="W203" i="6"/>
  <c r="W195" i="6"/>
  <c r="W187" i="6"/>
  <c r="W179" i="6"/>
  <c r="W171" i="6"/>
  <c r="W163" i="6"/>
  <c r="W155" i="6"/>
  <c r="W147" i="6"/>
  <c r="W139" i="6"/>
  <c r="W131" i="6"/>
  <c r="W123" i="6"/>
  <c r="W115" i="6"/>
  <c r="W107" i="6"/>
  <c r="W99" i="6"/>
  <c r="W91" i="6"/>
  <c r="W83" i="6"/>
  <c r="W75" i="6"/>
  <c r="W67" i="6"/>
  <c r="W59" i="6"/>
  <c r="W51" i="6"/>
  <c r="W43" i="6"/>
  <c r="W35" i="6"/>
  <c r="W27" i="6"/>
  <c r="W19" i="6"/>
  <c r="M14" i="5" l="1"/>
  <c r="L14" i="5"/>
  <c r="L7" i="3"/>
  <c r="H8" i="3"/>
  <c r="AA7" i="3"/>
  <c r="AC7" i="3" s="1"/>
  <c r="F8" i="3"/>
  <c r="Q8" i="3" s="1"/>
  <c r="G8" i="3"/>
  <c r="AC6" i="3"/>
  <c r="AD6" i="3" s="1"/>
  <c r="M7" i="3"/>
  <c r="W7" i="3"/>
  <c r="Y7" i="3" s="1"/>
  <c r="I7" i="3"/>
  <c r="K7" i="3"/>
  <c r="V7" i="3" s="1"/>
  <c r="N7" i="3"/>
  <c r="AC6" i="4"/>
  <c r="AD6" i="4" s="1"/>
  <c r="E7" i="4"/>
  <c r="F7" i="4"/>
  <c r="P7" i="3"/>
  <c r="R7" i="3" s="1"/>
  <c r="S7" i="3" s="1"/>
  <c r="E9" i="3"/>
  <c r="V4" i="6"/>
  <c r="W4" i="6"/>
  <c r="F9" i="3" l="1"/>
  <c r="W9" i="3" s="1"/>
  <c r="Y9" i="3" s="1"/>
  <c r="H9" i="3"/>
  <c r="M8" i="3"/>
  <c r="AA8" i="3"/>
  <c r="L8" i="3"/>
  <c r="W8" i="3"/>
  <c r="Y8" i="3" s="1"/>
  <c r="P8" i="3"/>
  <c r="R8" i="3" s="1"/>
  <c r="K8" i="3"/>
  <c r="V8" i="3" s="1"/>
  <c r="X8" i="3" s="1"/>
  <c r="N8" i="3"/>
  <c r="G9" i="3"/>
  <c r="I8" i="3"/>
  <c r="Q7" i="4"/>
  <c r="AB7" i="4" s="1"/>
  <c r="G8" i="4"/>
  <c r="F8" i="4"/>
  <c r="P7" i="4"/>
  <c r="N7" i="4"/>
  <c r="W7" i="4"/>
  <c r="Y7" i="4" s="1"/>
  <c r="H8" i="4"/>
  <c r="I7" i="4"/>
  <c r="AA7" i="4"/>
  <c r="M7" i="4"/>
  <c r="E8" i="4"/>
  <c r="K7" i="4"/>
  <c r="V7" i="4" s="1"/>
  <c r="X7" i="4" s="1"/>
  <c r="L7" i="4"/>
  <c r="AD7" i="3"/>
  <c r="E10" i="3"/>
  <c r="X7" i="3"/>
  <c r="AB8" i="3"/>
  <c r="M9" i="3" l="1"/>
  <c r="G10" i="3"/>
  <c r="H10" i="3"/>
  <c r="N9" i="3"/>
  <c r="P9" i="3"/>
  <c r="AA9" i="3"/>
  <c r="Q9" i="3"/>
  <c r="AB9" i="3" s="1"/>
  <c r="L9" i="3"/>
  <c r="F10" i="3"/>
  <c r="Q10" i="3" s="1"/>
  <c r="K9" i="3"/>
  <c r="V9" i="3" s="1"/>
  <c r="X9" i="3" s="1"/>
  <c r="R7" i="4"/>
  <c r="S7" i="4" s="1"/>
  <c r="I9" i="3"/>
  <c r="AC8" i="3"/>
  <c r="AD8" i="3" s="1"/>
  <c r="E9" i="4"/>
  <c r="K8" i="4"/>
  <c r="V8" i="4" s="1"/>
  <c r="X8" i="4" s="1"/>
  <c r="N8" i="4"/>
  <c r="L8" i="4"/>
  <c r="M8" i="4"/>
  <c r="W8" i="4"/>
  <c r="Y8" i="4" s="1"/>
  <c r="AA8" i="4"/>
  <c r="I8" i="4"/>
  <c r="P8" i="4"/>
  <c r="AC7" i="4"/>
  <c r="AD7" i="4" s="1"/>
  <c r="H9" i="4"/>
  <c r="F9" i="4"/>
  <c r="Q8" i="4"/>
  <c r="AB8" i="4" s="1"/>
  <c r="G9" i="4"/>
  <c r="E11" i="3"/>
  <c r="S8" i="3"/>
  <c r="H11" i="3" l="1"/>
  <c r="L10" i="3"/>
  <c r="P10" i="3"/>
  <c r="R10" i="3" s="1"/>
  <c r="N10" i="3"/>
  <c r="W10" i="3"/>
  <c r="Y10" i="3" s="1"/>
  <c r="M10" i="3"/>
  <c r="AC9" i="3"/>
  <c r="AD9" i="3" s="1"/>
  <c r="G11" i="3"/>
  <c r="AA10" i="3"/>
  <c r="F11" i="3"/>
  <c r="M11" i="3" s="1"/>
  <c r="K10" i="3"/>
  <c r="V10" i="3" s="1"/>
  <c r="I10" i="3"/>
  <c r="R9" i="3"/>
  <c r="S9" i="3" s="1"/>
  <c r="H10" i="4"/>
  <c r="R8" i="4"/>
  <c r="S8" i="4" s="1"/>
  <c r="AC8" i="4"/>
  <c r="AD8" i="4" s="1"/>
  <c r="L9" i="4"/>
  <c r="P9" i="4"/>
  <c r="E10" i="4"/>
  <c r="N9" i="4"/>
  <c r="K9" i="4"/>
  <c r="V9" i="4" s="1"/>
  <c r="X9" i="4" s="1"/>
  <c r="W9" i="4"/>
  <c r="Y9" i="4" s="1"/>
  <c r="AA9" i="4"/>
  <c r="M9" i="4"/>
  <c r="I9" i="4"/>
  <c r="F10" i="4"/>
  <c r="G10" i="4"/>
  <c r="Q9" i="4"/>
  <c r="AB9" i="4" s="1"/>
  <c r="E12" i="3"/>
  <c r="AB10" i="3"/>
  <c r="AC10" i="3" l="1"/>
  <c r="AD10" i="3" s="1"/>
  <c r="L11" i="3"/>
  <c r="W11" i="3"/>
  <c r="Y11" i="3" s="1"/>
  <c r="P11" i="3"/>
  <c r="AA11" i="3"/>
  <c r="F12" i="3"/>
  <c r="K12" i="3" s="1"/>
  <c r="V12" i="3" s="1"/>
  <c r="X12" i="3" s="1"/>
  <c r="N11" i="3"/>
  <c r="Q11" i="3"/>
  <c r="AB11" i="3" s="1"/>
  <c r="K11" i="3"/>
  <c r="V11" i="3" s="1"/>
  <c r="X11" i="3" s="1"/>
  <c r="H12" i="3"/>
  <c r="I11" i="3"/>
  <c r="G12" i="3"/>
  <c r="AC9" i="4"/>
  <c r="AD9" i="4" s="1"/>
  <c r="E11" i="4"/>
  <c r="P10" i="4"/>
  <c r="I10" i="4"/>
  <c r="W10" i="4"/>
  <c r="Y10" i="4" s="1"/>
  <c r="L10" i="4"/>
  <c r="AA10" i="4"/>
  <c r="N10" i="4"/>
  <c r="M10" i="4"/>
  <c r="K10" i="4"/>
  <c r="V10" i="4" s="1"/>
  <c r="X10" i="4" s="1"/>
  <c r="F11" i="4"/>
  <c r="G11" i="4"/>
  <c r="Q10" i="4"/>
  <c r="AB10" i="4" s="1"/>
  <c r="R9" i="4"/>
  <c r="S9" i="4" s="1"/>
  <c r="H11" i="4"/>
  <c r="S10" i="3"/>
  <c r="E13" i="3"/>
  <c r="X10" i="3"/>
  <c r="M12" i="3" l="1"/>
  <c r="W12" i="3"/>
  <c r="Y12" i="3" s="1"/>
  <c r="P12" i="3"/>
  <c r="N12" i="3"/>
  <c r="H13" i="3"/>
  <c r="L12" i="3"/>
  <c r="F13" i="3"/>
  <c r="M13" i="3" s="1"/>
  <c r="AC11" i="3"/>
  <c r="AD11" i="3" s="1"/>
  <c r="AA12" i="3"/>
  <c r="Q12" i="3"/>
  <c r="AB12" i="3" s="1"/>
  <c r="G13" i="3"/>
  <c r="R11" i="3"/>
  <c r="S11" i="3" s="1"/>
  <c r="I12" i="3"/>
  <c r="H12" i="4"/>
  <c r="M11" i="4"/>
  <c r="I11" i="4"/>
  <c r="P11" i="4"/>
  <c r="E12" i="4"/>
  <c r="L11" i="4"/>
  <c r="W11" i="4"/>
  <c r="Y11" i="4" s="1"/>
  <c r="N11" i="4"/>
  <c r="K11" i="4"/>
  <c r="V11" i="4" s="1"/>
  <c r="X11" i="4" s="1"/>
  <c r="AA11" i="4"/>
  <c r="F12" i="4"/>
  <c r="Q11" i="4"/>
  <c r="AB11" i="4" s="1"/>
  <c r="G12" i="4"/>
  <c r="AC10" i="4"/>
  <c r="AD10" i="4" s="1"/>
  <c r="R10" i="4"/>
  <c r="S10" i="4" s="1"/>
  <c r="E14" i="3"/>
  <c r="N13" i="3" l="1"/>
  <c r="H14" i="3"/>
  <c r="W13" i="3"/>
  <c r="Y13" i="3" s="1"/>
  <c r="Q13" i="3"/>
  <c r="AB13" i="3" s="1"/>
  <c r="F14" i="3"/>
  <c r="F15" i="3" s="1"/>
  <c r="K13" i="3"/>
  <c r="V13" i="3" s="1"/>
  <c r="X13" i="3" s="1"/>
  <c r="L13" i="3"/>
  <c r="AA13" i="3"/>
  <c r="G14" i="3"/>
  <c r="P13" i="3"/>
  <c r="AC12" i="3"/>
  <c r="AD12" i="3" s="1"/>
  <c r="R12" i="3"/>
  <c r="S12" i="3" s="1"/>
  <c r="I13" i="3"/>
  <c r="AC11" i="4"/>
  <c r="AD11" i="4" s="1"/>
  <c r="R11" i="4"/>
  <c r="S11" i="4" s="1"/>
  <c r="Q12" i="4"/>
  <c r="AB12" i="4" s="1"/>
  <c r="G13" i="4"/>
  <c r="F13" i="4"/>
  <c r="E13" i="4"/>
  <c r="W12" i="4"/>
  <c r="Y12" i="4" s="1"/>
  <c r="K12" i="4"/>
  <c r="V12" i="4" s="1"/>
  <c r="X12" i="4" s="1"/>
  <c r="N12" i="4"/>
  <c r="I12" i="4"/>
  <c r="AA12" i="4"/>
  <c r="M12" i="4"/>
  <c r="L12" i="4"/>
  <c r="P12" i="4"/>
  <c r="H13" i="4"/>
  <c r="E15" i="3"/>
  <c r="AC13" i="3" l="1"/>
  <c r="AD13" i="3" s="1"/>
  <c r="N14" i="3"/>
  <c r="P14" i="3"/>
  <c r="R13" i="3"/>
  <c r="S13" i="3" s="1"/>
  <c r="AA14" i="3"/>
  <c r="I14" i="3"/>
  <c r="L14" i="3"/>
  <c r="W14" i="3"/>
  <c r="Y14" i="3" s="1"/>
  <c r="H15" i="3"/>
  <c r="H16" i="3" s="1"/>
  <c r="G15" i="3"/>
  <c r="G16" i="3" s="1"/>
  <c r="K14" i="3"/>
  <c r="V14" i="3" s="1"/>
  <c r="X14" i="3" s="1"/>
  <c r="Q14" i="3"/>
  <c r="AB14" i="3" s="1"/>
  <c r="M14" i="3"/>
  <c r="AC12" i="4"/>
  <c r="AD12" i="4" s="1"/>
  <c r="R12" i="4"/>
  <c r="S12" i="4" s="1"/>
  <c r="H14" i="4"/>
  <c r="P13" i="4"/>
  <c r="M13" i="4"/>
  <c r="N13" i="4"/>
  <c r="L13" i="4"/>
  <c r="AA13" i="4"/>
  <c r="K13" i="4"/>
  <c r="V13" i="4" s="1"/>
  <c r="X13" i="4" s="1"/>
  <c r="E14" i="4"/>
  <c r="W13" i="4"/>
  <c r="Y13" i="4" s="1"/>
  <c r="I13" i="4"/>
  <c r="G14" i="4"/>
  <c r="Q13" i="4"/>
  <c r="AB13" i="4" s="1"/>
  <c r="F14" i="4"/>
  <c r="Q15" i="3"/>
  <c r="AB15" i="3" s="1"/>
  <c r="F16" i="3"/>
  <c r="E16" i="3"/>
  <c r="N15" i="3"/>
  <c r="P15" i="3"/>
  <c r="L15" i="3"/>
  <c r="AA15" i="3"/>
  <c r="M15" i="3"/>
  <c r="W15" i="3"/>
  <c r="Y15" i="3" s="1"/>
  <c r="K15" i="3"/>
  <c r="V15" i="3" s="1"/>
  <c r="X15" i="3" s="1"/>
  <c r="AC14" i="3" l="1"/>
  <c r="AD14" i="3" s="1"/>
  <c r="R14" i="3"/>
  <c r="S14" i="3" s="1"/>
  <c r="I15" i="3"/>
  <c r="R15" i="3"/>
  <c r="S15" i="3" s="1"/>
  <c r="H17" i="3"/>
  <c r="E15" i="4"/>
  <c r="K14" i="4"/>
  <c r="V14" i="4" s="1"/>
  <c r="X14" i="4" s="1"/>
  <c r="L14" i="4"/>
  <c r="P14" i="4"/>
  <c r="AA14" i="4"/>
  <c r="W14" i="4"/>
  <c r="Y14" i="4" s="1"/>
  <c r="M14" i="4"/>
  <c r="N14" i="4"/>
  <c r="I14" i="4"/>
  <c r="AC13" i="4"/>
  <c r="AD13" i="4" s="1"/>
  <c r="R13" i="4"/>
  <c r="S13" i="4" s="1"/>
  <c r="F15" i="4"/>
  <c r="Q14" i="4"/>
  <c r="AB14" i="4" s="1"/>
  <c r="G15" i="4"/>
  <c r="H15" i="4"/>
  <c r="L16" i="3"/>
  <c r="E17" i="3"/>
  <c r="N16" i="3"/>
  <c r="W16" i="3"/>
  <c r="Y16" i="3" s="1"/>
  <c r="M16" i="3"/>
  <c r="K16" i="3"/>
  <c r="V16" i="3" s="1"/>
  <c r="X16" i="3" s="1"/>
  <c r="AA16" i="3"/>
  <c r="P16" i="3"/>
  <c r="I16" i="3"/>
  <c r="F17" i="3"/>
  <c r="G17" i="3"/>
  <c r="Q16" i="3"/>
  <c r="AB16" i="3" s="1"/>
  <c r="AC15" i="3"/>
  <c r="AD15" i="3" s="1"/>
  <c r="R14" i="4" l="1"/>
  <c r="S14" i="4" s="1"/>
  <c r="AC16" i="3"/>
  <c r="AD16" i="3" s="1"/>
  <c r="H16" i="4"/>
  <c r="AC14" i="4"/>
  <c r="AD14" i="4" s="1"/>
  <c r="E16" i="4"/>
  <c r="I15" i="4"/>
  <c r="W15" i="4"/>
  <c r="Y15" i="4" s="1"/>
  <c r="N15" i="4"/>
  <c r="P15" i="4"/>
  <c r="K15" i="4"/>
  <c r="V15" i="4" s="1"/>
  <c r="X15" i="4" s="1"/>
  <c r="M15" i="4"/>
  <c r="L15" i="4"/>
  <c r="AA15" i="4"/>
  <c r="Q15" i="4"/>
  <c r="AB15" i="4" s="1"/>
  <c r="G16" i="4"/>
  <c r="F16" i="4"/>
  <c r="G18" i="3"/>
  <c r="Q17" i="3"/>
  <c r="AB17" i="3" s="1"/>
  <c r="F18" i="3"/>
  <c r="AA17" i="3"/>
  <c r="I17" i="3"/>
  <c r="E18" i="3"/>
  <c r="L17" i="3"/>
  <c r="W17" i="3"/>
  <c r="Y17" i="3" s="1"/>
  <c r="K17" i="3"/>
  <c r="V17" i="3" s="1"/>
  <c r="X17" i="3" s="1"/>
  <c r="N17" i="3"/>
  <c r="M17" i="3"/>
  <c r="P17" i="3"/>
  <c r="R16" i="3"/>
  <c r="S16" i="3" s="1"/>
  <c r="H18" i="3"/>
  <c r="H19" i="3" l="1"/>
  <c r="AC15" i="4"/>
  <c r="AD15" i="4" s="1"/>
  <c r="R15" i="4"/>
  <c r="S15" i="4" s="1"/>
  <c r="E17" i="4"/>
  <c r="P16" i="4"/>
  <c r="I16" i="4"/>
  <c r="L16" i="4"/>
  <c r="AA16" i="4"/>
  <c r="M16" i="4"/>
  <c r="W16" i="4"/>
  <c r="Y16" i="4" s="1"/>
  <c r="N16" i="4"/>
  <c r="K16" i="4"/>
  <c r="V16" i="4" s="1"/>
  <c r="X16" i="4" s="1"/>
  <c r="H17" i="4"/>
  <c r="G17" i="4"/>
  <c r="Q16" i="4"/>
  <c r="AB16" i="4" s="1"/>
  <c r="F17" i="4"/>
  <c r="W18" i="3"/>
  <c r="Y18" i="3" s="1"/>
  <c r="P18" i="3"/>
  <c r="E19" i="3"/>
  <c r="I18" i="3"/>
  <c r="K18" i="3"/>
  <c r="V18" i="3" s="1"/>
  <c r="X18" i="3" s="1"/>
  <c r="N18" i="3"/>
  <c r="M18" i="3"/>
  <c r="AA18" i="3"/>
  <c r="L18" i="3"/>
  <c r="R17" i="3"/>
  <c r="S17" i="3" s="1"/>
  <c r="AC17" i="3"/>
  <c r="AD17" i="3" s="1"/>
  <c r="F19" i="3"/>
  <c r="Q18" i="3"/>
  <c r="AB18" i="3" s="1"/>
  <c r="G19" i="3"/>
  <c r="AC16" i="4" l="1"/>
  <c r="AD16" i="4" s="1"/>
  <c r="H18" i="4"/>
  <c r="R16" i="4"/>
  <c r="S16" i="4" s="1"/>
  <c r="F18" i="4"/>
  <c r="Q17" i="4"/>
  <c r="AB17" i="4" s="1"/>
  <c r="G18" i="4"/>
  <c r="W17" i="4"/>
  <c r="Y17" i="4" s="1"/>
  <c r="K17" i="4"/>
  <c r="V17" i="4" s="1"/>
  <c r="X17" i="4" s="1"/>
  <c r="M17" i="4"/>
  <c r="AA17" i="4"/>
  <c r="E18" i="4"/>
  <c r="I17" i="4"/>
  <c r="N17" i="4"/>
  <c r="P17" i="4"/>
  <c r="L17" i="4"/>
  <c r="W19" i="3"/>
  <c r="Y19" i="3" s="1"/>
  <c r="I19" i="3"/>
  <c r="P19" i="3"/>
  <c r="M19" i="3"/>
  <c r="L19" i="3"/>
  <c r="AA19" i="3"/>
  <c r="K19" i="3"/>
  <c r="V19" i="3" s="1"/>
  <c r="X19" i="3" s="1"/>
  <c r="N19" i="3"/>
  <c r="E20" i="3"/>
  <c r="R18" i="3"/>
  <c r="S18" i="3" s="1"/>
  <c r="F20" i="3"/>
  <c r="Q19" i="3"/>
  <c r="AB19" i="3" s="1"/>
  <c r="G20" i="3"/>
  <c r="H20" i="3"/>
  <c r="AC18" i="3"/>
  <c r="AD18" i="3" s="1"/>
  <c r="R17" i="4" l="1"/>
  <c r="S17" i="4" s="1"/>
  <c r="AC17" i="4"/>
  <c r="AD17" i="4" s="1"/>
  <c r="AA18" i="4"/>
  <c r="E19" i="4"/>
  <c r="I18" i="4"/>
  <c r="N18" i="4"/>
  <c r="P18" i="4"/>
  <c r="M18" i="4"/>
  <c r="K18" i="4"/>
  <c r="V18" i="4" s="1"/>
  <c r="X18" i="4" s="1"/>
  <c r="L18" i="4"/>
  <c r="W18" i="4"/>
  <c r="Y18" i="4" s="1"/>
  <c r="AC19" i="3"/>
  <c r="AD19" i="3" s="1"/>
  <c r="Q18" i="4"/>
  <c r="AB18" i="4" s="1"/>
  <c r="F19" i="4"/>
  <c r="G19" i="4"/>
  <c r="H19" i="4"/>
  <c r="W20" i="3"/>
  <c r="Y20" i="3" s="1"/>
  <c r="K20" i="3"/>
  <c r="V20" i="3" s="1"/>
  <c r="X20" i="3" s="1"/>
  <c r="E21" i="3"/>
  <c r="AA20" i="3"/>
  <c r="L20" i="3"/>
  <c r="I20" i="3"/>
  <c r="N20" i="3"/>
  <c r="P20" i="3"/>
  <c r="M20" i="3"/>
  <c r="H21" i="3"/>
  <c r="Q20" i="3"/>
  <c r="AB20" i="3" s="1"/>
  <c r="G21" i="3"/>
  <c r="F21" i="3"/>
  <c r="R19" i="3"/>
  <c r="S19" i="3" s="1"/>
  <c r="H20" i="4" l="1"/>
  <c r="AC20" i="3"/>
  <c r="AD20" i="3" s="1"/>
  <c r="Q19" i="4"/>
  <c r="AB19" i="4" s="1"/>
  <c r="F20" i="4"/>
  <c r="G20" i="4"/>
  <c r="E20" i="4"/>
  <c r="AA19" i="4"/>
  <c r="N19" i="4"/>
  <c r="L19" i="4"/>
  <c r="W19" i="4"/>
  <c r="Y19" i="4" s="1"/>
  <c r="M19" i="4"/>
  <c r="P19" i="4"/>
  <c r="K19" i="4"/>
  <c r="V19" i="4" s="1"/>
  <c r="X19" i="4" s="1"/>
  <c r="I19" i="4"/>
  <c r="R18" i="4"/>
  <c r="S18" i="4" s="1"/>
  <c r="AC18" i="4"/>
  <c r="AD18" i="4" s="1"/>
  <c r="F22" i="3"/>
  <c r="G22" i="3"/>
  <c r="Q21" i="3"/>
  <c r="AB21" i="3" s="1"/>
  <c r="H22" i="3"/>
  <c r="K21" i="3"/>
  <c r="V21" i="3" s="1"/>
  <c r="X21" i="3" s="1"/>
  <c r="N21" i="3"/>
  <c r="AA21" i="3"/>
  <c r="L21" i="3"/>
  <c r="P21" i="3"/>
  <c r="I21" i="3"/>
  <c r="W21" i="3"/>
  <c r="Y21" i="3" s="1"/>
  <c r="M21" i="3"/>
  <c r="E22" i="3"/>
  <c r="R20" i="3"/>
  <c r="S20" i="3" s="1"/>
  <c r="AC19" i="4" l="1"/>
  <c r="AD19" i="4" s="1"/>
  <c r="R19" i="4"/>
  <c r="S19" i="4" s="1"/>
  <c r="K20" i="4"/>
  <c r="V20" i="4" s="1"/>
  <c r="X20" i="4" s="1"/>
  <c r="P20" i="4"/>
  <c r="E21" i="4"/>
  <c r="W20" i="4"/>
  <c r="Y20" i="4" s="1"/>
  <c r="L20" i="4"/>
  <c r="M20" i="4"/>
  <c r="N20" i="4"/>
  <c r="AA20" i="4"/>
  <c r="I20" i="4"/>
  <c r="Q20" i="4"/>
  <c r="AB20" i="4" s="1"/>
  <c r="G21" i="4"/>
  <c r="F21" i="4"/>
  <c r="H21" i="4"/>
  <c r="W22" i="3"/>
  <c r="Y22" i="3" s="1"/>
  <c r="P22" i="3"/>
  <c r="I22" i="3"/>
  <c r="AA22" i="3"/>
  <c r="M22" i="3"/>
  <c r="E23" i="3"/>
  <c r="L22" i="3"/>
  <c r="K22" i="3"/>
  <c r="V22" i="3" s="1"/>
  <c r="X22" i="3" s="1"/>
  <c r="N22" i="3"/>
  <c r="H23" i="3"/>
  <c r="R21" i="3"/>
  <c r="S21" i="3" s="1"/>
  <c r="F23" i="3"/>
  <c r="G23" i="3"/>
  <c r="Q22" i="3"/>
  <c r="AB22" i="3" s="1"/>
  <c r="AC21" i="3"/>
  <c r="AD21" i="3" s="1"/>
  <c r="H22" i="4" l="1"/>
  <c r="Q21" i="4"/>
  <c r="AB21" i="4" s="1"/>
  <c r="F22" i="4"/>
  <c r="G22" i="4"/>
  <c r="AC20" i="4"/>
  <c r="AD20" i="4" s="1"/>
  <c r="R20" i="4"/>
  <c r="S20" i="4" s="1"/>
  <c r="AC22" i="3"/>
  <c r="AD22" i="3" s="1"/>
  <c r="R22" i="3"/>
  <c r="S22" i="3" s="1"/>
  <c r="M21" i="4"/>
  <c r="I21" i="4"/>
  <c r="N21" i="4"/>
  <c r="AA21" i="4"/>
  <c r="L21" i="4"/>
  <c r="E22" i="4"/>
  <c r="W21" i="4"/>
  <c r="Y21" i="4" s="1"/>
  <c r="K21" i="4"/>
  <c r="V21" i="4" s="1"/>
  <c r="X21" i="4" s="1"/>
  <c r="P21" i="4"/>
  <c r="W23" i="3"/>
  <c r="Y23" i="3" s="1"/>
  <c r="I23" i="3"/>
  <c r="E24" i="3"/>
  <c r="K23" i="3"/>
  <c r="V23" i="3" s="1"/>
  <c r="X23" i="3" s="1"/>
  <c r="AA23" i="3"/>
  <c r="M23" i="3"/>
  <c r="N23" i="3"/>
  <c r="P23" i="3"/>
  <c r="L23" i="3"/>
  <c r="H24" i="3"/>
  <c r="G24" i="3"/>
  <c r="F24" i="3"/>
  <c r="Q23" i="3"/>
  <c r="AB23" i="3" s="1"/>
  <c r="AC21" i="4" l="1"/>
  <c r="AD21" i="4" s="1"/>
  <c r="R21" i="4"/>
  <c r="S21" i="4" s="1"/>
  <c r="G23" i="4"/>
  <c r="F23" i="4"/>
  <c r="Q22" i="4"/>
  <c r="AB22" i="4" s="1"/>
  <c r="AC23" i="3"/>
  <c r="AD23" i="3" s="1"/>
  <c r="E23" i="4"/>
  <c r="I22" i="4"/>
  <c r="H23" i="4"/>
  <c r="P22" i="4"/>
  <c r="N22" i="4"/>
  <c r="M22" i="4"/>
  <c r="L22" i="4"/>
  <c r="AA22" i="4"/>
  <c r="K22" i="4"/>
  <c r="V22" i="4" s="1"/>
  <c r="X22" i="4" s="1"/>
  <c r="W22" i="4"/>
  <c r="Y22" i="4" s="1"/>
  <c r="Q24" i="3"/>
  <c r="AB24" i="3" s="1"/>
  <c r="F25" i="3"/>
  <c r="G25" i="3"/>
  <c r="M24" i="3"/>
  <c r="E25" i="3"/>
  <c r="N24" i="3"/>
  <c r="AA24" i="3"/>
  <c r="P24" i="3"/>
  <c r="W24" i="3"/>
  <c r="Y24" i="3" s="1"/>
  <c r="L24" i="3"/>
  <c r="K24" i="3"/>
  <c r="V24" i="3" s="1"/>
  <c r="X24" i="3" s="1"/>
  <c r="I24" i="3"/>
  <c r="H25" i="3"/>
  <c r="R23" i="3"/>
  <c r="S23" i="3" s="1"/>
  <c r="H26" i="3" l="1"/>
  <c r="H24" i="4"/>
  <c r="AC22" i="4"/>
  <c r="AD22" i="4" s="1"/>
  <c r="R22" i="4"/>
  <c r="S22" i="4" s="1"/>
  <c r="G24" i="4"/>
  <c r="F24" i="4"/>
  <c r="Q23" i="4"/>
  <c r="AB23" i="4" s="1"/>
  <c r="M23" i="4"/>
  <c r="K23" i="4"/>
  <c r="V23" i="4" s="1"/>
  <c r="X23" i="4" s="1"/>
  <c r="I23" i="4"/>
  <c r="W23" i="4"/>
  <c r="Y23" i="4" s="1"/>
  <c r="L23" i="4"/>
  <c r="AA23" i="4"/>
  <c r="E24" i="4"/>
  <c r="N23" i="4"/>
  <c r="P23" i="4"/>
  <c r="R24" i="3"/>
  <c r="S24" i="3" s="1"/>
  <c r="M25" i="3"/>
  <c r="W25" i="3"/>
  <c r="Y25" i="3" s="1"/>
  <c r="AA25" i="3"/>
  <c r="L25" i="3"/>
  <c r="P25" i="3"/>
  <c r="I25" i="3"/>
  <c r="E26" i="3"/>
  <c r="K25" i="3"/>
  <c r="V25" i="3" s="1"/>
  <c r="X25" i="3" s="1"/>
  <c r="N25" i="3"/>
  <c r="Q25" i="3"/>
  <c r="AB25" i="3" s="1"/>
  <c r="F26" i="3"/>
  <c r="G26" i="3"/>
  <c r="AC24" i="3"/>
  <c r="AD24" i="3" s="1"/>
  <c r="AC23" i="4" l="1"/>
  <c r="AD23" i="4" s="1"/>
  <c r="R25" i="3"/>
  <c r="S25" i="3" s="1"/>
  <c r="AC25" i="3"/>
  <c r="AD25" i="3" s="1"/>
  <c r="R23" i="4"/>
  <c r="S23" i="4" s="1"/>
  <c r="H25" i="4"/>
  <c r="E25" i="4"/>
  <c r="K24" i="4"/>
  <c r="V24" i="4" s="1"/>
  <c r="X24" i="4" s="1"/>
  <c r="AA24" i="4"/>
  <c r="M24" i="4"/>
  <c r="W24" i="4"/>
  <c r="Y24" i="4" s="1"/>
  <c r="L24" i="4"/>
  <c r="N24" i="4"/>
  <c r="P24" i="4"/>
  <c r="I24" i="4"/>
  <c r="G25" i="4"/>
  <c r="Q24" i="4"/>
  <c r="AB24" i="4" s="1"/>
  <c r="F25" i="4"/>
  <c r="F27" i="3"/>
  <c r="Q26" i="3"/>
  <c r="AB26" i="3" s="1"/>
  <c r="G27" i="3"/>
  <c r="P26" i="3"/>
  <c r="L26" i="3"/>
  <c r="E27" i="3"/>
  <c r="I26" i="3"/>
  <c r="AA26" i="3"/>
  <c r="N26" i="3"/>
  <c r="W26" i="3"/>
  <c r="Y26" i="3" s="1"/>
  <c r="K26" i="3"/>
  <c r="V26" i="3" s="1"/>
  <c r="X26" i="3" s="1"/>
  <c r="M26" i="3"/>
  <c r="H27" i="3"/>
  <c r="R24" i="4" l="1"/>
  <c r="S24" i="4" s="1"/>
  <c r="AC26" i="3"/>
  <c r="AD26" i="3" s="1"/>
  <c r="R26" i="3"/>
  <c r="S26" i="3" s="1"/>
  <c r="AC24" i="4"/>
  <c r="AD24" i="4" s="1"/>
  <c r="E26" i="4"/>
  <c r="P25" i="4"/>
  <c r="I25" i="4"/>
  <c r="K25" i="4"/>
  <c r="V25" i="4" s="1"/>
  <c r="X25" i="4" s="1"/>
  <c r="L25" i="4"/>
  <c r="W25" i="4"/>
  <c r="Y25" i="4" s="1"/>
  <c r="N25" i="4"/>
  <c r="AA25" i="4"/>
  <c r="M25" i="4"/>
  <c r="F26" i="4"/>
  <c r="G26" i="4"/>
  <c r="Q25" i="4"/>
  <c r="AB25" i="4" s="1"/>
  <c r="H26" i="4"/>
  <c r="P27" i="3"/>
  <c r="L27" i="3"/>
  <c r="K27" i="3"/>
  <c r="V27" i="3" s="1"/>
  <c r="X27" i="3" s="1"/>
  <c r="M27" i="3"/>
  <c r="AA27" i="3"/>
  <c r="W27" i="3"/>
  <c r="Y27" i="3" s="1"/>
  <c r="N27" i="3"/>
  <c r="I27" i="3"/>
  <c r="E28" i="3"/>
  <c r="H28" i="3"/>
  <c r="G28" i="3"/>
  <c r="Q27" i="3"/>
  <c r="AB27" i="3" s="1"/>
  <c r="F28" i="3"/>
  <c r="H29" i="3" l="1"/>
  <c r="H27" i="4"/>
  <c r="E27" i="4"/>
  <c r="W26" i="4"/>
  <c r="Y26" i="4" s="1"/>
  <c r="I26" i="4"/>
  <c r="P26" i="4"/>
  <c r="M26" i="4"/>
  <c r="K26" i="4"/>
  <c r="V26" i="4" s="1"/>
  <c r="X26" i="4" s="1"/>
  <c r="AA26" i="4"/>
  <c r="N26" i="4"/>
  <c r="L26" i="4"/>
  <c r="F27" i="4"/>
  <c r="Q26" i="4"/>
  <c r="AB26" i="4" s="1"/>
  <c r="G27" i="4"/>
  <c r="AC25" i="4"/>
  <c r="AD25" i="4" s="1"/>
  <c r="R25" i="4"/>
  <c r="S25" i="4" s="1"/>
  <c r="AC27" i="3"/>
  <c r="AD27" i="3" s="1"/>
  <c r="E29" i="3"/>
  <c r="AA28" i="3"/>
  <c r="L28" i="3"/>
  <c r="I28" i="3"/>
  <c r="P28" i="3"/>
  <c r="K28" i="3"/>
  <c r="V28" i="3" s="1"/>
  <c r="X28" i="3" s="1"/>
  <c r="N28" i="3"/>
  <c r="W28" i="3"/>
  <c r="Y28" i="3" s="1"/>
  <c r="M28" i="3"/>
  <c r="R27" i="3"/>
  <c r="S27" i="3" s="1"/>
  <c r="F29" i="3"/>
  <c r="G29" i="3"/>
  <c r="Q28" i="3"/>
  <c r="AB28" i="3" s="1"/>
  <c r="H30" i="3" l="1"/>
  <c r="AC28" i="3"/>
  <c r="AD28" i="3" s="1"/>
  <c r="G28" i="4"/>
  <c r="F28" i="4"/>
  <c r="Q27" i="4"/>
  <c r="AB27" i="4" s="1"/>
  <c r="R26" i="4"/>
  <c r="S26" i="4" s="1"/>
  <c r="H28" i="4"/>
  <c r="R28" i="3"/>
  <c r="S28" i="3" s="1"/>
  <c r="AC26" i="4"/>
  <c r="AD26" i="4" s="1"/>
  <c r="M27" i="4"/>
  <c r="L27" i="4"/>
  <c r="P27" i="4"/>
  <c r="N27" i="4"/>
  <c r="E28" i="4"/>
  <c r="I27" i="4"/>
  <c r="K27" i="4"/>
  <c r="V27" i="4" s="1"/>
  <c r="X27" i="4" s="1"/>
  <c r="W27" i="4"/>
  <c r="Y27" i="4" s="1"/>
  <c r="AA27" i="4"/>
  <c r="W29" i="3"/>
  <c r="Y29" i="3" s="1"/>
  <c r="K29" i="3"/>
  <c r="V29" i="3" s="1"/>
  <c r="X29" i="3" s="1"/>
  <c r="M29" i="3"/>
  <c r="AA29" i="3"/>
  <c r="I29" i="3"/>
  <c r="P29" i="3"/>
  <c r="N29" i="3"/>
  <c r="L29" i="3"/>
  <c r="E30" i="3"/>
  <c r="Q29" i="3"/>
  <c r="AB29" i="3" s="1"/>
  <c r="F30" i="3"/>
  <c r="G30" i="3"/>
  <c r="AC27" i="4" l="1"/>
  <c r="AD27" i="4" s="1"/>
  <c r="R27" i="4"/>
  <c r="S27" i="4" s="1"/>
  <c r="H29" i="4"/>
  <c r="I28" i="4"/>
  <c r="E29" i="4"/>
  <c r="N28" i="4"/>
  <c r="W28" i="4"/>
  <c r="Y28" i="4" s="1"/>
  <c r="P28" i="4"/>
  <c r="K28" i="4"/>
  <c r="V28" i="4" s="1"/>
  <c r="X28" i="4" s="1"/>
  <c r="L28" i="4"/>
  <c r="M28" i="4"/>
  <c r="AA28" i="4"/>
  <c r="G29" i="4"/>
  <c r="F29" i="4"/>
  <c r="Q28" i="4"/>
  <c r="AB28" i="4" s="1"/>
  <c r="F31" i="3"/>
  <c r="G31" i="3"/>
  <c r="Q30" i="3"/>
  <c r="AB30" i="3" s="1"/>
  <c r="AC29" i="3"/>
  <c r="AD29" i="3" s="1"/>
  <c r="H31" i="3"/>
  <c r="I30" i="3"/>
  <c r="AA30" i="3"/>
  <c r="L30" i="3"/>
  <c r="W30" i="3"/>
  <c r="Y30" i="3" s="1"/>
  <c r="K30" i="3"/>
  <c r="V30" i="3" s="1"/>
  <c r="X30" i="3" s="1"/>
  <c r="P30" i="3"/>
  <c r="N30" i="3"/>
  <c r="E31" i="3"/>
  <c r="M30" i="3"/>
  <c r="R29" i="3"/>
  <c r="S29" i="3" s="1"/>
  <c r="R30" i="3" l="1"/>
  <c r="S30" i="3" s="1"/>
  <c r="F30" i="4"/>
  <c r="G30" i="4"/>
  <c r="Q29" i="4"/>
  <c r="AB29" i="4" s="1"/>
  <c r="AC28" i="4"/>
  <c r="AD28" i="4" s="1"/>
  <c r="R28" i="4"/>
  <c r="S28" i="4" s="1"/>
  <c r="E30" i="4"/>
  <c r="AA29" i="4"/>
  <c r="N29" i="4"/>
  <c r="M29" i="4"/>
  <c r="K29" i="4"/>
  <c r="V29" i="4" s="1"/>
  <c r="X29" i="4" s="1"/>
  <c r="I29" i="4"/>
  <c r="L29" i="4"/>
  <c r="P29" i="4"/>
  <c r="W29" i="4"/>
  <c r="Y29" i="4" s="1"/>
  <c r="H30" i="4"/>
  <c r="AC30" i="3"/>
  <c r="AD30" i="3" s="1"/>
  <c r="AA31" i="3"/>
  <c r="K31" i="3"/>
  <c r="V31" i="3" s="1"/>
  <c r="X31" i="3" s="1"/>
  <c r="N31" i="3"/>
  <c r="M31" i="3"/>
  <c r="I31" i="3"/>
  <c r="L31" i="3"/>
  <c r="P31" i="3"/>
  <c r="E32" i="3"/>
  <c r="W31" i="3"/>
  <c r="Y31" i="3" s="1"/>
  <c r="H32" i="3"/>
  <c r="F32" i="3"/>
  <c r="G32" i="3"/>
  <c r="Q31" i="3"/>
  <c r="AB31" i="3" s="1"/>
  <c r="R29" i="4" l="1"/>
  <c r="S29" i="4" s="1"/>
  <c r="AC29" i="4"/>
  <c r="AD29" i="4" s="1"/>
  <c r="H31" i="4"/>
  <c r="H33" i="3"/>
  <c r="E31" i="4"/>
  <c r="M30" i="4"/>
  <c r="P30" i="4"/>
  <c r="N30" i="4"/>
  <c r="AA30" i="4"/>
  <c r="L30" i="4"/>
  <c r="K30" i="4"/>
  <c r="V30" i="4" s="1"/>
  <c r="X30" i="4" s="1"/>
  <c r="W30" i="4"/>
  <c r="Y30" i="4" s="1"/>
  <c r="I30" i="4"/>
  <c r="AC31" i="3"/>
  <c r="AD31" i="3" s="1"/>
  <c r="G31" i="4"/>
  <c r="F31" i="4"/>
  <c r="Q30" i="4"/>
  <c r="AB30" i="4" s="1"/>
  <c r="L32" i="3"/>
  <c r="E33" i="3"/>
  <c r="K32" i="3"/>
  <c r="V32" i="3" s="1"/>
  <c r="X32" i="3" s="1"/>
  <c r="AA32" i="3"/>
  <c r="I32" i="3"/>
  <c r="P32" i="3"/>
  <c r="N32" i="3"/>
  <c r="M32" i="3"/>
  <c r="W32" i="3"/>
  <c r="Y32" i="3" s="1"/>
  <c r="R31" i="3"/>
  <c r="S31" i="3" s="1"/>
  <c r="Q32" i="3"/>
  <c r="AB32" i="3" s="1"/>
  <c r="G33" i="3"/>
  <c r="F33" i="3"/>
  <c r="AC30" i="4" l="1"/>
  <c r="AD30" i="4" s="1"/>
  <c r="R30" i="4"/>
  <c r="S30" i="4" s="1"/>
  <c r="H32" i="4"/>
  <c r="E32" i="4"/>
  <c r="K31" i="4"/>
  <c r="V31" i="4" s="1"/>
  <c r="X31" i="4" s="1"/>
  <c r="P31" i="4"/>
  <c r="L31" i="4"/>
  <c r="M31" i="4"/>
  <c r="N31" i="4"/>
  <c r="AA31" i="4"/>
  <c r="W31" i="4"/>
  <c r="Y31" i="4" s="1"/>
  <c r="I31" i="4"/>
  <c r="F32" i="4"/>
  <c r="Q31" i="4"/>
  <c r="AB31" i="4" s="1"/>
  <c r="G32" i="4"/>
  <c r="F34" i="3"/>
  <c r="Q33" i="3"/>
  <c r="AB33" i="3" s="1"/>
  <c r="G34" i="3"/>
  <c r="R32" i="3"/>
  <c r="S32" i="3" s="1"/>
  <c r="AC32" i="3"/>
  <c r="AD32" i="3" s="1"/>
  <c r="P33" i="3"/>
  <c r="L33" i="3"/>
  <c r="E34" i="3"/>
  <c r="M33" i="3"/>
  <c r="W33" i="3"/>
  <c r="Y33" i="3" s="1"/>
  <c r="AA33" i="3"/>
  <c r="N33" i="3"/>
  <c r="I33" i="3"/>
  <c r="K33" i="3"/>
  <c r="V33" i="3" s="1"/>
  <c r="X33" i="3" s="1"/>
  <c r="H34" i="3"/>
  <c r="AC33" i="3" l="1"/>
  <c r="AD33" i="3" s="1"/>
  <c r="AC31" i="4"/>
  <c r="AD31" i="4" s="1"/>
  <c r="R31" i="4"/>
  <c r="S31" i="4" s="1"/>
  <c r="AA32" i="4"/>
  <c r="N32" i="4"/>
  <c r="I32" i="4"/>
  <c r="E33" i="4"/>
  <c r="W32" i="4"/>
  <c r="Y32" i="4" s="1"/>
  <c r="K32" i="4"/>
  <c r="V32" i="4" s="1"/>
  <c r="X32" i="4" s="1"/>
  <c r="M32" i="4"/>
  <c r="L32" i="4"/>
  <c r="P32" i="4"/>
  <c r="Q32" i="4"/>
  <c r="AB32" i="4" s="1"/>
  <c r="F33" i="4"/>
  <c r="G33" i="4"/>
  <c r="H33" i="4"/>
  <c r="H35" i="3"/>
  <c r="AA34" i="3"/>
  <c r="W34" i="3"/>
  <c r="Y34" i="3" s="1"/>
  <c r="I34" i="3"/>
  <c r="K34" i="3"/>
  <c r="V34" i="3" s="1"/>
  <c r="X34" i="3" s="1"/>
  <c r="N34" i="3"/>
  <c r="L34" i="3"/>
  <c r="E35" i="3"/>
  <c r="P34" i="3"/>
  <c r="M34" i="3"/>
  <c r="R33" i="3"/>
  <c r="S33" i="3" s="1"/>
  <c r="F35" i="3"/>
  <c r="Q34" i="3"/>
  <c r="AB34" i="3" s="1"/>
  <c r="G35" i="3"/>
  <c r="H34" i="4" l="1"/>
  <c r="R32" i="4"/>
  <c r="S32" i="4" s="1"/>
  <c r="H36" i="3"/>
  <c r="E34" i="4"/>
  <c r="P33" i="4"/>
  <c r="I33" i="4"/>
  <c r="W33" i="4"/>
  <c r="Y33" i="4" s="1"/>
  <c r="AA33" i="4"/>
  <c r="L33" i="4"/>
  <c r="M33" i="4"/>
  <c r="K33" i="4"/>
  <c r="V33" i="4" s="1"/>
  <c r="X33" i="4" s="1"/>
  <c r="N33" i="4"/>
  <c r="F34" i="4"/>
  <c r="G34" i="4"/>
  <c r="Q33" i="4"/>
  <c r="AB33" i="4" s="1"/>
  <c r="AC32" i="4"/>
  <c r="AD32" i="4" s="1"/>
  <c r="AC34" i="3"/>
  <c r="AD34" i="3" s="1"/>
  <c r="R34" i="3"/>
  <c r="S34" i="3" s="1"/>
  <c r="Q35" i="3"/>
  <c r="AB35" i="3" s="1"/>
  <c r="F36" i="3"/>
  <c r="G36" i="3"/>
  <c r="L35" i="3"/>
  <c r="AA35" i="3"/>
  <c r="N35" i="3"/>
  <c r="P35" i="3"/>
  <c r="M35" i="3"/>
  <c r="I35" i="3"/>
  <c r="E36" i="3"/>
  <c r="W35" i="3"/>
  <c r="Y35" i="3" s="1"/>
  <c r="K35" i="3"/>
  <c r="V35" i="3" s="1"/>
  <c r="X35" i="3" s="1"/>
  <c r="R35" i="3" l="1"/>
  <c r="S35" i="3" s="1"/>
  <c r="AC35" i="3"/>
  <c r="AD35" i="3" s="1"/>
  <c r="H37" i="3"/>
  <c r="AC33" i="4"/>
  <c r="AD33" i="4" s="1"/>
  <c r="I34" i="4"/>
  <c r="AA34" i="4"/>
  <c r="P34" i="4"/>
  <c r="M34" i="4"/>
  <c r="H35" i="4"/>
  <c r="E35" i="4"/>
  <c r="N34" i="4"/>
  <c r="K34" i="4"/>
  <c r="V34" i="4" s="1"/>
  <c r="X34" i="4" s="1"/>
  <c r="W34" i="4"/>
  <c r="Y34" i="4" s="1"/>
  <c r="L34" i="4"/>
  <c r="Q34" i="4"/>
  <c r="AB34" i="4" s="1"/>
  <c r="F35" i="4"/>
  <c r="G35" i="4"/>
  <c r="R33" i="4"/>
  <c r="S33" i="4" s="1"/>
  <c r="M36" i="3"/>
  <c r="W36" i="3"/>
  <c r="Y36" i="3" s="1"/>
  <c r="N36" i="3"/>
  <c r="AA36" i="3"/>
  <c r="I36" i="3"/>
  <c r="P36" i="3"/>
  <c r="K36" i="3"/>
  <c r="V36" i="3" s="1"/>
  <c r="X36" i="3" s="1"/>
  <c r="L36" i="3"/>
  <c r="E37" i="3"/>
  <c r="G37" i="3"/>
  <c r="F37" i="3"/>
  <c r="Q36" i="3"/>
  <c r="AB36" i="3" s="1"/>
  <c r="AC34" i="4" l="1"/>
  <c r="AD34" i="4" s="1"/>
  <c r="H36" i="4"/>
  <c r="R34" i="4"/>
  <c r="S34" i="4" s="1"/>
  <c r="R36" i="3"/>
  <c r="S36" i="3" s="1"/>
  <c r="Q35" i="4"/>
  <c r="AB35" i="4" s="1"/>
  <c r="F36" i="4"/>
  <c r="G36" i="4"/>
  <c r="N35" i="4"/>
  <c r="L35" i="4"/>
  <c r="I35" i="4"/>
  <c r="M35" i="4"/>
  <c r="E36" i="4"/>
  <c r="W35" i="4"/>
  <c r="Y35" i="4" s="1"/>
  <c r="P35" i="4"/>
  <c r="AA35" i="4"/>
  <c r="K35" i="4"/>
  <c r="V35" i="4" s="1"/>
  <c r="X35" i="4" s="1"/>
  <c r="G38" i="3"/>
  <c r="Q37" i="3"/>
  <c r="AB37" i="3" s="1"/>
  <c r="F38" i="3"/>
  <c r="W37" i="3"/>
  <c r="Y37" i="3" s="1"/>
  <c r="I37" i="3"/>
  <c r="AA37" i="3"/>
  <c r="N37" i="3"/>
  <c r="P37" i="3"/>
  <c r="K37" i="3"/>
  <c r="V37" i="3" s="1"/>
  <c r="X37" i="3" s="1"/>
  <c r="M37" i="3"/>
  <c r="L37" i="3"/>
  <c r="E38" i="3"/>
  <c r="AC36" i="3"/>
  <c r="AD36" i="3" s="1"/>
  <c r="H38" i="3"/>
  <c r="AC35" i="4" l="1"/>
  <c r="AD35" i="4" s="1"/>
  <c r="R37" i="3"/>
  <c r="S37" i="3" s="1"/>
  <c r="AC37" i="3"/>
  <c r="AD37" i="3" s="1"/>
  <c r="H39" i="3"/>
  <c r="R35" i="4"/>
  <c r="S35" i="4" s="1"/>
  <c r="K36" i="4"/>
  <c r="V36" i="4" s="1"/>
  <c r="X36" i="4" s="1"/>
  <c r="P36" i="4"/>
  <c r="L36" i="4"/>
  <c r="AA36" i="4"/>
  <c r="E37" i="4"/>
  <c r="I36" i="4"/>
  <c r="W36" i="4"/>
  <c r="Y36" i="4" s="1"/>
  <c r="M36" i="4"/>
  <c r="N36" i="4"/>
  <c r="G37" i="4"/>
  <c r="Q36" i="4"/>
  <c r="AB36" i="4" s="1"/>
  <c r="F37" i="4"/>
  <c r="H37" i="4"/>
  <c r="K38" i="3"/>
  <c r="V38" i="3" s="1"/>
  <c r="X38" i="3" s="1"/>
  <c r="M38" i="3"/>
  <c r="AA38" i="3"/>
  <c r="L38" i="3"/>
  <c r="E39" i="3"/>
  <c r="W38" i="3"/>
  <c r="Y38" i="3" s="1"/>
  <c r="P38" i="3"/>
  <c r="N38" i="3"/>
  <c r="I38" i="3"/>
  <c r="F39" i="3"/>
  <c r="Q38" i="3"/>
  <c r="AB38" i="3" s="1"/>
  <c r="G39" i="3"/>
  <c r="H38" i="4" l="1"/>
  <c r="H40" i="3"/>
  <c r="AC38" i="3"/>
  <c r="AD38" i="3" s="1"/>
  <c r="F38" i="4"/>
  <c r="Q37" i="4"/>
  <c r="AB37" i="4" s="1"/>
  <c r="G38" i="4"/>
  <c r="AC36" i="4"/>
  <c r="AD36" i="4" s="1"/>
  <c r="R36" i="4"/>
  <c r="S36" i="4" s="1"/>
  <c r="K37" i="4"/>
  <c r="V37" i="4" s="1"/>
  <c r="X37" i="4" s="1"/>
  <c r="W37" i="4"/>
  <c r="Y37" i="4" s="1"/>
  <c r="E38" i="4"/>
  <c r="N37" i="4"/>
  <c r="AA37" i="4"/>
  <c r="I37" i="4"/>
  <c r="L37" i="4"/>
  <c r="P37" i="4"/>
  <c r="M37" i="4"/>
  <c r="R38" i="3"/>
  <c r="S38" i="3" s="1"/>
  <c r="G40" i="3"/>
  <c r="F40" i="3"/>
  <c r="Q39" i="3"/>
  <c r="AB39" i="3" s="1"/>
  <c r="E40" i="3"/>
  <c r="K39" i="3"/>
  <c r="V39" i="3" s="1"/>
  <c r="X39" i="3" s="1"/>
  <c r="AA39" i="3"/>
  <c r="M39" i="3"/>
  <c r="W39" i="3"/>
  <c r="Y39" i="3" s="1"/>
  <c r="L39" i="3"/>
  <c r="P39" i="3"/>
  <c r="I39" i="3"/>
  <c r="N39" i="3"/>
  <c r="AC37" i="4" l="1"/>
  <c r="AD37" i="4" s="1"/>
  <c r="R39" i="3"/>
  <c r="S39" i="3" s="1"/>
  <c r="R37" i="4"/>
  <c r="S37" i="4" s="1"/>
  <c r="AC39" i="3"/>
  <c r="AD39" i="3" s="1"/>
  <c r="H39" i="4"/>
  <c r="I38" i="4"/>
  <c r="L38" i="4"/>
  <c r="W38" i="4"/>
  <c r="Y38" i="4" s="1"/>
  <c r="AA38" i="4"/>
  <c r="P38" i="4"/>
  <c r="E39" i="4"/>
  <c r="M38" i="4"/>
  <c r="K38" i="4"/>
  <c r="V38" i="4" s="1"/>
  <c r="X38" i="4" s="1"/>
  <c r="N38" i="4"/>
  <c r="F39" i="4"/>
  <c r="G39" i="4"/>
  <c r="Q38" i="4"/>
  <c r="AB38" i="4" s="1"/>
  <c r="Q40" i="3"/>
  <c r="AB40" i="3" s="1"/>
  <c r="F41" i="3"/>
  <c r="G41" i="3"/>
  <c r="H41" i="3"/>
  <c r="M40" i="3"/>
  <c r="L40" i="3"/>
  <c r="E41" i="3"/>
  <c r="I40" i="3"/>
  <c r="K40" i="3"/>
  <c r="V40" i="3" s="1"/>
  <c r="X40" i="3" s="1"/>
  <c r="N40" i="3"/>
  <c r="W40" i="3"/>
  <c r="Y40" i="3" s="1"/>
  <c r="AA40" i="3"/>
  <c r="P40" i="3"/>
  <c r="R38" i="4" l="1"/>
  <c r="S38" i="4" s="1"/>
  <c r="AC40" i="3"/>
  <c r="AD40" i="3" s="1"/>
  <c r="H42" i="3"/>
  <c r="R40" i="3"/>
  <c r="S40" i="3" s="1"/>
  <c r="F40" i="4"/>
  <c r="G40" i="4"/>
  <c r="Q39" i="4"/>
  <c r="AB39" i="4" s="1"/>
  <c r="I39" i="4"/>
  <c r="L39" i="4"/>
  <c r="W39" i="4"/>
  <c r="Y39" i="4" s="1"/>
  <c r="K39" i="4"/>
  <c r="V39" i="4" s="1"/>
  <c r="X39" i="4" s="1"/>
  <c r="E40" i="4"/>
  <c r="P39" i="4"/>
  <c r="M39" i="4"/>
  <c r="N39" i="4"/>
  <c r="AA39" i="4"/>
  <c r="AC38" i="4"/>
  <c r="AD38" i="4" s="1"/>
  <c r="H40" i="4"/>
  <c r="L41" i="3"/>
  <c r="AA41" i="3"/>
  <c r="K41" i="3"/>
  <c r="V41" i="3" s="1"/>
  <c r="X41" i="3" s="1"/>
  <c r="I41" i="3"/>
  <c r="W41" i="3"/>
  <c r="Y41" i="3" s="1"/>
  <c r="N41" i="3"/>
  <c r="E42" i="3"/>
  <c r="M41" i="3"/>
  <c r="P41" i="3"/>
  <c r="F42" i="3"/>
  <c r="Q41" i="3"/>
  <c r="AB41" i="3" s="1"/>
  <c r="G42" i="3"/>
  <c r="R39" i="4" l="1"/>
  <c r="S39" i="4" s="1"/>
  <c r="H41" i="4"/>
  <c r="AC39" i="4"/>
  <c r="AD39" i="4" s="1"/>
  <c r="R41" i="3"/>
  <c r="S41" i="3" s="1"/>
  <c r="F41" i="4"/>
  <c r="G41" i="4"/>
  <c r="Q40" i="4"/>
  <c r="AB40" i="4" s="1"/>
  <c r="AC41" i="3"/>
  <c r="AD41" i="3" s="1"/>
  <c r="K40" i="4"/>
  <c r="V40" i="4" s="1"/>
  <c r="X40" i="4" s="1"/>
  <c r="M40" i="4"/>
  <c r="I40" i="4"/>
  <c r="E41" i="4"/>
  <c r="W40" i="4"/>
  <c r="Y40" i="4" s="1"/>
  <c r="AA40" i="4"/>
  <c r="N40" i="4"/>
  <c r="P40" i="4"/>
  <c r="L40" i="4"/>
  <c r="AA42" i="3"/>
  <c r="I42" i="3"/>
  <c r="L42" i="3"/>
  <c r="M42" i="3"/>
  <c r="N42" i="3"/>
  <c r="K42" i="3"/>
  <c r="V42" i="3" s="1"/>
  <c r="X42" i="3" s="1"/>
  <c r="E43" i="3"/>
  <c r="W42" i="3"/>
  <c r="Y42" i="3" s="1"/>
  <c r="P42" i="3"/>
  <c r="F43" i="3"/>
  <c r="G43" i="3"/>
  <c r="Q42" i="3"/>
  <c r="AB42" i="3" s="1"/>
  <c r="H43" i="3"/>
  <c r="H44" i="3" l="1"/>
  <c r="R40" i="4"/>
  <c r="S40" i="4" s="1"/>
  <c r="AC40" i="4"/>
  <c r="AD40" i="4" s="1"/>
  <c r="E42" i="4"/>
  <c r="N41" i="4"/>
  <c r="K41" i="4"/>
  <c r="V41" i="4" s="1"/>
  <c r="X41" i="4" s="1"/>
  <c r="L41" i="4"/>
  <c r="I41" i="4"/>
  <c r="P41" i="4"/>
  <c r="AA41" i="4"/>
  <c r="W41" i="4"/>
  <c r="Y41" i="4" s="1"/>
  <c r="M41" i="4"/>
  <c r="H42" i="4"/>
  <c r="Q41" i="4"/>
  <c r="AB41" i="4" s="1"/>
  <c r="F42" i="4"/>
  <c r="G42" i="4"/>
  <c r="AA43" i="3"/>
  <c r="M43" i="3"/>
  <c r="K43" i="3"/>
  <c r="V43" i="3" s="1"/>
  <c r="X43" i="3" s="1"/>
  <c r="I43" i="3"/>
  <c r="P43" i="3"/>
  <c r="W43" i="3"/>
  <c r="Y43" i="3" s="1"/>
  <c r="N43" i="3"/>
  <c r="L43" i="3"/>
  <c r="E44" i="3"/>
  <c r="G44" i="3"/>
  <c r="Q43" i="3"/>
  <c r="AB43" i="3" s="1"/>
  <c r="F44" i="3"/>
  <c r="R42" i="3"/>
  <c r="S42" i="3" s="1"/>
  <c r="AC42" i="3"/>
  <c r="AD42" i="3" s="1"/>
  <c r="H45" i="3" l="1"/>
  <c r="R43" i="3"/>
  <c r="S43" i="3" s="1"/>
  <c r="Q42" i="4"/>
  <c r="AB42" i="4" s="1"/>
  <c r="F43" i="4"/>
  <c r="G43" i="4"/>
  <c r="H43" i="4"/>
  <c r="R41" i="4"/>
  <c r="S41" i="4" s="1"/>
  <c r="AC41" i="4"/>
  <c r="AD41" i="4" s="1"/>
  <c r="M42" i="4"/>
  <c r="N42" i="4"/>
  <c r="I42" i="4"/>
  <c r="K42" i="4"/>
  <c r="V42" i="4" s="1"/>
  <c r="X42" i="4" s="1"/>
  <c r="L42" i="4"/>
  <c r="E43" i="4"/>
  <c r="W42" i="4"/>
  <c r="Y42" i="4" s="1"/>
  <c r="P42" i="4"/>
  <c r="AA42" i="4"/>
  <c r="F45" i="3"/>
  <c r="G45" i="3"/>
  <c r="Q44" i="3"/>
  <c r="AB44" i="3" s="1"/>
  <c r="K44" i="3"/>
  <c r="V44" i="3" s="1"/>
  <c r="X44" i="3" s="1"/>
  <c r="E45" i="3"/>
  <c r="N44" i="3"/>
  <c r="AA44" i="3"/>
  <c r="L44" i="3"/>
  <c r="I44" i="3"/>
  <c r="P44" i="3"/>
  <c r="W44" i="3"/>
  <c r="Y44" i="3" s="1"/>
  <c r="M44" i="3"/>
  <c r="AC43" i="3"/>
  <c r="AD43" i="3" s="1"/>
  <c r="AC42" i="4" l="1"/>
  <c r="AD42" i="4" s="1"/>
  <c r="AC44" i="3"/>
  <c r="AD44" i="3" s="1"/>
  <c r="R42" i="4"/>
  <c r="S42" i="4" s="1"/>
  <c r="E44" i="4"/>
  <c r="AA43" i="4"/>
  <c r="L43" i="4"/>
  <c r="M43" i="4"/>
  <c r="N43" i="4"/>
  <c r="W43" i="4"/>
  <c r="Y43" i="4" s="1"/>
  <c r="P43" i="4"/>
  <c r="K43" i="4"/>
  <c r="V43" i="4" s="1"/>
  <c r="X43" i="4" s="1"/>
  <c r="I43" i="4"/>
  <c r="F44" i="4"/>
  <c r="Q43" i="4"/>
  <c r="AB43" i="4" s="1"/>
  <c r="G44" i="4"/>
  <c r="H44" i="4"/>
  <c r="R44" i="3"/>
  <c r="S44" i="3" s="1"/>
  <c r="E46" i="3"/>
  <c r="W45" i="3"/>
  <c r="Y45" i="3" s="1"/>
  <c r="I45" i="3"/>
  <c r="M45" i="3"/>
  <c r="P45" i="3"/>
  <c r="AA45" i="3"/>
  <c r="L45" i="3"/>
  <c r="N45" i="3"/>
  <c r="K45" i="3"/>
  <c r="V45" i="3" s="1"/>
  <c r="X45" i="3" s="1"/>
  <c r="G46" i="3"/>
  <c r="F46" i="3"/>
  <c r="Q45" i="3"/>
  <c r="AB45" i="3" s="1"/>
  <c r="H46" i="3"/>
  <c r="H45" i="4" l="1"/>
  <c r="H47" i="3"/>
  <c r="R45" i="3"/>
  <c r="S45" i="3" s="1"/>
  <c r="F45" i="4"/>
  <c r="G45" i="4"/>
  <c r="Q44" i="4"/>
  <c r="AB44" i="4" s="1"/>
  <c r="AC43" i="4"/>
  <c r="AD43" i="4" s="1"/>
  <c r="AC45" i="3"/>
  <c r="AD45" i="3" s="1"/>
  <c r="R43" i="4"/>
  <c r="S43" i="4" s="1"/>
  <c r="I44" i="4"/>
  <c r="E45" i="4"/>
  <c r="AA44" i="4"/>
  <c r="M44" i="4"/>
  <c r="P44" i="4"/>
  <c r="N44" i="4"/>
  <c r="L44" i="4"/>
  <c r="K44" i="4"/>
  <c r="V44" i="4" s="1"/>
  <c r="X44" i="4" s="1"/>
  <c r="W44" i="4"/>
  <c r="Y44" i="4" s="1"/>
  <c r="K46" i="3"/>
  <c r="V46" i="3" s="1"/>
  <c r="X46" i="3" s="1"/>
  <c r="I46" i="3"/>
  <c r="M46" i="3"/>
  <c r="AA46" i="3"/>
  <c r="N46" i="3"/>
  <c r="W46" i="3"/>
  <c r="Y46" i="3" s="1"/>
  <c r="E47" i="3"/>
  <c r="P46" i="3"/>
  <c r="L46" i="3"/>
  <c r="Q46" i="3"/>
  <c r="AB46" i="3" s="1"/>
  <c r="F47" i="3"/>
  <c r="G47" i="3"/>
  <c r="R44" i="4" l="1"/>
  <c r="S44" i="4" s="1"/>
  <c r="AC44" i="4"/>
  <c r="AD44" i="4" s="1"/>
  <c r="H48" i="3"/>
  <c r="G46" i="4"/>
  <c r="Q45" i="4"/>
  <c r="AB45" i="4" s="1"/>
  <c r="F46" i="4"/>
  <c r="AC46" i="3"/>
  <c r="AD46" i="3" s="1"/>
  <c r="K45" i="4"/>
  <c r="V45" i="4" s="1"/>
  <c r="X45" i="4" s="1"/>
  <c r="E46" i="4"/>
  <c r="L45" i="4"/>
  <c r="M45" i="4"/>
  <c r="H46" i="4"/>
  <c r="AA45" i="4"/>
  <c r="N45" i="4"/>
  <c r="P45" i="4"/>
  <c r="I45" i="4"/>
  <c r="W45" i="4"/>
  <c r="Y45" i="4" s="1"/>
  <c r="K47" i="3"/>
  <c r="V47" i="3" s="1"/>
  <c r="X47" i="3" s="1"/>
  <c r="E48" i="3"/>
  <c r="I47" i="3"/>
  <c r="N47" i="3"/>
  <c r="M47" i="3"/>
  <c r="L47" i="3"/>
  <c r="P47" i="3"/>
  <c r="AA47" i="3"/>
  <c r="W47" i="3"/>
  <c r="Y47" i="3" s="1"/>
  <c r="G48" i="3"/>
  <c r="F48" i="3"/>
  <c r="Q47" i="3"/>
  <c r="AB47" i="3" s="1"/>
  <c r="R46" i="3"/>
  <c r="S46" i="3" s="1"/>
  <c r="R45" i="4" l="1"/>
  <c r="S45" i="4" s="1"/>
  <c r="AC45" i="4"/>
  <c r="AD45" i="4" s="1"/>
  <c r="H47" i="4"/>
  <c r="E47" i="4"/>
  <c r="M46" i="4"/>
  <c r="W46" i="4"/>
  <c r="Y46" i="4" s="1"/>
  <c r="I46" i="4"/>
  <c r="K46" i="4"/>
  <c r="V46" i="4" s="1"/>
  <c r="X46" i="4" s="1"/>
  <c r="L46" i="4"/>
  <c r="N46" i="4"/>
  <c r="P46" i="4"/>
  <c r="AA46" i="4"/>
  <c r="H49" i="3"/>
  <c r="F47" i="4"/>
  <c r="G47" i="4"/>
  <c r="Q46" i="4"/>
  <c r="AB46" i="4" s="1"/>
  <c r="P48" i="3"/>
  <c r="M48" i="3"/>
  <c r="W48" i="3"/>
  <c r="Y48" i="3" s="1"/>
  <c r="I48" i="3"/>
  <c r="AA48" i="3"/>
  <c r="N48" i="3"/>
  <c r="K48" i="3"/>
  <c r="V48" i="3" s="1"/>
  <c r="X48" i="3" s="1"/>
  <c r="L48" i="3"/>
  <c r="E49" i="3"/>
  <c r="AC47" i="3"/>
  <c r="AD47" i="3" s="1"/>
  <c r="Q48" i="3"/>
  <c r="AB48" i="3" s="1"/>
  <c r="G49" i="3"/>
  <c r="F49" i="3"/>
  <c r="R47" i="3"/>
  <c r="S47" i="3" s="1"/>
  <c r="R46" i="4" l="1"/>
  <c r="S46" i="4" s="1"/>
  <c r="F48" i="4"/>
  <c r="G48" i="4"/>
  <c r="Q47" i="4"/>
  <c r="AB47" i="4" s="1"/>
  <c r="AC46" i="4"/>
  <c r="AD46" i="4" s="1"/>
  <c r="H48" i="4"/>
  <c r="E48" i="4"/>
  <c r="N47" i="4"/>
  <c r="W47" i="4"/>
  <c r="Y47" i="4" s="1"/>
  <c r="I47" i="4"/>
  <c r="AA47" i="4"/>
  <c r="L47" i="4"/>
  <c r="M47" i="4"/>
  <c r="K47" i="4"/>
  <c r="V47" i="4" s="1"/>
  <c r="X47" i="4" s="1"/>
  <c r="P47" i="4"/>
  <c r="G50" i="3"/>
  <c r="Q49" i="3"/>
  <c r="AB49" i="3" s="1"/>
  <c r="F50" i="3"/>
  <c r="AC48" i="3"/>
  <c r="AD48" i="3" s="1"/>
  <c r="P49" i="3"/>
  <c r="N49" i="3"/>
  <c r="E50" i="3"/>
  <c r="K49" i="3"/>
  <c r="V49" i="3" s="1"/>
  <c r="X49" i="3" s="1"/>
  <c r="AA49" i="3"/>
  <c r="M49" i="3"/>
  <c r="L49" i="3"/>
  <c r="W49" i="3"/>
  <c r="Y49" i="3" s="1"/>
  <c r="I49" i="3"/>
  <c r="R48" i="3"/>
  <c r="S48" i="3" s="1"/>
  <c r="H50" i="3"/>
  <c r="R47" i="4" l="1"/>
  <c r="S47" i="4" s="1"/>
  <c r="AC47" i="4"/>
  <c r="AD47" i="4" s="1"/>
  <c r="AC49" i="3"/>
  <c r="AD49" i="3" s="1"/>
  <c r="R49" i="3"/>
  <c r="S49" i="3" s="1"/>
  <c r="H51" i="3"/>
  <c r="H49" i="4"/>
  <c r="Q48" i="4"/>
  <c r="AB48" i="4" s="1"/>
  <c r="F49" i="4"/>
  <c r="G49" i="4"/>
  <c r="E49" i="4"/>
  <c r="W48" i="4"/>
  <c r="Y48" i="4" s="1"/>
  <c r="K48" i="4"/>
  <c r="V48" i="4" s="1"/>
  <c r="X48" i="4" s="1"/>
  <c r="N48" i="4"/>
  <c r="M48" i="4"/>
  <c r="AA48" i="4"/>
  <c r="I48" i="4"/>
  <c r="P48" i="4"/>
  <c r="L48" i="4"/>
  <c r="P50" i="3"/>
  <c r="L50" i="3"/>
  <c r="I50" i="3"/>
  <c r="E51" i="3"/>
  <c r="N50" i="3"/>
  <c r="K50" i="3"/>
  <c r="V50" i="3" s="1"/>
  <c r="X50" i="3" s="1"/>
  <c r="AA50" i="3"/>
  <c r="M50" i="3"/>
  <c r="W50" i="3"/>
  <c r="Y50" i="3" s="1"/>
  <c r="Q50" i="3"/>
  <c r="AB50" i="3" s="1"/>
  <c r="G51" i="3"/>
  <c r="F51" i="3"/>
  <c r="Q51" i="3" s="1"/>
  <c r="R48" i="4" l="1"/>
  <c r="S48" i="4" s="1"/>
  <c r="AC48" i="4"/>
  <c r="AD48" i="4" s="1"/>
  <c r="W49" i="4"/>
  <c r="Y49" i="4" s="1"/>
  <c r="P49" i="4"/>
  <c r="L49" i="4"/>
  <c r="N49" i="4"/>
  <c r="I49" i="4"/>
  <c r="E50" i="4"/>
  <c r="K49" i="4"/>
  <c r="V49" i="4" s="1"/>
  <c r="X49" i="4" s="1"/>
  <c r="M49" i="4"/>
  <c r="AA49" i="4"/>
  <c r="G50" i="4"/>
  <c r="F50" i="4"/>
  <c r="Q49" i="4"/>
  <c r="AB49" i="4" s="1"/>
  <c r="H50" i="4"/>
  <c r="AB51" i="3"/>
  <c r="AB54" i="3" s="1"/>
  <c r="AB55" i="3" s="1"/>
  <c r="Q54" i="3"/>
  <c r="Q55" i="3" s="1"/>
  <c r="AC50" i="3"/>
  <c r="AD50" i="3" s="1"/>
  <c r="W51" i="3"/>
  <c r="K51" i="3"/>
  <c r="K54" i="3" s="1"/>
  <c r="L51" i="3"/>
  <c r="L54" i="3" s="1"/>
  <c r="L55" i="3" s="1"/>
  <c r="AA51" i="3"/>
  <c r="I51" i="3"/>
  <c r="N51" i="3"/>
  <c r="N54" i="3" s="1"/>
  <c r="N55" i="3" s="1"/>
  <c r="M51" i="3"/>
  <c r="M54" i="3" s="1"/>
  <c r="M55" i="3" s="1"/>
  <c r="P51" i="3"/>
  <c r="R50" i="3"/>
  <c r="S50" i="3" s="1"/>
  <c r="H51" i="4" l="1"/>
  <c r="AC49" i="4"/>
  <c r="AD49" i="4" s="1"/>
  <c r="E51" i="4"/>
  <c r="I50" i="4"/>
  <c r="K50" i="4"/>
  <c r="V50" i="4" s="1"/>
  <c r="X50" i="4" s="1"/>
  <c r="P50" i="4"/>
  <c r="AA50" i="4"/>
  <c r="W50" i="4"/>
  <c r="Y50" i="4" s="1"/>
  <c r="M50" i="4"/>
  <c r="N50" i="4"/>
  <c r="L50" i="4"/>
  <c r="R49" i="4"/>
  <c r="S49" i="4" s="1"/>
  <c r="Q50" i="4"/>
  <c r="F51" i="4"/>
  <c r="Q51" i="4" s="1"/>
  <c r="AB51" i="4" s="1"/>
  <c r="G51" i="4"/>
  <c r="V51" i="3"/>
  <c r="K55" i="3"/>
  <c r="Y51" i="3"/>
  <c r="Y54" i="3" s="1"/>
  <c r="Y55" i="3" s="1"/>
  <c r="E18" i="5" s="1"/>
  <c r="W54" i="3"/>
  <c r="W55" i="3" s="1"/>
  <c r="AC51" i="3"/>
  <c r="AA54" i="3"/>
  <c r="AA55" i="3" s="1"/>
  <c r="R51" i="3"/>
  <c r="P54" i="3"/>
  <c r="P55" i="3" s="1"/>
  <c r="F9" i="5"/>
  <c r="M4" i="6"/>
  <c r="E9" i="5"/>
  <c r="N4" i="6"/>
  <c r="R50" i="4" l="1"/>
  <c r="S50" i="4" s="1"/>
  <c r="AB50" i="4"/>
  <c r="Q54" i="4"/>
  <c r="Q55" i="4" s="1"/>
  <c r="W51" i="4"/>
  <c r="AA51" i="4"/>
  <c r="M51" i="4"/>
  <c r="M54" i="4" s="1"/>
  <c r="M55" i="4" s="1"/>
  <c r="N51" i="4"/>
  <c r="N54" i="4" s="1"/>
  <c r="N55" i="4" s="1"/>
  <c r="L51" i="4"/>
  <c r="L54" i="4" s="1"/>
  <c r="L55" i="4" s="1"/>
  <c r="K51" i="4"/>
  <c r="I51" i="4"/>
  <c r="P51" i="4"/>
  <c r="AD51" i="3"/>
  <c r="AD54" i="3" s="1"/>
  <c r="AD55" i="3" s="1"/>
  <c r="D18" i="5" s="1"/>
  <c r="AC54" i="3"/>
  <c r="AC55" i="3" s="1"/>
  <c r="S51" i="3"/>
  <c r="S54" i="3" s="1"/>
  <c r="S55" i="3" s="1"/>
  <c r="R54" i="3"/>
  <c r="R55" i="3" s="1"/>
  <c r="X51" i="3"/>
  <c r="X54" i="3" s="1"/>
  <c r="X55" i="3" s="1"/>
  <c r="F18" i="5" s="1"/>
  <c r="V54" i="3"/>
  <c r="V55" i="3" s="1"/>
  <c r="F10" i="5" l="1"/>
  <c r="F11" i="5" s="1"/>
  <c r="P4" i="6"/>
  <c r="Y51" i="4"/>
  <c r="Y54" i="4" s="1"/>
  <c r="Y55" i="4" s="1"/>
  <c r="E19" i="5" s="1"/>
  <c r="E20" i="5" s="1"/>
  <c r="W54" i="4"/>
  <c r="W55" i="4" s="1"/>
  <c r="AC50" i="4"/>
  <c r="AB54" i="4"/>
  <c r="AB55" i="4" s="1"/>
  <c r="R51" i="4"/>
  <c r="P54" i="4"/>
  <c r="P55" i="4" s="1"/>
  <c r="K54" i="4"/>
  <c r="K55" i="4" s="1"/>
  <c r="V51" i="4"/>
  <c r="E10" i="5"/>
  <c r="E11" i="5" s="1"/>
  <c r="Q4" i="6"/>
  <c r="AC51" i="4"/>
  <c r="AD51" i="4" s="1"/>
  <c r="AA54" i="4"/>
  <c r="AA55" i="4" s="1"/>
  <c r="L4" i="6"/>
  <c r="D9" i="5"/>
  <c r="S51" i="4" l="1"/>
  <c r="S54" i="4" s="1"/>
  <c r="S55" i="4" s="1"/>
  <c r="R54" i="4"/>
  <c r="R55" i="4" s="1"/>
  <c r="AD50" i="4"/>
  <c r="AD54" i="4" s="1"/>
  <c r="AD55" i="4" s="1"/>
  <c r="D19" i="5" s="1"/>
  <c r="D20" i="5" s="1"/>
  <c r="E23" i="5" s="1"/>
  <c r="AC54" i="4"/>
  <c r="AC55" i="4" s="1"/>
  <c r="X51" i="4"/>
  <c r="X54" i="4" s="1"/>
  <c r="X55" i="4" s="1"/>
  <c r="F19" i="5" s="1"/>
  <c r="F20" i="5" s="1"/>
  <c r="V54" i="4"/>
  <c r="V55" i="4" s="1"/>
  <c r="F23" i="5" l="1"/>
  <c r="D10" i="5"/>
  <c r="D11" i="5" s="1"/>
  <c r="O4" i="6"/>
  <c r="F14" i="5" l="1"/>
  <c r="E14" i="5"/>
</calcChain>
</file>

<file path=xl/sharedStrings.xml><?xml version="1.0" encoding="utf-8"?>
<sst xmlns="http://schemas.openxmlformats.org/spreadsheetml/2006/main" count="212" uniqueCount="107">
  <si>
    <t>Markov state diagram</t>
  </si>
  <si>
    <t>The states are represented by ovals and possible transitions between states are shown by arrows.</t>
  </si>
  <si>
    <t>State costs</t>
  </si>
  <si>
    <t>Transition costs</t>
  </si>
  <si>
    <t>Utilities</t>
  </si>
  <si>
    <t>Transition probabilities</t>
  </si>
  <si>
    <r>
      <t xml:space="preserve">Transition probabilities shown in </t>
    </r>
    <r>
      <rPr>
        <b/>
        <sz val="10"/>
        <color indexed="12"/>
        <rFont val="Arial"/>
        <family val="2"/>
      </rPr>
      <t>blue</t>
    </r>
  </si>
  <si>
    <r>
      <t xml:space="preserve">State utilities shown in </t>
    </r>
    <r>
      <rPr>
        <b/>
        <sz val="10"/>
        <color indexed="17"/>
        <rFont val="Arial"/>
        <family val="2"/>
      </rPr>
      <t>green</t>
    </r>
  </si>
  <si>
    <r>
      <t xml:space="preserve">Transition costs shown in </t>
    </r>
    <r>
      <rPr>
        <b/>
        <sz val="10"/>
        <color indexed="14"/>
        <rFont val="Arial"/>
        <family val="2"/>
      </rPr>
      <t>pink</t>
    </r>
  </si>
  <si>
    <r>
      <t xml:space="preserve">State costs shown in  </t>
    </r>
    <r>
      <rPr>
        <b/>
        <sz val="10"/>
        <color indexed="10"/>
        <rFont val="Arial"/>
        <family val="2"/>
      </rPr>
      <t>red</t>
    </r>
  </si>
  <si>
    <t>Parameters</t>
  </si>
  <si>
    <t>Costs</t>
  </si>
  <si>
    <t>cAsymp</t>
  </si>
  <si>
    <t>cProg</t>
  </si>
  <si>
    <t>cDrug</t>
  </si>
  <si>
    <t>cDeath</t>
  </si>
  <si>
    <t>Quality of life adjustments</t>
  </si>
  <si>
    <t>uAsymp</t>
  </si>
  <si>
    <t>uProg</t>
  </si>
  <si>
    <t>tpProg</t>
  </si>
  <si>
    <t>tpDcm</t>
  </si>
  <si>
    <t>natDeath</t>
  </si>
  <si>
    <t>Other parameters</t>
  </si>
  <si>
    <t>Eff</t>
  </si>
  <si>
    <t>ini_age</t>
  </si>
  <si>
    <t>oDR</t>
  </si>
  <si>
    <t>cDR</t>
  </si>
  <si>
    <r>
      <t xml:space="preserve">Parameter values and description in </t>
    </r>
    <r>
      <rPr>
        <b/>
        <sz val="10"/>
        <rFont val="Arial"/>
        <family val="2"/>
      </rPr>
      <t>&lt;Parameters&gt;</t>
    </r>
  </si>
  <si>
    <t>Name</t>
  </si>
  <si>
    <t>probabilistic sensitivity analysis</t>
  </si>
  <si>
    <t>Live value</t>
  </si>
  <si>
    <t>Probabilistic Sensitivity Analysis only</t>
  </si>
  <si>
    <t>probabilistic</t>
  </si>
  <si>
    <t>deterministic</t>
  </si>
  <si>
    <t>distribution</t>
  </si>
  <si>
    <t>Description</t>
  </si>
  <si>
    <t>Cost of one cycle in the asymptomatic disease state</t>
  </si>
  <si>
    <t>Cost associated with transition to the dead state</t>
  </si>
  <si>
    <t>Cost of drug for one cycle</t>
  </si>
  <si>
    <t>Probability of dying from the disease in a single cycle</t>
  </si>
  <si>
    <t>Cost of one cycle in the progressive disease state</t>
  </si>
  <si>
    <t>Effectiveness of drug in terms of reducing disease progression</t>
  </si>
  <si>
    <t>Coefficent of increase for probability of entering the progressive disease state</t>
  </si>
  <si>
    <t>Quality of life weight for one cycle in the asymptomatic disease state</t>
  </si>
  <si>
    <t>Quality of life weight for one cycle in the progressive disease state</t>
  </si>
  <si>
    <t>Other cause mortality for age 55-64</t>
  </si>
  <si>
    <t>Other cause mortality for age 65-74</t>
  </si>
  <si>
    <t>Other cause mortality for age 75-84</t>
  </si>
  <si>
    <t>Other cause mortality for age 85 and over</t>
  </si>
  <si>
    <t>natDeath55</t>
  </si>
  <si>
    <t>natDeath65</t>
  </si>
  <si>
    <t>natDeath75</t>
  </si>
  <si>
    <t>natDeath85</t>
  </si>
  <si>
    <t>The initial age at which patients are deemed to start the model</t>
  </si>
  <si>
    <t>Discount rate for costs</t>
  </si>
  <si>
    <t>Discount rate for outcomes</t>
  </si>
  <si>
    <t>Log-Normal</t>
  </si>
  <si>
    <t>Note that parameters coloured blue are used in the</t>
  </si>
  <si>
    <t>All other parameters are deterministic</t>
  </si>
  <si>
    <t>Cycle</t>
  </si>
  <si>
    <t>QALYs</t>
  </si>
  <si>
    <t>StateCost</t>
  </si>
  <si>
    <t>TransCost</t>
  </si>
  <si>
    <t>TotalCost</t>
  </si>
  <si>
    <t>Total</t>
  </si>
  <si>
    <t>per patient</t>
  </si>
  <si>
    <t>No drug therapy</t>
  </si>
  <si>
    <t>Asymptomatic</t>
  </si>
  <si>
    <t>Progressive disease</t>
  </si>
  <si>
    <t>Check</t>
  </si>
  <si>
    <t>Life years</t>
  </si>
  <si>
    <t>Discounted</t>
  </si>
  <si>
    <t>Total cost</t>
  </si>
  <si>
    <t>Drug therapy</t>
  </si>
  <si>
    <t>Cost-effectiveness of drug therapy</t>
  </si>
  <si>
    <t>Results</t>
  </si>
  <si>
    <t>Cost</t>
  </si>
  <si>
    <t>ICERs:</t>
  </si>
  <si>
    <t>per QALY</t>
  </si>
  <si>
    <t>Life-years</t>
  </si>
  <si>
    <t>Drug v no Drug</t>
  </si>
  <si>
    <t>per Life year</t>
  </si>
  <si>
    <t>Difference</t>
  </si>
  <si>
    <t>Trial</t>
  </si>
  <si>
    <t>Effectiveness</t>
  </si>
  <si>
    <t>Cost-effectiveness results</t>
  </si>
  <si>
    <t xml:space="preserve">Cost  </t>
  </si>
  <si>
    <t>Mean</t>
  </si>
  <si>
    <t>Results (probabilistic)</t>
  </si>
  <si>
    <t>Dead from disease</t>
  </si>
  <si>
    <t>Dead other causes</t>
  </si>
  <si>
    <r>
      <t>strat</t>
    </r>
    <r>
      <rPr>
        <sz val="10"/>
        <rFont val="Arial"/>
        <family val="2"/>
      </rPr>
      <t>=1 if drug therapy and =0 if no drug therapy</t>
    </r>
  </si>
  <si>
    <t>Halfcycle correction</t>
  </si>
  <si>
    <t>standard error of the mean</t>
  </si>
  <si>
    <t>Gamma*</t>
  </si>
  <si>
    <t>*alpha and beta estimate using method of moments</t>
  </si>
  <si>
    <t>alpha/mean of logs</t>
  </si>
  <si>
    <t>beta/lambda/standard error of logs</t>
  </si>
  <si>
    <t>Beta*</t>
  </si>
  <si>
    <t>Net monetary benefits</t>
  </si>
  <si>
    <t>Cost-effective?</t>
  </si>
  <si>
    <t>Acceptability curves</t>
  </si>
  <si>
    <t xml:space="preserve">Ceiling ratio </t>
  </si>
  <si>
    <t>Ceiling ratio</t>
  </si>
  <si>
    <t>D5=0 for deterministic analysis; D5=1 for Probabilistic analysis</t>
  </si>
  <si>
    <t>Discounted; no half-cycle correction</t>
  </si>
  <si>
    <t>Discounted; half-cycle 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</si>
</sst>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"/>
    <numFmt numFmtId="165" formatCode="_-&quot;£&quot;* #,##0_-;\-&quot;£&quot;* #,##0_-;_-&quot;£&quot;* &quot;-&quot;??_-;_-@_-"/>
    <numFmt numFmtId="166" formatCode="0.0"/>
  </numFmts>
  <fonts count="2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b/>
      <sz val="10"/>
      <color indexed="14"/>
      <name val="Arial"/>
      <family val="2"/>
    </font>
    <font>
      <b/>
      <sz val="10"/>
      <color indexed="10"/>
      <name val="Arial"/>
      <family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sz val="14"/>
      <color indexed="58"/>
      <name val="Arial"/>
      <family val="2"/>
    </font>
    <font>
      <sz val="10"/>
      <color indexed="58"/>
      <name val="Arial"/>
      <family val="2"/>
    </font>
    <font>
      <sz val="10"/>
      <color indexed="59"/>
      <name val="Arial"/>
      <family val="2"/>
    </font>
    <font>
      <sz val="14"/>
      <color indexed="59"/>
      <name val="Arial"/>
      <family val="2"/>
    </font>
    <font>
      <b/>
      <sz val="10"/>
      <color indexed="59"/>
      <name val="Arial"/>
      <family val="2"/>
    </font>
    <font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color indexed="58"/>
      <name val="Arial"/>
      <family val="2"/>
    </font>
    <font>
      <b/>
      <sz val="12"/>
      <color indexed="58"/>
      <name val="Arial"/>
      <family val="2"/>
    </font>
    <font>
      <b/>
      <u/>
      <sz val="10"/>
      <color indexed="18"/>
      <name val="Arial"/>
      <family val="2"/>
    </font>
    <font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58"/>
      </left>
      <right/>
      <top style="double">
        <color indexed="58"/>
      </top>
      <bottom/>
      <diagonal/>
    </border>
    <border>
      <left/>
      <right/>
      <top style="double">
        <color indexed="58"/>
      </top>
      <bottom/>
      <diagonal/>
    </border>
    <border>
      <left/>
      <right style="double">
        <color indexed="58"/>
      </right>
      <top style="double">
        <color indexed="58"/>
      </top>
      <bottom/>
      <diagonal/>
    </border>
    <border>
      <left style="double">
        <color indexed="58"/>
      </left>
      <right/>
      <top/>
      <bottom/>
      <diagonal/>
    </border>
    <border>
      <left/>
      <right style="double">
        <color indexed="58"/>
      </right>
      <top/>
      <bottom/>
      <diagonal/>
    </border>
    <border>
      <left style="double">
        <color indexed="58"/>
      </left>
      <right/>
      <top/>
      <bottom style="double">
        <color indexed="58"/>
      </bottom>
      <diagonal/>
    </border>
    <border>
      <left/>
      <right/>
      <top/>
      <bottom style="double">
        <color indexed="58"/>
      </bottom>
      <diagonal/>
    </border>
    <border>
      <left/>
      <right style="double">
        <color indexed="58"/>
      </right>
      <top/>
      <bottom style="double">
        <color indexed="5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0" fillId="2" borderId="0" xfId="0" applyFont="1" applyFill="1"/>
    <xf numFmtId="0" fontId="17" fillId="2" borderId="0" xfId="0" applyFont="1" applyFill="1" applyBorder="1" applyAlignment="1">
      <alignment horizontal="center"/>
    </xf>
    <xf numFmtId="0" fontId="0" fillId="2" borderId="0" xfId="0" applyFill="1"/>
    <xf numFmtId="0" fontId="11" fillId="2" borderId="0" xfId="0" applyFont="1" applyFill="1" applyBorder="1" applyAlignment="1">
      <alignment horizontal="center"/>
    </xf>
    <xf numFmtId="2" fontId="0" fillId="0" borderId="0" xfId="0" applyNumberFormat="1"/>
    <xf numFmtId="0" fontId="18" fillId="3" borderId="2" xfId="0" applyFont="1" applyFill="1" applyBorder="1" applyAlignment="1">
      <alignment horizontal="left"/>
    </xf>
    <xf numFmtId="0" fontId="4" fillId="0" borderId="0" xfId="0" applyFont="1"/>
    <xf numFmtId="1" fontId="0" fillId="0" borderId="0" xfId="0" applyNumberFormat="1"/>
    <xf numFmtId="0" fontId="16" fillId="0" borderId="0" xfId="0" applyFont="1" applyAlignment="1">
      <alignment horizontal="center"/>
    </xf>
    <xf numFmtId="0" fontId="16" fillId="0" borderId="3" xfId="0" applyFont="1" applyBorder="1"/>
    <xf numFmtId="165" fontId="0" fillId="0" borderId="0" xfId="2" applyNumberFormat="1" applyFont="1"/>
    <xf numFmtId="0" fontId="0" fillId="4" borderId="1" xfId="0" applyFill="1" applyBorder="1"/>
    <xf numFmtId="166" fontId="0" fillId="4" borderId="1" xfId="0" applyNumberFormat="1" applyFill="1" applyBorder="1"/>
    <xf numFmtId="2" fontId="0" fillId="4" borderId="1" xfId="0" applyNumberFormat="1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165" fontId="0" fillId="4" borderId="1" xfId="2" applyNumberFormat="1" applyFont="1" applyFill="1" applyBorder="1"/>
    <xf numFmtId="0" fontId="16" fillId="0" borderId="0" xfId="0" applyFont="1" applyBorder="1"/>
    <xf numFmtId="0" fontId="0" fillId="5" borderId="0" xfId="0" applyFill="1" applyBorder="1"/>
    <xf numFmtId="0" fontId="0" fillId="5" borderId="0" xfId="0" applyFill="1" applyBorder="1" applyAlignment="1">
      <alignment horizontal="right"/>
    </xf>
    <xf numFmtId="165" fontId="0" fillId="5" borderId="0" xfId="2" applyNumberFormat="1" applyFont="1" applyFill="1" applyBorder="1" applyAlignment="1">
      <alignment horizontal="right"/>
    </xf>
    <xf numFmtId="2" fontId="0" fillId="5" borderId="0" xfId="0" applyNumberFormat="1" applyFill="1" applyBorder="1" applyAlignment="1">
      <alignment horizontal="right"/>
    </xf>
    <xf numFmtId="0" fontId="0" fillId="5" borderId="0" xfId="0" applyFill="1"/>
    <xf numFmtId="0" fontId="20" fillId="5" borderId="4" xfId="0" applyFont="1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2" fontId="0" fillId="5" borderId="8" xfId="0" applyNumberFormat="1" applyFill="1" applyBorder="1"/>
    <xf numFmtId="0" fontId="0" fillId="5" borderId="9" xfId="0" applyFill="1" applyBorder="1"/>
    <xf numFmtId="0" fontId="0" fillId="5" borderId="10" xfId="0" applyFill="1" applyBorder="1"/>
    <xf numFmtId="165" fontId="0" fillId="5" borderId="10" xfId="2" applyNumberFormat="1" applyFont="1" applyFill="1" applyBorder="1"/>
    <xf numFmtId="0" fontId="0" fillId="5" borderId="11" xfId="0" applyFill="1" applyBorder="1"/>
    <xf numFmtId="0" fontId="3" fillId="5" borderId="0" xfId="0" applyFont="1" applyFill="1" applyBorder="1" applyAlignment="1">
      <alignment horizontal="center"/>
    </xf>
    <xf numFmtId="0" fontId="17" fillId="4" borderId="1" xfId="0" applyFont="1" applyFill="1" applyBorder="1"/>
    <xf numFmtId="0" fontId="16" fillId="0" borderId="3" xfId="0" applyFont="1" applyBorder="1" applyAlignment="1">
      <alignment horizontal="left" vertical="top" wrapText="1"/>
    </xf>
    <xf numFmtId="0" fontId="16" fillId="0" borderId="3" xfId="0" applyFont="1" applyBorder="1" applyAlignment="1">
      <alignment horizontal="center" vertical="top" wrapText="1"/>
    </xf>
    <xf numFmtId="0" fontId="16" fillId="0" borderId="12" xfId="0" applyFont="1" applyBorder="1"/>
    <xf numFmtId="0" fontId="19" fillId="5" borderId="13" xfId="0" applyFont="1" applyFill="1" applyBorder="1" applyAlignment="1">
      <alignment horizontal="center"/>
    </xf>
    <xf numFmtId="1" fontId="0" fillId="4" borderId="0" xfId="0" applyNumberFormat="1" applyFill="1" applyBorder="1"/>
    <xf numFmtId="165" fontId="0" fillId="0" borderId="0" xfId="0" applyNumberFormat="1"/>
    <xf numFmtId="44" fontId="0" fillId="4" borderId="1" xfId="2" applyNumberFormat="1" applyFont="1" applyFill="1" applyBorder="1"/>
    <xf numFmtId="0" fontId="5" fillId="0" borderId="0" xfId="0" applyFont="1"/>
    <xf numFmtId="164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0" xfId="0" applyFill="1"/>
    <xf numFmtId="1" fontId="0" fillId="0" borderId="0" xfId="1" applyNumberFormat="1" applyFont="1"/>
    <xf numFmtId="0" fontId="11" fillId="0" borderId="0" xfId="0" applyFont="1"/>
    <xf numFmtId="0" fontId="22" fillId="5" borderId="0" xfId="0" applyFont="1" applyFill="1" applyBorder="1" applyAlignment="1">
      <alignment horizontal="left"/>
    </xf>
    <xf numFmtId="0" fontId="16" fillId="0" borderId="0" xfId="0" applyFont="1" applyAlignment="1">
      <alignment horizontal="center"/>
    </xf>
    <xf numFmtId="0" fontId="21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86010362694301"/>
          <c:y val="4.9488054607508533E-2"/>
          <c:w val="0.75854922279792747"/>
          <c:h val="0.75085324232081907"/>
        </c:manualLayout>
      </c:layout>
      <c:scatterChart>
        <c:scatterStyle val="lineMarker"/>
        <c:varyColors val="0"/>
        <c:ser>
          <c:idx val="0"/>
          <c:order val="0"/>
          <c:tx>
            <c:strRef>
              <c:f>'No drug'!$A$1</c:f>
              <c:strCache>
                <c:ptCount val="1"/>
                <c:pt idx="0">
                  <c:v>No drug therapy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PSA!$Y$6:$Y$63</c:f>
              <c:numCache>
                <c:formatCode>General</c:formatCode>
                <c:ptCount val="5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</c:numCache>
            </c:numRef>
          </c:xVal>
          <c:yVal>
            <c:numRef>
              <c:f>PSA!$Z$6:$Z$63</c:f>
              <c:numCache>
                <c:formatCode>General</c:formatCode>
                <c:ptCount val="5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0.998</c:v>
                </c:pt>
                <c:pt idx="16">
                  <c:v>0.98899999999999999</c:v>
                </c:pt>
                <c:pt idx="17">
                  <c:v>0.97199999999999998</c:v>
                </c:pt>
                <c:pt idx="18">
                  <c:v>0.90800000000000003</c:v>
                </c:pt>
                <c:pt idx="19">
                  <c:v>0.68300000000000005</c:v>
                </c:pt>
                <c:pt idx="20">
                  <c:v>0.38800000000000001</c:v>
                </c:pt>
                <c:pt idx="21">
                  <c:v>0.17699999999999999</c:v>
                </c:pt>
                <c:pt idx="22">
                  <c:v>7.1999999999999995E-2</c:v>
                </c:pt>
                <c:pt idx="23">
                  <c:v>2.3E-2</c:v>
                </c:pt>
                <c:pt idx="24">
                  <c:v>7.0000000000000001E-3</c:v>
                </c:pt>
                <c:pt idx="25">
                  <c:v>4.0000000000000001E-3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Drug!$A$1</c:f>
              <c:strCache>
                <c:ptCount val="1"/>
                <c:pt idx="0">
                  <c:v>Drug therapy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PSA!$Y$6:$Y$63</c:f>
              <c:numCache>
                <c:formatCode>General</c:formatCode>
                <c:ptCount val="5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</c:numCache>
            </c:numRef>
          </c:xVal>
          <c:yVal>
            <c:numRef>
              <c:f>PSA!$AA$6:$AA$63</c:f>
              <c:numCache>
                <c:formatCode>General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2E-3</c:v>
                </c:pt>
                <c:pt idx="16">
                  <c:v>1.0999999999999999E-2</c:v>
                </c:pt>
                <c:pt idx="17">
                  <c:v>2.8000000000000001E-2</c:v>
                </c:pt>
                <c:pt idx="18">
                  <c:v>9.1999999999999998E-2</c:v>
                </c:pt>
                <c:pt idx="19">
                  <c:v>0.317</c:v>
                </c:pt>
                <c:pt idx="20">
                  <c:v>0.61199999999999999</c:v>
                </c:pt>
                <c:pt idx="21">
                  <c:v>0.82299999999999995</c:v>
                </c:pt>
                <c:pt idx="22">
                  <c:v>0.92800000000000005</c:v>
                </c:pt>
                <c:pt idx="23">
                  <c:v>0.97699999999999998</c:v>
                </c:pt>
                <c:pt idx="24">
                  <c:v>0.99299999999999999</c:v>
                </c:pt>
                <c:pt idx="25">
                  <c:v>0.996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96608"/>
        <c:axId val="102598528"/>
      </c:scatterChart>
      <c:valAx>
        <c:axId val="102596608"/>
        <c:scaling>
          <c:orientation val="minMax"/>
          <c:max val="50000"/>
        </c:scaling>
        <c:delete val="0"/>
        <c:axPos val="b"/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 of ceiling ratio</a:t>
                </a:r>
              </a:p>
            </c:rich>
          </c:tx>
          <c:layout>
            <c:manualLayout>
              <c:xMode val="edge"/>
              <c:yMode val="edge"/>
              <c:x val="0.3740933162170928"/>
              <c:y val="0.88737201365187712"/>
            </c:manualLayout>
          </c:layout>
          <c:overlay val="0"/>
          <c:spPr>
            <a:noFill/>
            <a:ln w="25400">
              <a:noFill/>
            </a:ln>
          </c:spPr>
        </c:title>
        <c:numFmt formatCode="_-\£* #,##0_-;\-\£* #,##0_-;_-\£* &quot;-&quot;??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598528"/>
        <c:crosses val="autoZero"/>
        <c:crossBetween val="midCat"/>
        <c:majorUnit val="10000"/>
        <c:minorUnit val="1000"/>
      </c:valAx>
      <c:valAx>
        <c:axId val="102598528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1.7616536250725668E-2"/>
              <c:y val="0.1399317406143344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 ;\-#,##0.00\ 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5966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131879543094501"/>
          <c:y val="0.13822525597269625"/>
          <c:w val="0.1796469366562824"/>
          <c:h val="9.04436860068259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workbookViewId="0"/>
  </sheetViews>
  <pageMargins left="0.75" right="0.75" top="1" bottom="1" header="0.5" footer="0.5"/>
  <headerFooter alignWithMargins="0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123825</xdr:rowOff>
    </xdr:from>
    <xdr:to>
      <xdr:col>11</xdr:col>
      <xdr:colOff>504825</xdr:colOff>
      <xdr:row>23</xdr:row>
      <xdr:rowOff>9525</xdr:rowOff>
    </xdr:to>
    <xdr:sp macro="" textlink="">
      <xdr:nvSpPr>
        <xdr:cNvPr id="1168" name="Rectangle 38"/>
        <xdr:cNvSpPr>
          <a:spLocks noChangeArrowheads="1"/>
        </xdr:cNvSpPr>
      </xdr:nvSpPr>
      <xdr:spPr bwMode="auto">
        <a:xfrm>
          <a:off x="123825" y="676275"/>
          <a:ext cx="6686550" cy="31242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76200</xdr:colOff>
      <xdr:row>6</xdr:row>
      <xdr:rowOff>0</xdr:rowOff>
    </xdr:from>
    <xdr:to>
      <xdr:col>3</xdr:col>
      <xdr:colOff>457200</xdr:colOff>
      <xdr:row>9</xdr:row>
      <xdr:rowOff>104775</xdr:rowOff>
    </xdr:to>
    <xdr:sp macro="" textlink="">
      <xdr:nvSpPr>
        <xdr:cNvPr id="1025" name="Oval 1"/>
        <xdr:cNvSpPr>
          <a:spLocks noChangeArrowheads="1"/>
        </xdr:cNvSpPr>
      </xdr:nvSpPr>
      <xdr:spPr bwMode="auto">
        <a:xfrm>
          <a:off x="285750" y="1038225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Asymptomatic</a:t>
          </a:r>
        </a:p>
      </xdr:txBody>
    </xdr:sp>
    <xdr:clientData/>
  </xdr:twoCellAnchor>
  <xdr:twoCellAnchor>
    <xdr:from>
      <xdr:col>3</xdr:col>
      <xdr:colOff>438150</xdr:colOff>
      <xdr:row>7</xdr:row>
      <xdr:rowOff>95250</xdr:rowOff>
    </xdr:from>
    <xdr:to>
      <xdr:col>5</xdr:col>
      <xdr:colOff>323850</xdr:colOff>
      <xdr:row>7</xdr:row>
      <xdr:rowOff>95250</xdr:rowOff>
    </xdr:to>
    <xdr:sp macro="" textlink="">
      <xdr:nvSpPr>
        <xdr:cNvPr id="1170" name="Line 6"/>
        <xdr:cNvSpPr>
          <a:spLocks noChangeShapeType="1"/>
        </xdr:cNvSpPr>
      </xdr:nvSpPr>
      <xdr:spPr bwMode="auto">
        <a:xfrm>
          <a:off x="1866900" y="1295400"/>
          <a:ext cx="1104900" cy="0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476250</xdr:colOff>
      <xdr:row>8</xdr:row>
      <xdr:rowOff>0</xdr:rowOff>
    </xdr:from>
    <xdr:to>
      <xdr:col>9</xdr:col>
      <xdr:colOff>352425</xdr:colOff>
      <xdr:row>11</xdr:row>
      <xdr:rowOff>142875</xdr:rowOff>
    </xdr:to>
    <xdr:sp macro="" textlink="">
      <xdr:nvSpPr>
        <xdr:cNvPr id="1171" name="Line 7"/>
        <xdr:cNvSpPr>
          <a:spLocks noChangeShapeType="1"/>
        </xdr:cNvSpPr>
      </xdr:nvSpPr>
      <xdr:spPr bwMode="auto">
        <a:xfrm>
          <a:off x="4343400" y="1362075"/>
          <a:ext cx="1095375" cy="628650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314325</xdr:colOff>
      <xdr:row>9</xdr:row>
      <xdr:rowOff>104775</xdr:rowOff>
    </xdr:from>
    <xdr:to>
      <xdr:col>6</xdr:col>
      <xdr:colOff>352425</xdr:colOff>
      <xdr:row>18</xdr:row>
      <xdr:rowOff>9525</xdr:rowOff>
    </xdr:to>
    <xdr:sp macro="" textlink="">
      <xdr:nvSpPr>
        <xdr:cNvPr id="1172" name="Line 8"/>
        <xdr:cNvSpPr>
          <a:spLocks noChangeShapeType="1"/>
        </xdr:cNvSpPr>
      </xdr:nvSpPr>
      <xdr:spPr bwMode="auto">
        <a:xfrm>
          <a:off x="3571875" y="1628775"/>
          <a:ext cx="38100" cy="1362075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485775</xdr:colOff>
      <xdr:row>9</xdr:row>
      <xdr:rowOff>85725</xdr:rowOff>
    </xdr:from>
    <xdr:to>
      <xdr:col>5</xdr:col>
      <xdr:colOff>257175</xdr:colOff>
      <xdr:row>19</xdr:row>
      <xdr:rowOff>0</xdr:rowOff>
    </xdr:to>
    <xdr:sp macro="" textlink="">
      <xdr:nvSpPr>
        <xdr:cNvPr id="1173" name="Line 9"/>
        <xdr:cNvSpPr>
          <a:spLocks noChangeShapeType="1"/>
        </xdr:cNvSpPr>
      </xdr:nvSpPr>
      <xdr:spPr bwMode="auto">
        <a:xfrm>
          <a:off x="1304925" y="1609725"/>
          <a:ext cx="1600200" cy="1533525"/>
        </a:xfrm>
        <a:prstGeom prst="line">
          <a:avLst/>
        </a:prstGeom>
        <a:noFill/>
        <a:ln w="28575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4</xdr:row>
      <xdr:rowOff>152400</xdr:rowOff>
    </xdr:from>
    <xdr:to>
      <xdr:col>1</xdr:col>
      <xdr:colOff>590550</xdr:colOff>
      <xdr:row>6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219075" y="866775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FF0000"/>
              </a:solidFill>
              <a:latin typeface="Arial"/>
              <a:cs typeface="Arial"/>
            </a:rPr>
            <a:t>cAsymp</a:t>
          </a:r>
        </a:p>
      </xdr:txBody>
    </xdr:sp>
    <xdr:clientData/>
  </xdr:twoCellAnchor>
  <xdr:twoCellAnchor>
    <xdr:from>
      <xdr:col>5</xdr:col>
      <xdr:colOff>304800</xdr:colOff>
      <xdr:row>4</xdr:row>
      <xdr:rowOff>133350</xdr:rowOff>
    </xdr:from>
    <xdr:to>
      <xdr:col>7</xdr:col>
      <xdr:colOff>285750</xdr:colOff>
      <xdr:row>6</xdr:row>
      <xdr:rowOff>47625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2952750" y="847725"/>
          <a:ext cx="12001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FF0000"/>
              </a:solidFill>
              <a:latin typeface="Arial"/>
              <a:cs typeface="Arial"/>
            </a:rPr>
            <a:t>cProg+cDrug*strat</a:t>
          </a:r>
        </a:p>
      </xdr:txBody>
    </xdr:sp>
    <xdr:clientData/>
  </xdr:twoCellAnchor>
  <xdr:twoCellAnchor>
    <xdr:from>
      <xdr:col>8</xdr:col>
      <xdr:colOff>600075</xdr:colOff>
      <xdr:row>9</xdr:row>
      <xdr:rowOff>114300</xdr:rowOff>
    </xdr:from>
    <xdr:to>
      <xdr:col>9</xdr:col>
      <xdr:colOff>571500</xdr:colOff>
      <xdr:row>11</xdr:row>
      <xdr:rowOff>28575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5076825" y="1638300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FF00FF"/>
              </a:solidFill>
              <a:latin typeface="Arial"/>
              <a:cs typeface="Arial"/>
            </a:rPr>
            <a:t>cDeath</a:t>
          </a:r>
        </a:p>
      </xdr:txBody>
    </xdr:sp>
    <xdr:clientData/>
  </xdr:twoCellAnchor>
  <xdr:twoCellAnchor>
    <xdr:from>
      <xdr:col>1</xdr:col>
      <xdr:colOff>0</xdr:colOff>
      <xdr:row>9</xdr:row>
      <xdr:rowOff>28575</xdr:rowOff>
    </xdr:from>
    <xdr:to>
      <xdr:col>1</xdr:col>
      <xdr:colOff>581025</xdr:colOff>
      <xdr:row>10</xdr:row>
      <xdr:rowOff>104775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209550" y="1552575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8000"/>
              </a:solidFill>
              <a:latin typeface="Arial"/>
              <a:cs typeface="Arial"/>
            </a:rPr>
            <a:t>uAsymp</a:t>
          </a:r>
        </a:p>
      </xdr:txBody>
    </xdr:sp>
    <xdr:clientData/>
  </xdr:twoCellAnchor>
  <xdr:twoCellAnchor>
    <xdr:from>
      <xdr:col>5</xdr:col>
      <xdr:colOff>276225</xdr:colOff>
      <xdr:row>9</xdr:row>
      <xdr:rowOff>47625</xdr:rowOff>
    </xdr:from>
    <xdr:to>
      <xdr:col>6</xdr:col>
      <xdr:colOff>247650</xdr:colOff>
      <xdr:row>10</xdr:row>
      <xdr:rowOff>123825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2924175" y="1571625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8000"/>
              </a:solidFill>
              <a:latin typeface="Arial"/>
              <a:cs typeface="Arial"/>
            </a:rPr>
            <a:t>uProg</a:t>
          </a:r>
        </a:p>
      </xdr:txBody>
    </xdr:sp>
    <xdr:clientData/>
  </xdr:twoCellAnchor>
  <xdr:twoCellAnchor>
    <xdr:from>
      <xdr:col>3</xdr:col>
      <xdr:colOff>438150</xdr:colOff>
      <xdr:row>6</xdr:row>
      <xdr:rowOff>47625</xdr:rowOff>
    </xdr:from>
    <xdr:to>
      <xdr:col>5</xdr:col>
      <xdr:colOff>285750</xdr:colOff>
      <xdr:row>7</xdr:row>
      <xdr:rowOff>123825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1866900" y="1085850"/>
          <a:ext cx="10668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tpProg[cycle+1]</a:t>
          </a:r>
        </a:p>
      </xdr:txBody>
    </xdr:sp>
    <xdr:clientData/>
  </xdr:twoCellAnchor>
  <xdr:twoCellAnchor>
    <xdr:from>
      <xdr:col>8</xdr:col>
      <xdr:colOff>295275</xdr:colOff>
      <xdr:row>8</xdr:row>
      <xdr:rowOff>85725</xdr:rowOff>
    </xdr:from>
    <xdr:to>
      <xdr:col>9</xdr:col>
      <xdr:colOff>266700</xdr:colOff>
      <xdr:row>10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772025" y="1447800"/>
          <a:ext cx="581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tpDcm</a:t>
          </a:r>
        </a:p>
      </xdr:txBody>
    </xdr:sp>
    <xdr:clientData/>
  </xdr:twoCellAnchor>
  <xdr:twoCellAnchor>
    <xdr:from>
      <xdr:col>3</xdr:col>
      <xdr:colOff>0</xdr:colOff>
      <xdr:row>15</xdr:row>
      <xdr:rowOff>9525</xdr:rowOff>
    </xdr:from>
    <xdr:to>
      <xdr:col>4</xdr:col>
      <xdr:colOff>352425</xdr:colOff>
      <xdr:row>16</xdr:row>
      <xdr:rowOff>85725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1428750" y="25050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natDeath[age]</a:t>
          </a:r>
        </a:p>
      </xdr:txBody>
    </xdr:sp>
    <xdr:clientData/>
  </xdr:twoCellAnchor>
  <xdr:twoCellAnchor>
    <xdr:from>
      <xdr:col>3</xdr:col>
      <xdr:colOff>9525</xdr:colOff>
      <xdr:row>4</xdr:row>
      <xdr:rowOff>95250</xdr:rowOff>
    </xdr:from>
    <xdr:to>
      <xdr:col>3</xdr:col>
      <xdr:colOff>352425</xdr:colOff>
      <xdr:row>6</xdr:row>
      <xdr:rowOff>57150</xdr:rowOff>
    </xdr:to>
    <xdr:grpSp>
      <xdr:nvGrpSpPr>
        <xdr:cNvPr id="1182" name="Group 35"/>
        <xdr:cNvGrpSpPr>
          <a:grpSpLocks/>
        </xdr:cNvGrpSpPr>
      </xdr:nvGrpSpPr>
      <xdr:grpSpPr bwMode="auto">
        <a:xfrm>
          <a:off x="1438275" y="809625"/>
          <a:ext cx="342900" cy="285750"/>
          <a:chOff x="151" y="85"/>
          <a:chExt cx="36" cy="30"/>
        </a:xfrm>
      </xdr:grpSpPr>
      <xdr:sp macro="" textlink="">
        <xdr:nvSpPr>
          <xdr:cNvPr id="1195" name="Oval 10"/>
          <xdr:cNvSpPr>
            <a:spLocks noChangeArrowheads="1"/>
          </xdr:cNvSpPr>
        </xdr:nvSpPr>
        <xdr:spPr bwMode="auto">
          <a:xfrm>
            <a:off x="151" y="85"/>
            <a:ext cx="36" cy="3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196" name="Line 20"/>
          <xdr:cNvSpPr>
            <a:spLocks noChangeShapeType="1"/>
          </xdr:cNvSpPr>
        </xdr:nvSpPr>
        <xdr:spPr bwMode="auto">
          <a:xfrm>
            <a:off x="186" y="96"/>
            <a:ext cx="1" cy="10"/>
          </a:xfrm>
          <a:prstGeom prst="line">
            <a:avLst/>
          </a:prstGeom>
          <a:noFill/>
          <a:ln w="38100">
            <a:solidFill>
              <a:srgbClr val="00008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6</xdr:col>
      <xdr:colOff>361950</xdr:colOff>
      <xdr:row>15</xdr:row>
      <xdr:rowOff>9525</xdr:rowOff>
    </xdr:from>
    <xdr:to>
      <xdr:col>8</xdr:col>
      <xdr:colOff>104775</xdr:colOff>
      <xdr:row>16</xdr:row>
      <xdr:rowOff>85725</xdr:rowOff>
    </xdr:to>
    <xdr:sp macro="" textlink="">
      <xdr:nvSpPr>
        <xdr:cNvPr id="1052" name="Text Box 28"/>
        <xdr:cNvSpPr txBox="1">
          <a:spLocks noChangeArrowheads="1"/>
        </xdr:cNvSpPr>
      </xdr:nvSpPr>
      <xdr:spPr bwMode="auto">
        <a:xfrm>
          <a:off x="3619500" y="25050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natDeath[age]</a:t>
          </a:r>
        </a:p>
      </xdr:txBody>
    </xdr:sp>
    <xdr:clientData/>
  </xdr:twoCellAnchor>
  <xdr:twoCellAnchor>
    <xdr:from>
      <xdr:col>5</xdr:col>
      <xdr:colOff>314325</xdr:colOff>
      <xdr:row>5</xdr:row>
      <xdr:rowOff>152400</xdr:rowOff>
    </xdr:from>
    <xdr:to>
      <xdr:col>8</xdr:col>
      <xdr:colOff>85725</xdr:colOff>
      <xdr:row>9</xdr:row>
      <xdr:rowOff>95250</xdr:rowOff>
    </xdr:to>
    <xdr:sp macro="" textlink="">
      <xdr:nvSpPr>
        <xdr:cNvPr id="1054" name="Oval 30"/>
        <xdr:cNvSpPr>
          <a:spLocks noChangeArrowheads="1"/>
        </xdr:cNvSpPr>
      </xdr:nvSpPr>
      <xdr:spPr bwMode="auto">
        <a:xfrm>
          <a:off x="2962275" y="1028700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Progressive disease</a:t>
          </a:r>
        </a:p>
      </xdr:txBody>
    </xdr:sp>
    <xdr:clientData/>
  </xdr:twoCellAnchor>
  <xdr:twoCellAnchor>
    <xdr:from>
      <xdr:col>8</xdr:col>
      <xdr:colOff>485775</xdr:colOff>
      <xdr:row>11</xdr:row>
      <xdr:rowOff>142875</xdr:rowOff>
    </xdr:from>
    <xdr:to>
      <xdr:col>11</xdr:col>
      <xdr:colOff>257175</xdr:colOff>
      <xdr:row>15</xdr:row>
      <xdr:rowOff>85725</xdr:rowOff>
    </xdr:to>
    <xdr:sp macro="" textlink="">
      <xdr:nvSpPr>
        <xdr:cNvPr id="1055" name="Oval 31"/>
        <xdr:cNvSpPr>
          <a:spLocks noChangeArrowheads="1"/>
        </xdr:cNvSpPr>
      </xdr:nvSpPr>
      <xdr:spPr bwMode="auto">
        <a:xfrm>
          <a:off x="4962525" y="1990725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Dead from disease</a:t>
          </a:r>
        </a:p>
      </xdr:txBody>
    </xdr:sp>
    <xdr:clientData/>
  </xdr:twoCellAnchor>
  <xdr:twoCellAnchor>
    <xdr:from>
      <xdr:col>5</xdr:col>
      <xdr:colOff>190500</xdr:colOff>
      <xdr:row>18</xdr:row>
      <xdr:rowOff>47625</xdr:rowOff>
    </xdr:from>
    <xdr:to>
      <xdr:col>7</xdr:col>
      <xdr:colOff>571500</xdr:colOff>
      <xdr:row>21</xdr:row>
      <xdr:rowOff>152400</xdr:rowOff>
    </xdr:to>
    <xdr:sp macro="" textlink="">
      <xdr:nvSpPr>
        <xdr:cNvPr id="1056" name="Oval 32"/>
        <xdr:cNvSpPr>
          <a:spLocks noChangeArrowheads="1"/>
        </xdr:cNvSpPr>
      </xdr:nvSpPr>
      <xdr:spPr bwMode="auto">
        <a:xfrm>
          <a:off x="2838450" y="3028950"/>
          <a:ext cx="1600200" cy="590550"/>
        </a:xfrm>
        <a:prstGeom prst="ellipse">
          <a:avLst/>
        </a:prstGeom>
        <a:solidFill>
          <a:srgbClr val="CCFFCC"/>
        </a:solidFill>
        <a:ln w="28575">
          <a:solidFill>
            <a:srgbClr val="00008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GB" sz="1200" b="1" i="0" strike="noStrike">
              <a:solidFill>
                <a:srgbClr val="000080"/>
              </a:solidFill>
              <a:latin typeface="Arial"/>
              <a:cs typeface="Arial"/>
            </a:rPr>
            <a:t>Dead from other causes</a:t>
          </a:r>
        </a:p>
      </xdr:txBody>
    </xdr:sp>
    <xdr:clientData/>
  </xdr:twoCellAnchor>
  <xdr:twoCellAnchor>
    <xdr:from>
      <xdr:col>7</xdr:col>
      <xdr:colOff>285750</xdr:colOff>
      <xdr:row>4</xdr:row>
      <xdr:rowOff>85725</xdr:rowOff>
    </xdr:from>
    <xdr:to>
      <xdr:col>8</xdr:col>
      <xdr:colOff>19050</xdr:colOff>
      <xdr:row>6</xdr:row>
      <xdr:rowOff>47625</xdr:rowOff>
    </xdr:to>
    <xdr:sp macro="" textlink="">
      <xdr:nvSpPr>
        <xdr:cNvPr id="1187" name="Oval 36"/>
        <xdr:cNvSpPr>
          <a:spLocks noChangeArrowheads="1"/>
        </xdr:cNvSpPr>
      </xdr:nvSpPr>
      <xdr:spPr bwMode="auto">
        <a:xfrm>
          <a:off x="4152900" y="800100"/>
          <a:ext cx="342900" cy="285750"/>
        </a:xfrm>
        <a:prstGeom prst="ellipse">
          <a:avLst/>
        </a:prstGeom>
        <a:solidFill>
          <a:srgbClr val="FFFFFF"/>
        </a:solidFill>
        <a:ln w="19050">
          <a:solidFill>
            <a:srgbClr val="000080"/>
          </a:solidFill>
          <a:round/>
          <a:headEnd/>
          <a:tailEnd/>
        </a:ln>
      </xdr:spPr>
    </xdr:sp>
    <xdr:clientData/>
  </xdr:twoCellAnchor>
  <xdr:twoCellAnchor>
    <xdr:from>
      <xdr:col>8</xdr:col>
      <xdr:colOff>9525</xdr:colOff>
      <xdr:row>5</xdr:row>
      <xdr:rowOff>28575</xdr:rowOff>
    </xdr:from>
    <xdr:to>
      <xdr:col>8</xdr:col>
      <xdr:colOff>19050</xdr:colOff>
      <xdr:row>5</xdr:row>
      <xdr:rowOff>123825</xdr:rowOff>
    </xdr:to>
    <xdr:sp macro="" textlink="">
      <xdr:nvSpPr>
        <xdr:cNvPr id="1188" name="Line 37"/>
        <xdr:cNvSpPr>
          <a:spLocks noChangeShapeType="1"/>
        </xdr:cNvSpPr>
      </xdr:nvSpPr>
      <xdr:spPr bwMode="auto">
        <a:xfrm>
          <a:off x="4486275" y="904875"/>
          <a:ext cx="9525" cy="95250"/>
        </a:xfrm>
        <a:prstGeom prst="line">
          <a:avLst/>
        </a:prstGeom>
        <a:noFill/>
        <a:ln w="38100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542925</xdr:colOff>
      <xdr:row>16</xdr:row>
      <xdr:rowOff>114300</xdr:rowOff>
    </xdr:from>
    <xdr:to>
      <xdr:col>7</xdr:col>
      <xdr:colOff>276225</xdr:colOff>
      <xdr:row>18</xdr:row>
      <xdr:rowOff>76200</xdr:rowOff>
    </xdr:to>
    <xdr:grpSp>
      <xdr:nvGrpSpPr>
        <xdr:cNvPr id="1189" name="Group 35"/>
        <xdr:cNvGrpSpPr>
          <a:grpSpLocks/>
        </xdr:cNvGrpSpPr>
      </xdr:nvGrpSpPr>
      <xdr:grpSpPr bwMode="auto">
        <a:xfrm>
          <a:off x="3800475" y="2771775"/>
          <a:ext cx="342900" cy="285750"/>
          <a:chOff x="151" y="85"/>
          <a:chExt cx="36" cy="30"/>
        </a:xfrm>
      </xdr:grpSpPr>
      <xdr:sp macro="" textlink="">
        <xdr:nvSpPr>
          <xdr:cNvPr id="1193" name="Oval 10"/>
          <xdr:cNvSpPr>
            <a:spLocks noChangeArrowheads="1"/>
          </xdr:cNvSpPr>
        </xdr:nvSpPr>
        <xdr:spPr bwMode="auto">
          <a:xfrm>
            <a:off x="151" y="85"/>
            <a:ext cx="36" cy="3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194" name="Line 20"/>
          <xdr:cNvSpPr>
            <a:spLocks noChangeShapeType="1"/>
          </xdr:cNvSpPr>
        </xdr:nvSpPr>
        <xdr:spPr bwMode="auto">
          <a:xfrm>
            <a:off x="186" y="96"/>
            <a:ext cx="1" cy="10"/>
          </a:xfrm>
          <a:prstGeom prst="line">
            <a:avLst/>
          </a:prstGeom>
          <a:noFill/>
          <a:ln w="38100">
            <a:solidFill>
              <a:srgbClr val="00008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142875</xdr:colOff>
      <xdr:row>10</xdr:row>
      <xdr:rowOff>19050</xdr:rowOff>
    </xdr:from>
    <xdr:to>
      <xdr:col>10</xdr:col>
      <xdr:colOff>485775</xdr:colOff>
      <xdr:row>11</xdr:row>
      <xdr:rowOff>142875</xdr:rowOff>
    </xdr:to>
    <xdr:grpSp>
      <xdr:nvGrpSpPr>
        <xdr:cNvPr id="1190" name="Group 35"/>
        <xdr:cNvGrpSpPr>
          <a:grpSpLocks/>
        </xdr:cNvGrpSpPr>
      </xdr:nvGrpSpPr>
      <xdr:grpSpPr bwMode="auto">
        <a:xfrm>
          <a:off x="5838825" y="1704975"/>
          <a:ext cx="342900" cy="285750"/>
          <a:chOff x="151" y="85"/>
          <a:chExt cx="36" cy="30"/>
        </a:xfrm>
      </xdr:grpSpPr>
      <xdr:sp macro="" textlink="">
        <xdr:nvSpPr>
          <xdr:cNvPr id="1191" name="Oval 10"/>
          <xdr:cNvSpPr>
            <a:spLocks noChangeArrowheads="1"/>
          </xdr:cNvSpPr>
        </xdr:nvSpPr>
        <xdr:spPr bwMode="auto">
          <a:xfrm>
            <a:off x="151" y="85"/>
            <a:ext cx="36" cy="3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192" name="Line 20"/>
          <xdr:cNvSpPr>
            <a:spLocks noChangeShapeType="1"/>
          </xdr:cNvSpPr>
        </xdr:nvSpPr>
        <xdr:spPr bwMode="auto">
          <a:xfrm>
            <a:off x="186" y="96"/>
            <a:ext cx="1" cy="10"/>
          </a:xfrm>
          <a:prstGeom prst="line">
            <a:avLst/>
          </a:prstGeom>
          <a:noFill/>
          <a:ln w="38100">
            <a:solidFill>
              <a:srgbClr val="00008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562014</xdr:colOff>
      <xdr:row>2</xdr:row>
      <xdr:rowOff>29101</xdr:rowOff>
    </xdr:from>
    <xdr:ext cx="2501647" cy="223203"/>
    <xdr:sp macro="[0]!PSA" textlink="">
      <xdr:nvSpPr>
        <xdr:cNvPr id="3074" name="Rectangle 2"/>
        <xdr:cNvSpPr>
          <a:spLocks noChangeArrowheads="1"/>
        </xdr:cNvSpPr>
      </xdr:nvSpPr>
      <xdr:spPr bwMode="auto">
        <a:xfrm>
          <a:off x="4867314" y="419626"/>
          <a:ext cx="2501647" cy="223203"/>
        </a:xfrm>
        <a:prstGeom prst="rect">
          <a:avLst/>
        </a:prstGeom>
        <a:solidFill>
          <a:srgbClr val="C0C0C0"/>
        </a:solidFill>
        <a:ln w="41275" cmpd="dbl" algn="ctr">
          <a:solidFill>
            <a:srgbClr val="003300"/>
          </a:solidFill>
          <a:miter lim="800000"/>
          <a:headEnd/>
          <a:tailEnd/>
        </a:ln>
        <a:effectLst/>
      </xdr:spPr>
      <xdr:txBody>
        <a:bodyPr wrap="none" lIns="27432" tIns="22860" rIns="27432" bIns="22860" anchor="ctr" upright="1">
          <a:spAutoFit/>
        </a:bodyPr>
        <a:lstStyle/>
        <a:p>
          <a:pPr algn="ctr" rtl="0">
            <a:defRPr sz="1000"/>
          </a:pPr>
          <a:r>
            <a:rPr lang="en-GB" sz="1200" b="0" i="0" strike="noStrike">
              <a:solidFill>
                <a:srgbClr val="000000"/>
              </a:solidFill>
              <a:latin typeface="Arial"/>
              <a:cs typeface="Arial"/>
            </a:rPr>
            <a:t>Run probabilistic sensitivity analysis</a:t>
          </a:r>
        </a:p>
      </xdr:txBody>
    </xdr:sp>
    <xdr:clientData/>
  </xdr:oneCellAnchor>
  <xdr:twoCellAnchor>
    <xdr:from>
      <xdr:col>14</xdr:col>
      <xdr:colOff>76200</xdr:colOff>
      <xdr:row>0</xdr:row>
      <xdr:rowOff>200025</xdr:rowOff>
    </xdr:from>
    <xdr:to>
      <xdr:col>16</xdr:col>
      <xdr:colOff>38100</xdr:colOff>
      <xdr:row>5</xdr:row>
      <xdr:rowOff>123825</xdr:rowOff>
    </xdr:to>
    <xdr:sp macro="[0]!CEAC" textlink="">
      <xdr:nvSpPr>
        <xdr:cNvPr id="3076" name="AutoShape 4"/>
        <xdr:cNvSpPr>
          <a:spLocks noChangeArrowheads="1"/>
        </xdr:cNvSpPr>
      </xdr:nvSpPr>
      <xdr:spPr bwMode="auto">
        <a:xfrm>
          <a:off x="8486775" y="200025"/>
          <a:ext cx="1181100" cy="857250"/>
        </a:xfrm>
        <a:prstGeom prst="star5">
          <a:avLst/>
        </a:prstGeom>
        <a:solidFill>
          <a:srgbClr val="CCFFCC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Run CEAC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0.4345</cdr:x>
      <cdr:y>0.5015</cdr:y>
    </cdr:from>
    <cdr:to>
      <cdr:x>0.44525</cdr:x>
      <cdr:y>0.536</cdr:y>
    </cdr:to>
    <cdr:sp macro="" textlink="">
      <cdr:nvSpPr>
        <cdr:cNvPr id="409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93761" y="2799197"/>
          <a:ext cx="98810" cy="1925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aching/Modelling%20course/Oxford%2005/Exercise%20disc/Exercise%203%20-%20ceaf%20and%20evpi%20sep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Figure"/>
      <sheetName val="Analysis"/>
      <sheetName val="Parameters"/>
      <sheetName val="Life tables"/>
      <sheetName val="Hazard function"/>
      <sheetName val="Standard"/>
      <sheetName val="NP1"/>
      <sheetName val="NP2"/>
      <sheetName val="Simulation"/>
      <sheetName val="inc CE plane"/>
      <sheetName val="CEA curve"/>
      <sheetName val="CEA frontier"/>
      <sheetName val="EVPI"/>
      <sheetName val="CEA frontier vs EVPI"/>
      <sheetName val="Macros"/>
    </sheetNames>
    <sheetDataSet>
      <sheetData sheetId="0"/>
      <sheetData sheetId="1"/>
      <sheetData sheetId="2"/>
      <sheetData sheetId="3"/>
      <sheetData sheetId="4">
        <row r="32">
          <cell r="F32">
            <v>-0.10517023452774049</v>
          </cell>
        </row>
      </sheetData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3"/>
  <sheetViews>
    <sheetView workbookViewId="0"/>
  </sheetViews>
  <sheetFormatPr defaultRowHeight="12.75" x14ac:dyDescent="0.2"/>
  <cols>
    <col min="1" max="1" width="3.140625" customWidth="1"/>
    <col min="16" max="16" width="11.28515625" bestFit="1" customWidth="1"/>
  </cols>
  <sheetData>
    <row r="1" spans="1:1" ht="18" x14ac:dyDescent="0.25">
      <c r="A1" s="5" t="s">
        <v>0</v>
      </c>
    </row>
    <row r="2" spans="1:1" x14ac:dyDescent="0.2">
      <c r="A2" s="4" t="s">
        <v>1</v>
      </c>
    </row>
    <row r="24" spans="1:1" ht="7.5" customHeight="1" x14ac:dyDescent="0.2"/>
    <row r="25" spans="1:1" x14ac:dyDescent="0.2">
      <c r="A25" t="s">
        <v>9</v>
      </c>
    </row>
    <row r="26" spans="1:1" x14ac:dyDescent="0.2">
      <c r="A26" t="s">
        <v>8</v>
      </c>
    </row>
    <row r="27" spans="1:1" x14ac:dyDescent="0.2">
      <c r="A27" t="s">
        <v>7</v>
      </c>
    </row>
    <row r="28" spans="1:1" x14ac:dyDescent="0.2">
      <c r="A28" t="s">
        <v>6</v>
      </c>
    </row>
    <row r="29" spans="1:1" x14ac:dyDescent="0.2">
      <c r="A29" s="50" t="s">
        <v>91</v>
      </c>
    </row>
    <row r="30" spans="1:1" x14ac:dyDescent="0.2">
      <c r="A30" s="50"/>
    </row>
    <row r="31" spans="1:1" x14ac:dyDescent="0.2">
      <c r="A31" t="s">
        <v>27</v>
      </c>
    </row>
    <row r="33" spans="2:2" x14ac:dyDescent="0.2">
      <c r="B33" s="1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9"/>
  <sheetViews>
    <sheetView tabSelected="1" workbookViewId="0">
      <selection activeCell="J24" sqref="J24"/>
    </sheetView>
  </sheetViews>
  <sheetFormatPr defaultRowHeight="12.75" x14ac:dyDescent="0.2"/>
  <cols>
    <col min="1" max="1" width="3.85546875" customWidth="1"/>
    <col min="2" max="2" width="2.7109375" customWidth="1"/>
    <col min="3" max="3" width="14.28515625" bestFit="1" customWidth="1"/>
    <col min="4" max="4" width="13.28515625" bestFit="1" customWidth="1"/>
    <col min="5" max="5" width="11.140625" bestFit="1" customWidth="1"/>
    <col min="7" max="7" width="3" customWidth="1"/>
    <col min="9" max="9" width="4.85546875" customWidth="1"/>
    <col min="10" max="10" width="15.85546875" customWidth="1"/>
    <col min="11" max="11" width="13.28515625" bestFit="1" customWidth="1"/>
    <col min="14" max="14" width="4.85546875" customWidth="1"/>
  </cols>
  <sheetData>
    <row r="1" spans="1:14" ht="18" x14ac:dyDescent="0.25">
      <c r="A1" s="2" t="s">
        <v>74</v>
      </c>
    </row>
    <row r="4" spans="1:14" ht="13.5" thickBot="1" x14ac:dyDescent="0.25"/>
    <row r="5" spans="1:14" ht="16.5" thickTop="1" x14ac:dyDescent="0.25">
      <c r="B5" s="31" t="s">
        <v>75</v>
      </c>
      <c r="C5" s="32"/>
      <c r="D5" s="32"/>
      <c r="E5" s="32"/>
      <c r="F5" s="32"/>
      <c r="G5" s="33"/>
      <c r="I5" s="31" t="s">
        <v>88</v>
      </c>
      <c r="J5" s="32"/>
      <c r="K5" s="32"/>
      <c r="L5" s="32"/>
      <c r="M5" s="32"/>
      <c r="N5" s="33"/>
    </row>
    <row r="6" spans="1:14" x14ac:dyDescent="0.2">
      <c r="B6" s="34"/>
      <c r="C6" s="26"/>
      <c r="D6" s="26"/>
      <c r="E6" s="26"/>
      <c r="F6" s="26"/>
      <c r="G6" s="35"/>
      <c r="I6" s="34"/>
      <c r="J6" s="26"/>
      <c r="K6" s="26"/>
      <c r="L6" s="26"/>
      <c r="M6" s="26"/>
      <c r="N6" s="35"/>
    </row>
    <row r="7" spans="1:14" x14ac:dyDescent="0.2">
      <c r="B7" s="34"/>
      <c r="C7" s="57" t="s">
        <v>105</v>
      </c>
      <c r="D7" s="57"/>
      <c r="E7" s="57"/>
      <c r="F7" s="57"/>
      <c r="G7" s="35"/>
      <c r="I7" s="34"/>
      <c r="J7" s="57" t="s">
        <v>105</v>
      </c>
      <c r="K7" s="57"/>
      <c r="L7" s="57"/>
      <c r="M7" s="57"/>
      <c r="N7" s="35"/>
    </row>
    <row r="8" spans="1:14" x14ac:dyDescent="0.2">
      <c r="B8" s="34"/>
      <c r="C8" s="26"/>
      <c r="D8" s="41" t="s">
        <v>76</v>
      </c>
      <c r="E8" s="41" t="s">
        <v>60</v>
      </c>
      <c r="F8" s="41" t="s">
        <v>79</v>
      </c>
      <c r="G8" s="35"/>
      <c r="I8" s="34"/>
      <c r="J8" s="26"/>
      <c r="K8" s="41" t="s">
        <v>76</v>
      </c>
      <c r="L8" s="41" t="s">
        <v>60</v>
      </c>
      <c r="M8" s="41" t="s">
        <v>79</v>
      </c>
      <c r="N8" s="35"/>
    </row>
    <row r="9" spans="1:14" x14ac:dyDescent="0.2">
      <c r="B9" s="34"/>
      <c r="C9" s="26" t="s">
        <v>66</v>
      </c>
      <c r="D9" s="24">
        <f>'No drug'!S55</f>
        <v>11831.502756269565</v>
      </c>
      <c r="E9" s="21">
        <f>'No drug'!N55</f>
        <v>9.2192204866681529</v>
      </c>
      <c r="F9" s="21">
        <f>'No drug'!M55</f>
        <v>10.237721047153583</v>
      </c>
      <c r="G9" s="36"/>
      <c r="H9" s="12"/>
      <c r="I9" s="34"/>
      <c r="J9" s="26" t="s">
        <v>66</v>
      </c>
      <c r="K9" s="24">
        <f>PSA!L1007</f>
        <v>11752.758649086874</v>
      </c>
      <c r="L9" s="20">
        <f>PSA!N1007</f>
        <v>9.2476357514567713</v>
      </c>
      <c r="M9" s="20">
        <f>PSA!M1007</f>
        <v>10.265220323057203</v>
      </c>
      <c r="N9" s="36"/>
    </row>
    <row r="10" spans="1:14" x14ac:dyDescent="0.2">
      <c r="B10" s="34"/>
      <c r="C10" s="26" t="s">
        <v>73</v>
      </c>
      <c r="D10" s="24">
        <f>Drug!S55</f>
        <v>20114.90256421817</v>
      </c>
      <c r="E10" s="21">
        <f>Drug!N55</f>
        <v>10.479464893454905</v>
      </c>
      <c r="F10" s="21">
        <f>Drug!M55</f>
        <v>11.413171398685</v>
      </c>
      <c r="G10" s="36"/>
      <c r="H10" s="12"/>
      <c r="I10" s="34"/>
      <c r="J10" s="26" t="s">
        <v>73</v>
      </c>
      <c r="K10" s="24">
        <f>PSA!O1007</f>
        <v>20004.638202246228</v>
      </c>
      <c r="L10" s="20">
        <f>PSA!Q1007</f>
        <v>10.501679498140932</v>
      </c>
      <c r="M10" s="20">
        <f>PSA!P1007</f>
        <v>11.432131713444097</v>
      </c>
      <c r="N10" s="36"/>
    </row>
    <row r="11" spans="1:14" x14ac:dyDescent="0.2">
      <c r="B11" s="34"/>
      <c r="C11" s="26" t="s">
        <v>82</v>
      </c>
      <c r="D11" s="24">
        <f>D10-D9</f>
        <v>8283.3998079486046</v>
      </c>
      <c r="E11" s="21">
        <f>E10-E9</f>
        <v>1.260244406786752</v>
      </c>
      <c r="F11" s="21">
        <f>F10-F9</f>
        <v>1.175450351531417</v>
      </c>
      <c r="G11" s="36"/>
      <c r="I11" s="34"/>
      <c r="J11" s="26" t="s">
        <v>82</v>
      </c>
      <c r="K11" s="24">
        <f>K10-K9</f>
        <v>8251.8795531593532</v>
      </c>
      <c r="L11" s="21">
        <f>L10-L9</f>
        <v>1.254043746684161</v>
      </c>
      <c r="M11" s="21">
        <f>M10-M9</f>
        <v>1.1669113903868933</v>
      </c>
      <c r="N11" s="36"/>
    </row>
    <row r="12" spans="1:14" x14ac:dyDescent="0.2">
      <c r="B12" s="34"/>
      <c r="C12" s="26"/>
      <c r="D12" s="28"/>
      <c r="E12" s="28"/>
      <c r="F12" s="29"/>
      <c r="G12" s="36"/>
      <c r="I12" s="34"/>
      <c r="J12" s="26"/>
      <c r="K12" s="28"/>
      <c r="L12" s="28"/>
      <c r="M12" s="29"/>
      <c r="N12" s="36"/>
    </row>
    <row r="13" spans="1:14" x14ac:dyDescent="0.2">
      <c r="B13" s="34"/>
      <c r="C13" s="26"/>
      <c r="D13" s="26" t="s">
        <v>77</v>
      </c>
      <c r="E13" s="27" t="s">
        <v>78</v>
      </c>
      <c r="F13" s="26" t="s">
        <v>81</v>
      </c>
      <c r="G13" s="36"/>
      <c r="I13" s="34"/>
      <c r="J13" s="26"/>
      <c r="K13" s="26" t="s">
        <v>77</v>
      </c>
      <c r="L13" s="27" t="s">
        <v>78</v>
      </c>
      <c r="M13" s="26" t="s">
        <v>81</v>
      </c>
      <c r="N13" s="36"/>
    </row>
    <row r="14" spans="1:14" x14ac:dyDescent="0.2">
      <c r="B14" s="34"/>
      <c r="C14" s="26"/>
      <c r="D14" s="26" t="s">
        <v>80</v>
      </c>
      <c r="E14" s="24">
        <f>D11/E11</f>
        <v>6572.8518717006709</v>
      </c>
      <c r="F14" s="24">
        <f>D11/F11</f>
        <v>7047.0010044717819</v>
      </c>
      <c r="G14" s="35"/>
      <c r="I14" s="34"/>
      <c r="J14" s="26"/>
      <c r="K14" s="26" t="s">
        <v>80</v>
      </c>
      <c r="L14" s="24">
        <f>K11/L11</f>
        <v>6580.2166590904762</v>
      </c>
      <c r="M14" s="24">
        <f>K11/M11</f>
        <v>7071.5562648020905</v>
      </c>
      <c r="N14" s="35"/>
    </row>
    <row r="15" spans="1:14" x14ac:dyDescent="0.2">
      <c r="B15" s="34"/>
      <c r="C15" s="26"/>
      <c r="D15" s="28"/>
      <c r="E15" s="26"/>
      <c r="F15" s="26"/>
      <c r="G15" s="35"/>
      <c r="I15" s="34"/>
      <c r="J15" s="26"/>
      <c r="K15" s="26"/>
      <c r="L15" s="26"/>
      <c r="M15" s="26"/>
      <c r="N15" s="35"/>
    </row>
    <row r="16" spans="1:14" ht="13.5" thickBot="1" x14ac:dyDescent="0.25">
      <c r="B16" s="34"/>
      <c r="C16" s="57" t="s">
        <v>106</v>
      </c>
      <c r="D16" s="57"/>
      <c r="E16" s="57"/>
      <c r="F16" s="57"/>
      <c r="G16" s="35"/>
      <c r="I16" s="37"/>
      <c r="J16" s="38"/>
      <c r="K16" s="38"/>
      <c r="L16" s="39"/>
      <c r="M16" s="38"/>
      <c r="N16" s="40"/>
    </row>
    <row r="17" spans="2:11" ht="13.5" thickTop="1" x14ac:dyDescent="0.2">
      <c r="B17" s="34"/>
      <c r="C17" s="26"/>
      <c r="D17" s="41" t="s">
        <v>76</v>
      </c>
      <c r="E17" s="41" t="s">
        <v>60</v>
      </c>
      <c r="F17" s="41" t="s">
        <v>79</v>
      </c>
      <c r="G17" s="35"/>
    </row>
    <row r="18" spans="2:11" x14ac:dyDescent="0.2">
      <c r="B18" s="34"/>
      <c r="C18" s="26" t="s">
        <v>66</v>
      </c>
      <c r="D18" s="24">
        <f>'No drug'!AD55</f>
        <v>12081.502756269565</v>
      </c>
      <c r="E18" s="21">
        <f>'No drug'!Y55</f>
        <v>9.6942204866681507</v>
      </c>
      <c r="F18" s="21">
        <f>'No drug'!X55</f>
        <v>10.737721047153583</v>
      </c>
      <c r="G18" s="35"/>
    </row>
    <row r="19" spans="2:11" x14ac:dyDescent="0.2">
      <c r="B19" s="34"/>
      <c r="C19" s="26" t="s">
        <v>73</v>
      </c>
      <c r="D19" s="24">
        <f>Drug!AD55</f>
        <v>20864.90256421817</v>
      </c>
      <c r="E19" s="21">
        <f>Drug!Y55</f>
        <v>10.954464893454904</v>
      </c>
      <c r="F19" s="21">
        <f>Drug!X55</f>
        <v>11.913171398685</v>
      </c>
      <c r="G19" s="35"/>
    </row>
    <row r="20" spans="2:11" x14ac:dyDescent="0.2">
      <c r="B20" s="34"/>
      <c r="C20" s="26" t="s">
        <v>82</v>
      </c>
      <c r="D20" s="24">
        <f>D19-D18</f>
        <v>8783.3998079486046</v>
      </c>
      <c r="E20" s="21">
        <f>E19-E18</f>
        <v>1.2602444067867538</v>
      </c>
      <c r="F20" s="21">
        <f>F19-F18</f>
        <v>1.175450351531417</v>
      </c>
      <c r="G20" s="35"/>
    </row>
    <row r="21" spans="2:11" x14ac:dyDescent="0.2">
      <c r="B21" s="34"/>
      <c r="C21" s="26"/>
      <c r="D21" s="28"/>
      <c r="E21" s="28"/>
      <c r="F21" s="29"/>
      <c r="G21" s="35"/>
    </row>
    <row r="22" spans="2:11" x14ac:dyDescent="0.2">
      <c r="B22" s="34"/>
      <c r="C22" s="26"/>
      <c r="D22" s="26" t="s">
        <v>77</v>
      </c>
      <c r="E22" s="27" t="s">
        <v>78</v>
      </c>
      <c r="F22" s="26" t="s">
        <v>81</v>
      </c>
      <c r="G22" s="35"/>
    </row>
    <row r="23" spans="2:11" x14ac:dyDescent="0.2">
      <c r="B23" s="34"/>
      <c r="C23" s="26"/>
      <c r="D23" s="26" t="s">
        <v>80</v>
      </c>
      <c r="E23" s="24">
        <f>D20/E20</f>
        <v>6969.6003097872472</v>
      </c>
      <c r="F23" s="24">
        <f>D20/F20</f>
        <v>7472.3698848745853</v>
      </c>
      <c r="G23" s="35"/>
    </row>
    <row r="24" spans="2:11" ht="13.5" thickBot="1" x14ac:dyDescent="0.25">
      <c r="B24" s="37"/>
      <c r="C24" s="38"/>
      <c r="D24" s="38"/>
      <c r="E24" s="39"/>
      <c r="F24" s="38"/>
      <c r="G24" s="40"/>
    </row>
    <row r="25" spans="2:11" ht="13.5" thickTop="1" x14ac:dyDescent="0.2"/>
    <row r="28" spans="2:11" x14ac:dyDescent="0.2">
      <c r="J28" s="15"/>
      <c r="K28" s="12"/>
    </row>
    <row r="29" spans="2:11" x14ac:dyDescent="0.2">
      <c r="J29" s="15"/>
      <c r="K29" s="12"/>
    </row>
  </sheetData>
  <mergeCells count="3">
    <mergeCell ref="C7:F7"/>
    <mergeCell ref="C16:F16"/>
    <mergeCell ref="J7:M7"/>
  </mergeCells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1"/>
  <sheetViews>
    <sheetView workbookViewId="0">
      <selection activeCell="D5" sqref="D5"/>
    </sheetView>
  </sheetViews>
  <sheetFormatPr defaultRowHeight="12.75" x14ac:dyDescent="0.2"/>
  <cols>
    <col min="1" max="1" width="12.140625" customWidth="1"/>
    <col min="2" max="2" width="10.42578125" bestFit="1" customWidth="1"/>
    <col min="3" max="3" width="13" customWidth="1"/>
    <col min="4" max="4" width="12.140625" bestFit="1" customWidth="1"/>
    <col min="5" max="5" width="18.140625" customWidth="1"/>
    <col min="6" max="6" width="11.140625" bestFit="1" customWidth="1"/>
    <col min="7" max="7" width="10.5703125" bestFit="1" customWidth="1"/>
    <col min="8" max="8" width="23" customWidth="1"/>
    <col min="9" max="9" width="65.7109375" customWidth="1"/>
  </cols>
  <sheetData>
    <row r="1" spans="1:9" ht="18" x14ac:dyDescent="0.25">
      <c r="A1" s="2" t="s">
        <v>10</v>
      </c>
      <c r="D1" s="8"/>
      <c r="E1" s="8"/>
      <c r="F1" s="9" t="s">
        <v>57</v>
      </c>
      <c r="G1" s="8"/>
      <c r="H1" s="8"/>
    </row>
    <row r="2" spans="1:9" x14ac:dyDescent="0.2">
      <c r="D2" s="8"/>
      <c r="E2" s="8"/>
      <c r="F2" s="9" t="s">
        <v>29</v>
      </c>
      <c r="G2" s="8"/>
      <c r="H2" s="8"/>
    </row>
    <row r="3" spans="1:9" x14ac:dyDescent="0.2">
      <c r="D3" s="10"/>
      <c r="E3" s="10"/>
      <c r="F3" s="11" t="s">
        <v>58</v>
      </c>
      <c r="G3" s="10"/>
      <c r="H3" s="10"/>
    </row>
    <row r="4" spans="1:9" ht="13.5" thickBot="1" x14ac:dyDescent="0.25"/>
    <row r="5" spans="1:9" ht="13.5" thickBot="1" x14ac:dyDescent="0.25">
      <c r="D5" s="46">
        <v>0</v>
      </c>
      <c r="E5" s="13" t="s">
        <v>104</v>
      </c>
      <c r="F5" s="13"/>
      <c r="G5" s="13"/>
      <c r="H5" s="13"/>
    </row>
    <row r="8" spans="1:9" x14ac:dyDescent="0.2">
      <c r="B8" s="6"/>
      <c r="D8" s="6"/>
      <c r="E8" s="45" t="s">
        <v>31</v>
      </c>
      <c r="F8" s="45"/>
      <c r="G8" s="45"/>
      <c r="H8" s="45"/>
      <c r="I8" s="6"/>
    </row>
    <row r="9" spans="1:9" ht="26.25" thickBot="1" x14ac:dyDescent="0.25">
      <c r="A9" s="43" t="s">
        <v>28</v>
      </c>
      <c r="B9" s="44" t="s">
        <v>30</v>
      </c>
      <c r="C9" s="44" t="s">
        <v>33</v>
      </c>
      <c r="D9" s="44" t="s">
        <v>32</v>
      </c>
      <c r="E9" s="44" t="s">
        <v>93</v>
      </c>
      <c r="F9" s="44" t="s">
        <v>34</v>
      </c>
      <c r="G9" s="44" t="s">
        <v>96</v>
      </c>
      <c r="H9" s="44" t="s">
        <v>97</v>
      </c>
      <c r="I9" s="44" t="s">
        <v>35</v>
      </c>
    </row>
    <row r="11" spans="1:9" x14ac:dyDescent="0.2">
      <c r="A11" s="6" t="s">
        <v>11</v>
      </c>
    </row>
    <row r="12" spans="1:9" x14ac:dyDescent="0.2">
      <c r="A12" s="7" t="s">
        <v>12</v>
      </c>
      <c r="B12" s="42">
        <f>IF($D$5=0,C12,D12)</f>
        <v>500</v>
      </c>
      <c r="C12" s="24">
        <v>500</v>
      </c>
      <c r="D12" s="24">
        <f ca="1">GAMMAINV(RAND(),G12,H12)</f>
        <v>516.824353195767</v>
      </c>
      <c r="E12" s="52">
        <v>127.6</v>
      </c>
      <c r="F12" s="53" t="s">
        <v>94</v>
      </c>
      <c r="G12" s="21">
        <f>(C12)^2/(E12)^2</f>
        <v>15.354605398924933</v>
      </c>
      <c r="H12" s="21">
        <f>E12^2/C12</f>
        <v>32.563519999999997</v>
      </c>
      <c r="I12" s="3" t="s">
        <v>36</v>
      </c>
    </row>
    <row r="13" spans="1:9" x14ac:dyDescent="0.2">
      <c r="A13" s="7" t="s">
        <v>13</v>
      </c>
      <c r="B13" s="42">
        <f>IF($D$5=0,C13,D13)</f>
        <v>3000</v>
      </c>
      <c r="C13" s="24">
        <v>3000</v>
      </c>
      <c r="D13" s="24">
        <f ca="1">GAMMAINV(RAND(),G13,H13)</f>
        <v>2557.49795304585</v>
      </c>
      <c r="E13" s="52">
        <v>510.2</v>
      </c>
      <c r="F13" s="53" t="s">
        <v>94</v>
      </c>
      <c r="G13" s="21">
        <v>34.574399999999997</v>
      </c>
      <c r="H13" s="21">
        <f>E13^2/C13</f>
        <v>86.768013333333329</v>
      </c>
      <c r="I13" s="3" t="s">
        <v>40</v>
      </c>
    </row>
    <row r="14" spans="1:9" x14ac:dyDescent="0.2">
      <c r="A14" s="7" t="s">
        <v>14</v>
      </c>
      <c r="B14" s="42">
        <f>IF($D$5=0,C14,D14)</f>
        <v>1000</v>
      </c>
      <c r="C14" s="24">
        <v>1000</v>
      </c>
      <c r="D14" s="24">
        <f ca="1">GAMMAINV(RAND(),G14,H14)</f>
        <v>908.63878382505391</v>
      </c>
      <c r="E14" s="52">
        <v>102</v>
      </c>
      <c r="F14" s="53" t="s">
        <v>94</v>
      </c>
      <c r="G14" s="21">
        <v>96.04</v>
      </c>
      <c r="H14" s="21">
        <f>E14^2/C14</f>
        <v>10.404</v>
      </c>
      <c r="I14" s="3" t="s">
        <v>38</v>
      </c>
    </row>
    <row r="15" spans="1:9" x14ac:dyDescent="0.2">
      <c r="A15" s="7" t="s">
        <v>15</v>
      </c>
      <c r="B15" s="42">
        <f>IF($D$5=0,C15,D15)</f>
        <v>1000</v>
      </c>
      <c r="C15" s="24">
        <v>1000</v>
      </c>
      <c r="D15" s="24">
        <f ca="1">GAMMAINV(RAND(),G15,H15)</f>
        <v>726.23238252884062</v>
      </c>
      <c r="E15" s="52">
        <v>255.1</v>
      </c>
      <c r="F15" s="53" t="s">
        <v>94</v>
      </c>
      <c r="G15" s="21">
        <v>15.366400000000001</v>
      </c>
      <c r="H15" s="21">
        <f>E15^2/C15</f>
        <v>65.076009999999997</v>
      </c>
      <c r="I15" s="3" t="s">
        <v>37</v>
      </c>
    </row>
    <row r="16" spans="1:9" x14ac:dyDescent="0.2">
      <c r="F16" s="54"/>
      <c r="I16" s="3"/>
    </row>
    <row r="17" spans="1:9" x14ac:dyDescent="0.2">
      <c r="F17" s="54"/>
      <c r="I17" s="3"/>
    </row>
    <row r="18" spans="1:9" x14ac:dyDescent="0.2">
      <c r="A18" s="6" t="s">
        <v>16</v>
      </c>
      <c r="F18" s="54"/>
      <c r="I18" s="3"/>
    </row>
    <row r="19" spans="1:9" x14ac:dyDescent="0.2">
      <c r="A19" s="7" t="s">
        <v>17</v>
      </c>
      <c r="B19" s="42">
        <f>IF($D$5=0,C19,D19)</f>
        <v>0.95</v>
      </c>
      <c r="C19" s="19">
        <v>0.95</v>
      </c>
      <c r="D19" s="21">
        <f ca="1">BETAINV(RAND(),G19,H19)</f>
        <v>0.96601786758637354</v>
      </c>
      <c r="E19" s="51">
        <v>2.5999999999999999E-2</v>
      </c>
      <c r="F19" s="53" t="s">
        <v>98</v>
      </c>
      <c r="G19" s="21">
        <f>C19*(C19*(1-C19)/(E19^2)-1)</f>
        <v>65.802958579881718</v>
      </c>
      <c r="H19" s="21">
        <f>C19*(1-C19)/(E19^2)-1-G19</f>
        <v>3.4633136094674626</v>
      </c>
      <c r="I19" s="3" t="s">
        <v>43</v>
      </c>
    </row>
    <row r="20" spans="1:9" x14ac:dyDescent="0.2">
      <c r="A20" s="7" t="s">
        <v>18</v>
      </c>
      <c r="B20" s="42">
        <f>IF($D$5=0,C20,D20)</f>
        <v>0.75</v>
      </c>
      <c r="C20" s="19">
        <v>0.75</v>
      </c>
      <c r="D20" s="21">
        <f ca="1">BETAINV(RAND(),G20,H20)</f>
        <v>0.66733993550782433</v>
      </c>
      <c r="E20" s="51">
        <v>7.6999999999999999E-2</v>
      </c>
      <c r="F20" s="53" t="s">
        <v>98</v>
      </c>
      <c r="G20" s="21">
        <f>C20*(C20*(1-C20)/(E20^2)-1)</f>
        <v>22.968164951931186</v>
      </c>
      <c r="H20" s="21">
        <f>C20*(1-C20)/(E20^2)-1-G20</f>
        <v>7.6560549839770609</v>
      </c>
      <c r="I20" s="3" t="s">
        <v>44</v>
      </c>
    </row>
    <row r="21" spans="1:9" x14ac:dyDescent="0.2">
      <c r="F21" s="54"/>
      <c r="G21" s="54"/>
      <c r="H21" s="54"/>
      <c r="I21" s="3"/>
    </row>
    <row r="22" spans="1:9" x14ac:dyDescent="0.2">
      <c r="F22" s="54"/>
      <c r="G22" s="54"/>
      <c r="H22" s="54"/>
      <c r="I22" s="3"/>
    </row>
    <row r="23" spans="1:9" x14ac:dyDescent="0.2">
      <c r="F23" s="54"/>
      <c r="I23" s="3"/>
    </row>
    <row r="24" spans="1:9" x14ac:dyDescent="0.2">
      <c r="A24" s="6" t="s">
        <v>5</v>
      </c>
      <c r="F24" s="54"/>
      <c r="I24" s="3"/>
    </row>
    <row r="25" spans="1:9" x14ac:dyDescent="0.2">
      <c r="A25" s="7" t="s">
        <v>19</v>
      </c>
      <c r="B25" s="42">
        <f>IF($D$5=0,C25,D25)</f>
        <v>0.01</v>
      </c>
      <c r="C25" s="19">
        <v>0.01</v>
      </c>
      <c r="D25" s="22">
        <f ca="1">EXP(NORMINV(RAND(),G25,H25))</f>
        <v>9.3231052448868642E-3</v>
      </c>
      <c r="E25" s="51">
        <v>1E-3</v>
      </c>
      <c r="F25" s="53" t="s">
        <v>56</v>
      </c>
      <c r="G25" s="21">
        <f>LN(C25)</f>
        <v>-4.6051701859880909</v>
      </c>
      <c r="H25" s="22">
        <f>(LN(C25+1.96*E25)-(LN(C25-1.96*E25)))/(2*1.96)</f>
        <v>0.10131088401316611</v>
      </c>
      <c r="I25" s="3" t="s">
        <v>42</v>
      </c>
    </row>
    <row r="26" spans="1:9" x14ac:dyDescent="0.2">
      <c r="A26" s="7" t="s">
        <v>20</v>
      </c>
      <c r="B26" s="42">
        <f>IF($D$5=0,C26,D26)</f>
        <v>0.15</v>
      </c>
      <c r="C26" s="19">
        <v>0.15</v>
      </c>
      <c r="D26" s="21">
        <f ca="1">BETAINV(RAND(),G26,H26)</f>
        <v>0.18908104994366748</v>
      </c>
      <c r="E26" s="51">
        <v>2.5999999999999999E-2</v>
      </c>
      <c r="F26" s="53" t="s">
        <v>98</v>
      </c>
      <c r="G26" s="21">
        <f>C26*(C26*(1-C26)/(E26^2)-1)</f>
        <v>28.141420118343195</v>
      </c>
      <c r="H26" s="21">
        <f>C26*(1-C26)/(E26^2)-1-G26</f>
        <v>159.46804733727811</v>
      </c>
      <c r="I26" s="3" t="s">
        <v>39</v>
      </c>
    </row>
    <row r="27" spans="1:9" x14ac:dyDescent="0.2">
      <c r="A27" t="s">
        <v>49</v>
      </c>
      <c r="B27" s="22">
        <v>1.38E-2</v>
      </c>
      <c r="F27" s="54"/>
      <c r="I27" s="3" t="s">
        <v>45</v>
      </c>
    </row>
    <row r="28" spans="1:9" x14ac:dyDescent="0.2">
      <c r="A28" t="s">
        <v>50</v>
      </c>
      <c r="B28" s="22">
        <v>3.7900000000000003E-2</v>
      </c>
      <c r="F28" s="54"/>
      <c r="I28" s="3" t="s">
        <v>46</v>
      </c>
    </row>
    <row r="29" spans="1:9" x14ac:dyDescent="0.2">
      <c r="A29" t="s">
        <v>51</v>
      </c>
      <c r="B29" s="22">
        <v>9.1200000000000003E-2</v>
      </c>
      <c r="F29" s="54"/>
      <c r="I29" s="3" t="s">
        <v>47</v>
      </c>
    </row>
    <row r="30" spans="1:9" x14ac:dyDescent="0.2">
      <c r="A30" t="s">
        <v>52</v>
      </c>
      <c r="B30" s="22">
        <v>0.1958</v>
      </c>
      <c r="F30" s="54"/>
      <c r="I30" s="3" t="s">
        <v>48</v>
      </c>
    </row>
    <row r="31" spans="1:9" x14ac:dyDescent="0.2">
      <c r="F31" s="54"/>
      <c r="I31" s="3"/>
    </row>
    <row r="32" spans="1:9" x14ac:dyDescent="0.2">
      <c r="A32" s="6" t="s">
        <v>22</v>
      </c>
      <c r="F32" s="54"/>
      <c r="I32" s="3"/>
    </row>
    <row r="33" spans="1:9" x14ac:dyDescent="0.2">
      <c r="A33" s="7" t="s">
        <v>23</v>
      </c>
      <c r="B33" s="42">
        <f>IF($D$5=0,C33,D33)</f>
        <v>0.5</v>
      </c>
      <c r="C33" s="19">
        <v>0.5</v>
      </c>
      <c r="D33" s="22">
        <f ca="1">EXP(NORMINV(RAND(),G33,H33))</f>
        <v>0.55425599390236624</v>
      </c>
      <c r="E33" s="51">
        <v>5.0999999999999997E-2</v>
      </c>
      <c r="F33" s="53" t="s">
        <v>56</v>
      </c>
      <c r="G33" s="21">
        <f>LN(C33)</f>
        <v>-0.69314718055994529</v>
      </c>
      <c r="H33" s="21">
        <f>(LN(C33+1.96*E33)-(LN(C33-1.96*E33)))/(2*1.96)</f>
        <v>0.10339246025990904</v>
      </c>
      <c r="I33" s="3" t="s">
        <v>41</v>
      </c>
    </row>
    <row r="34" spans="1:9" x14ac:dyDescent="0.2">
      <c r="I34" s="3"/>
    </row>
    <row r="35" spans="1:9" x14ac:dyDescent="0.2">
      <c r="A35" t="s">
        <v>24</v>
      </c>
      <c r="B35" s="19">
        <v>55</v>
      </c>
      <c r="I35" s="3" t="s">
        <v>53</v>
      </c>
    </row>
    <row r="36" spans="1:9" x14ac:dyDescent="0.2">
      <c r="I36" s="3"/>
    </row>
    <row r="37" spans="1:9" x14ac:dyDescent="0.2">
      <c r="A37" t="s">
        <v>25</v>
      </c>
      <c r="B37" s="19">
        <v>3.5000000000000003E-2</v>
      </c>
      <c r="I37" s="3" t="s">
        <v>54</v>
      </c>
    </row>
    <row r="38" spans="1:9" x14ac:dyDescent="0.2">
      <c r="A38" t="s">
        <v>26</v>
      </c>
      <c r="B38" s="19">
        <v>3.5000000000000003E-2</v>
      </c>
      <c r="I38" s="3" t="s">
        <v>55</v>
      </c>
    </row>
    <row r="41" spans="1:9" x14ac:dyDescent="0.2">
      <c r="B41" t="s">
        <v>95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55"/>
  <sheetViews>
    <sheetView topLeftCell="D34" workbookViewId="0">
      <selection activeCell="V52" sqref="V52:Y53"/>
    </sheetView>
  </sheetViews>
  <sheetFormatPr defaultRowHeight="12.75" x14ac:dyDescent="0.2"/>
  <cols>
    <col min="5" max="5" width="13.85546875" bestFit="1" customWidth="1"/>
    <col min="6" max="6" width="19.28515625" bestFit="1" customWidth="1"/>
    <col min="7" max="7" width="18.140625" bestFit="1" customWidth="1"/>
    <col min="8" max="8" width="18.5703125" bestFit="1" customWidth="1"/>
    <col min="9" max="9" width="11.140625" customWidth="1"/>
    <col min="10" max="10" width="10.85546875" bestFit="1" customWidth="1"/>
    <col min="11" max="11" width="9.85546875" bestFit="1" customWidth="1"/>
    <col min="13" max="13" width="9.85546875" bestFit="1" customWidth="1"/>
    <col min="15" max="15" width="2.7109375" customWidth="1"/>
    <col min="16" max="16" width="12.28515625" bestFit="1" customWidth="1"/>
    <col min="17" max="17" width="12" bestFit="1" customWidth="1"/>
    <col min="18" max="19" width="12.28515625" bestFit="1" customWidth="1"/>
    <col min="20" max="20" width="3.28515625" customWidth="1"/>
    <col min="21" max="21" width="10.85546875" bestFit="1" customWidth="1"/>
    <col min="22" max="22" width="9.85546875" bestFit="1" customWidth="1"/>
    <col min="24" max="24" width="9.85546875" bestFit="1" customWidth="1"/>
    <col min="27" max="27" width="12.28515625" bestFit="1" customWidth="1"/>
    <col min="28" max="28" width="9.85546875" bestFit="1" customWidth="1"/>
    <col min="29" max="29" width="12.28515625" bestFit="1" customWidth="1"/>
    <col min="30" max="30" width="11.28515625" bestFit="1" customWidth="1"/>
  </cols>
  <sheetData>
    <row r="1" spans="1:30" ht="18" x14ac:dyDescent="0.25">
      <c r="A1" s="2" t="s">
        <v>66</v>
      </c>
      <c r="B1" s="14"/>
      <c r="C1" s="14"/>
      <c r="D1" s="14"/>
      <c r="E1" s="14"/>
      <c r="F1" s="14"/>
      <c r="G1" s="14"/>
      <c r="H1" s="14"/>
      <c r="I1" s="14"/>
      <c r="J1" s="14"/>
      <c r="P1" s="14"/>
      <c r="Q1" s="14"/>
      <c r="R1" s="14"/>
      <c r="S1" s="14"/>
      <c r="T1" s="14"/>
      <c r="U1" s="14"/>
      <c r="V1" s="14"/>
      <c r="W1" s="14"/>
    </row>
    <row r="2" spans="1:30" x14ac:dyDescent="0.2">
      <c r="V2" s="59" t="s">
        <v>92</v>
      </c>
      <c r="W2" s="59"/>
      <c r="X2" s="59"/>
      <c r="Y2" s="59"/>
      <c r="Z2" s="59"/>
      <c r="AA2" s="59"/>
      <c r="AB2" s="59"/>
      <c r="AC2" s="59"/>
      <c r="AD2" s="59"/>
    </row>
    <row r="3" spans="1:30" x14ac:dyDescent="0.2">
      <c r="A3" s="6"/>
      <c r="B3" s="6"/>
      <c r="C3" s="6"/>
      <c r="D3" s="6"/>
      <c r="E3" s="58" t="s">
        <v>66</v>
      </c>
      <c r="F3" s="58"/>
      <c r="G3" s="58"/>
      <c r="H3" s="58"/>
      <c r="I3" s="6"/>
      <c r="J3" s="6"/>
      <c r="K3" s="6"/>
      <c r="L3" s="6"/>
      <c r="M3" s="58" t="s">
        <v>71</v>
      </c>
      <c r="N3" s="58"/>
      <c r="O3" s="16"/>
      <c r="P3" s="6"/>
      <c r="Q3" s="6"/>
      <c r="R3" s="6"/>
      <c r="S3" s="6" t="s">
        <v>71</v>
      </c>
      <c r="T3" s="6"/>
      <c r="AD3" s="6" t="s">
        <v>71</v>
      </c>
    </row>
    <row r="4" spans="1:30" ht="13.5" thickBot="1" x14ac:dyDescent="0.25">
      <c r="A4" s="6" t="s">
        <v>59</v>
      </c>
      <c r="B4" s="6"/>
      <c r="C4" s="6" t="s">
        <v>21</v>
      </c>
      <c r="D4" s="6"/>
      <c r="E4" s="17" t="s">
        <v>67</v>
      </c>
      <c r="F4" s="17" t="s">
        <v>68</v>
      </c>
      <c r="G4" s="17" t="s">
        <v>89</v>
      </c>
      <c r="H4" s="17" t="s">
        <v>90</v>
      </c>
      <c r="I4" s="6" t="s">
        <v>69</v>
      </c>
      <c r="J4" s="6"/>
      <c r="K4" s="17" t="s">
        <v>70</v>
      </c>
      <c r="L4" s="17" t="s">
        <v>60</v>
      </c>
      <c r="M4" s="17" t="s">
        <v>70</v>
      </c>
      <c r="N4" s="17" t="s">
        <v>60</v>
      </c>
      <c r="O4" s="25"/>
      <c r="P4" s="17" t="s">
        <v>61</v>
      </c>
      <c r="Q4" s="17" t="s">
        <v>62</v>
      </c>
      <c r="R4" s="17" t="s">
        <v>63</v>
      </c>
      <c r="S4" s="17" t="s">
        <v>72</v>
      </c>
      <c r="T4" s="25"/>
      <c r="V4" s="17" t="s">
        <v>70</v>
      </c>
      <c r="W4" s="17" t="s">
        <v>60</v>
      </c>
      <c r="X4" s="17" t="s">
        <v>70</v>
      </c>
      <c r="Y4" s="17" t="s">
        <v>60</v>
      </c>
      <c r="Z4" s="25"/>
      <c r="AA4" s="17" t="s">
        <v>61</v>
      </c>
      <c r="AB4" s="17" t="s">
        <v>62</v>
      </c>
      <c r="AC4" s="17" t="s">
        <v>63</v>
      </c>
      <c r="AD4" s="17" t="s">
        <v>72</v>
      </c>
    </row>
    <row r="6" spans="1:30" x14ac:dyDescent="0.2">
      <c r="A6">
        <v>0</v>
      </c>
      <c r="C6" s="19">
        <f t="shared" ref="C6:C51" si="0">IF(ini_age+A6&lt;55,"error",IF(ini_age+A6&gt;=85,natDeath85,IF(ini_age+A6&gt;=75,natDeath75,IF(ini_age+A6&gt;=65,natDeath65,IF(ini_age+A6&gt;=55,natDeath55,"error")))))</f>
        <v>1.38E-2</v>
      </c>
      <c r="E6" s="23">
        <v>1000</v>
      </c>
      <c r="F6" s="15"/>
      <c r="G6" s="15"/>
      <c r="H6" s="15"/>
      <c r="I6" s="15">
        <f>SUM(E6:H6)</f>
        <v>1000</v>
      </c>
      <c r="K6" s="15"/>
      <c r="L6" s="15"/>
      <c r="Q6" s="18">
        <f>(F6*tpDcm*cDeath)</f>
        <v>0</v>
      </c>
      <c r="V6">
        <f>E6*0.5</f>
        <v>500</v>
      </c>
      <c r="W6" s="15">
        <f>0.5*(E6*uAsymp+F6*uProg)</f>
        <v>475</v>
      </c>
      <c r="X6" s="15">
        <f t="shared" ref="X6:X51" si="1">V6/((1+oDR)^$A6)</f>
        <v>500</v>
      </c>
      <c r="Y6" s="15">
        <f t="shared" ref="Y6:Y51" si="2">W6/((1+oDR)^$A6)</f>
        <v>475</v>
      </c>
      <c r="AA6" s="18">
        <f>0.5*(E6*cAsymp+F6*cProg)</f>
        <v>250000</v>
      </c>
      <c r="AB6" s="48">
        <f>Q6</f>
        <v>0</v>
      </c>
      <c r="AC6" s="48">
        <f>AA6+AB6</f>
        <v>250000</v>
      </c>
      <c r="AD6" s="18">
        <f t="shared" ref="AD6:AD51" si="3">AC6/((1+cDR)^$A6)</f>
        <v>250000</v>
      </c>
    </row>
    <row r="7" spans="1:30" x14ac:dyDescent="0.2">
      <c r="A7">
        <v>1</v>
      </c>
      <c r="C7" s="19">
        <f t="shared" si="0"/>
        <v>1.38E-2</v>
      </c>
      <c r="E7" s="23">
        <f>E6*(1-tpProg*$A7-$C6)</f>
        <v>976.19999999999993</v>
      </c>
      <c r="F7" s="23">
        <f t="shared" ref="F7:F51" si="4">F6*(1-tpDcm-$C6)+E6*tpProg*$A7</f>
        <v>10</v>
      </c>
      <c r="G7" s="23">
        <f t="shared" ref="G7:G51" si="5">F6*tpDcm+G6</f>
        <v>0</v>
      </c>
      <c r="H7" s="23">
        <f>H6+E6*$C6+F6*$C6</f>
        <v>13.799999999999999</v>
      </c>
      <c r="I7" s="15">
        <f t="shared" ref="I7:I51" si="6">SUM(E7:H7)</f>
        <v>999.99999999999989</v>
      </c>
      <c r="K7" s="15">
        <f>E7+F7</f>
        <v>986.19999999999993</v>
      </c>
      <c r="L7" s="15">
        <f>E7*uAsymp+F7*uProg</f>
        <v>934.88999999999987</v>
      </c>
      <c r="M7" s="15">
        <f>(E7+F7)/((1+oDR)^$A7)</f>
        <v>952.85024154589371</v>
      </c>
      <c r="N7" s="15">
        <f>(E7*uAsymp+F7*uProg)/((1+oDR)^$A7)</f>
        <v>903.27536231884051</v>
      </c>
      <c r="O7" s="15"/>
      <c r="P7" s="18">
        <f>(E7*cAsymp+F7*cProg)</f>
        <v>518099.99999999994</v>
      </c>
      <c r="Q7" s="18">
        <f>(F7*tpDcm*cDeath)</f>
        <v>1500</v>
      </c>
      <c r="R7" s="18">
        <f>P7+Q7</f>
        <v>519599.99999999994</v>
      </c>
      <c r="S7" s="18">
        <f>R7/((1+cDR)^$A7)</f>
        <v>502028.98550724634</v>
      </c>
      <c r="T7" s="18"/>
      <c r="V7" s="15">
        <f>K7</f>
        <v>986.19999999999993</v>
      </c>
      <c r="W7" s="15">
        <f t="shared" ref="W7:W51" si="7">E7*uAsymp+F7*uProg</f>
        <v>934.88999999999987</v>
      </c>
      <c r="X7" s="15">
        <f t="shared" si="1"/>
        <v>952.85024154589371</v>
      </c>
      <c r="Y7" s="15">
        <f t="shared" si="2"/>
        <v>903.27536231884051</v>
      </c>
      <c r="AA7" s="18">
        <f t="shared" ref="AA7:AA51" si="8">(E7*cAsymp+F7*cProg)</f>
        <v>518099.99999999994</v>
      </c>
      <c r="AB7" s="48">
        <f>Q7</f>
        <v>1500</v>
      </c>
      <c r="AC7" s="48">
        <f t="shared" ref="AC7:AC51" si="9">AA7+AB7</f>
        <v>519599.99999999994</v>
      </c>
      <c r="AD7" s="18">
        <f t="shared" si="3"/>
        <v>502028.98550724634</v>
      </c>
    </row>
    <row r="8" spans="1:30" x14ac:dyDescent="0.2">
      <c r="A8">
        <v>2</v>
      </c>
      <c r="C8" s="19">
        <f t="shared" si="0"/>
        <v>1.38E-2</v>
      </c>
      <c r="E8" s="23">
        <f t="shared" ref="E8:E51" si="10">E7*(1-tpProg*$A8-$C7)</f>
        <v>943.20443999999986</v>
      </c>
      <c r="F8" s="23">
        <f t="shared" si="4"/>
        <v>27.885999999999996</v>
      </c>
      <c r="G8" s="23">
        <f t="shared" si="5"/>
        <v>1.5</v>
      </c>
      <c r="H8" s="23">
        <f t="shared" ref="H8:H51" si="11">H7+E7*$C7+F7*$C7</f>
        <v>27.409559999999999</v>
      </c>
      <c r="I8" s="15">
        <f t="shared" si="6"/>
        <v>999.99999999999977</v>
      </c>
      <c r="K8" s="15">
        <f t="shared" ref="K8:K51" si="12">E8+F8</f>
        <v>971.09043999999983</v>
      </c>
      <c r="L8" s="15">
        <f t="shared" ref="L8:L51" si="13">E8*uAsymp+F8*uProg</f>
        <v>916.95871799999975</v>
      </c>
      <c r="M8" s="15">
        <f t="shared" ref="M8:M51" si="14">(E8+F8)/((1+oDR)^$A8)</f>
        <v>906.52331676351832</v>
      </c>
      <c r="N8" s="15">
        <f t="shared" ref="N8:N51" si="15">(E8*uAsymp+F8*uProg)/((1+oDR)^$A8)</f>
        <v>855.99077504725881</v>
      </c>
      <c r="O8" s="15"/>
      <c r="P8" s="18">
        <f t="shared" ref="P8:P51" si="16">(E8*cAsymp+F8*cProg)</f>
        <v>555260.21999999986</v>
      </c>
      <c r="Q8" s="18">
        <f t="shared" ref="Q8:Q51" si="17">(F8*tpDcm*cDeath)</f>
        <v>4182.8999999999987</v>
      </c>
      <c r="R8" s="18">
        <f t="shared" ref="R8:R28" si="18">P8+Q8</f>
        <v>559443.11999999988</v>
      </c>
      <c r="S8" s="18">
        <f t="shared" ref="S8:S51" si="19">R8/((1+cDR)^$A8)</f>
        <v>522246.13876636553</v>
      </c>
      <c r="T8" s="18"/>
      <c r="V8" s="15">
        <f t="shared" ref="V8:V51" si="20">K8</f>
        <v>971.09043999999983</v>
      </c>
      <c r="W8" s="15">
        <f t="shared" si="7"/>
        <v>916.95871799999975</v>
      </c>
      <c r="X8" s="15">
        <f t="shared" si="1"/>
        <v>906.52331676351832</v>
      </c>
      <c r="Y8" s="15">
        <f t="shared" si="2"/>
        <v>855.99077504725881</v>
      </c>
      <c r="AA8" s="18">
        <f t="shared" si="8"/>
        <v>555260.21999999986</v>
      </c>
      <c r="AB8" s="48">
        <f t="shared" ref="AB8:AB50" si="21">Q8</f>
        <v>4182.8999999999987</v>
      </c>
      <c r="AC8" s="48">
        <f t="shared" si="9"/>
        <v>559443.11999999988</v>
      </c>
      <c r="AD8" s="18">
        <f t="shared" si="3"/>
        <v>522246.13876636553</v>
      </c>
    </row>
    <row r="9" spans="1:30" x14ac:dyDescent="0.2">
      <c r="A9">
        <v>3</v>
      </c>
      <c r="C9" s="19">
        <f t="shared" si="0"/>
        <v>1.38E-2</v>
      </c>
      <c r="E9" s="23">
        <f t="shared" si="10"/>
        <v>901.89208552799982</v>
      </c>
      <c r="F9" s="23">
        <f t="shared" si="4"/>
        <v>51.614406399999993</v>
      </c>
      <c r="G9" s="23">
        <f t="shared" si="5"/>
        <v>5.6828999999999992</v>
      </c>
      <c r="H9" s="23">
        <f t="shared" si="11"/>
        <v>40.810608071999994</v>
      </c>
      <c r="I9" s="15">
        <f t="shared" si="6"/>
        <v>999.99999999999989</v>
      </c>
      <c r="K9" s="15">
        <f t="shared" si="12"/>
        <v>953.50649192799983</v>
      </c>
      <c r="L9" s="15">
        <f t="shared" si="13"/>
        <v>895.50828605159984</v>
      </c>
      <c r="M9" s="15">
        <f t="shared" si="14"/>
        <v>860.00822520156453</v>
      </c>
      <c r="N9" s="15">
        <f t="shared" si="15"/>
        <v>807.69716646951326</v>
      </c>
      <c r="O9" s="15"/>
      <c r="P9" s="18">
        <f t="shared" si="16"/>
        <v>605789.26196399983</v>
      </c>
      <c r="Q9" s="18">
        <f t="shared" si="17"/>
        <v>7742.1609599999983</v>
      </c>
      <c r="R9" s="18">
        <f t="shared" si="18"/>
        <v>613531.42292399984</v>
      </c>
      <c r="S9" s="18">
        <f t="shared" si="19"/>
        <v>553370.19160442415</v>
      </c>
      <c r="T9" s="18"/>
      <c r="V9" s="15">
        <f t="shared" si="20"/>
        <v>953.50649192799983</v>
      </c>
      <c r="W9" s="15">
        <f t="shared" si="7"/>
        <v>895.50828605159984</v>
      </c>
      <c r="X9" s="15">
        <f t="shared" si="1"/>
        <v>860.00822520156453</v>
      </c>
      <c r="Y9" s="15">
        <f t="shared" si="2"/>
        <v>807.69716646951326</v>
      </c>
      <c r="AA9" s="18">
        <f t="shared" si="8"/>
        <v>605789.26196399983</v>
      </c>
      <c r="AB9" s="48">
        <f t="shared" si="21"/>
        <v>7742.1609599999983</v>
      </c>
      <c r="AC9" s="48">
        <f t="shared" si="9"/>
        <v>613531.42292399984</v>
      </c>
      <c r="AD9" s="18">
        <f t="shared" si="3"/>
        <v>553370.19160442415</v>
      </c>
    </row>
    <row r="10" spans="1:30" x14ac:dyDescent="0.2">
      <c r="A10">
        <v>4</v>
      </c>
      <c r="C10" s="19">
        <f t="shared" si="0"/>
        <v>1.38E-2</v>
      </c>
      <c r="E10" s="23">
        <f t="shared" si="10"/>
        <v>853.37029132659336</v>
      </c>
      <c r="F10" s="23">
        <f t="shared" si="4"/>
        <v>79.235650052799997</v>
      </c>
      <c r="G10" s="23">
        <f t="shared" si="5"/>
        <v>13.425060959999998</v>
      </c>
      <c r="H10" s="23">
        <f t="shared" si="11"/>
        <v>53.968997660606391</v>
      </c>
      <c r="I10" s="15">
        <f t="shared" si="6"/>
        <v>999.99999999999977</v>
      </c>
      <c r="K10" s="15">
        <f t="shared" si="12"/>
        <v>932.60594137939336</v>
      </c>
      <c r="L10" s="15">
        <f t="shared" si="13"/>
        <v>870.1285142998637</v>
      </c>
      <c r="M10" s="15">
        <f t="shared" si="14"/>
        <v>812.7121991205828</v>
      </c>
      <c r="N10" s="15">
        <f t="shared" si="15"/>
        <v>758.26673088552229</v>
      </c>
      <c r="O10" s="15"/>
      <c r="P10" s="18">
        <f t="shared" si="16"/>
        <v>664392.09582169668</v>
      </c>
      <c r="Q10" s="18">
        <f t="shared" si="17"/>
        <v>11885.347507919998</v>
      </c>
      <c r="R10" s="18">
        <f t="shared" si="18"/>
        <v>676277.44332961668</v>
      </c>
      <c r="S10" s="18">
        <f t="shared" si="19"/>
        <v>589336.72175745619</v>
      </c>
      <c r="T10" s="18"/>
      <c r="V10" s="15">
        <f t="shared" si="20"/>
        <v>932.60594137939336</v>
      </c>
      <c r="W10" s="15">
        <f t="shared" si="7"/>
        <v>870.1285142998637</v>
      </c>
      <c r="X10" s="15">
        <f t="shared" si="1"/>
        <v>812.7121991205828</v>
      </c>
      <c r="Y10" s="15">
        <f t="shared" si="2"/>
        <v>758.26673088552229</v>
      </c>
      <c r="AA10" s="18">
        <f t="shared" si="8"/>
        <v>664392.09582169668</v>
      </c>
      <c r="AB10" s="48">
        <f t="shared" si="21"/>
        <v>11885.347507919998</v>
      </c>
      <c r="AC10" s="48">
        <f t="shared" si="9"/>
        <v>676277.44332961668</v>
      </c>
      <c r="AD10" s="18">
        <f t="shared" si="3"/>
        <v>589336.72175745619</v>
      </c>
    </row>
    <row r="11" spans="1:30" x14ac:dyDescent="0.2">
      <c r="A11">
        <v>5</v>
      </c>
      <c r="C11" s="19">
        <f t="shared" si="0"/>
        <v>1.38E-2</v>
      </c>
      <c r="E11" s="23">
        <f t="shared" si="10"/>
        <v>798.92526673995667</v>
      </c>
      <c r="F11" s="23">
        <f t="shared" si="4"/>
        <v>108.92536514048103</v>
      </c>
      <c r="G11" s="23">
        <f t="shared" si="5"/>
        <v>25.310408467919999</v>
      </c>
      <c r="H11" s="23">
        <f t="shared" si="11"/>
        <v>66.838959651642014</v>
      </c>
      <c r="I11" s="15">
        <f t="shared" si="6"/>
        <v>999.99999999999966</v>
      </c>
      <c r="K11" s="15">
        <f t="shared" si="12"/>
        <v>907.85063188043773</v>
      </c>
      <c r="L11" s="15">
        <f t="shared" si="13"/>
        <v>840.67302725831962</v>
      </c>
      <c r="M11" s="15">
        <f t="shared" si="14"/>
        <v>764.38587155888445</v>
      </c>
      <c r="N11" s="15">
        <f t="shared" si="15"/>
        <v>707.82413105322973</v>
      </c>
      <c r="O11" s="15"/>
      <c r="P11" s="18">
        <f t="shared" si="16"/>
        <v>726238.72879142151</v>
      </c>
      <c r="Q11" s="18">
        <f t="shared" si="17"/>
        <v>16338.804771072155</v>
      </c>
      <c r="R11" s="18">
        <f t="shared" si="18"/>
        <v>742577.53356249363</v>
      </c>
      <c r="S11" s="18">
        <f t="shared" si="19"/>
        <v>625230.35757160478</v>
      </c>
      <c r="T11" s="18"/>
      <c r="V11" s="15">
        <f t="shared" si="20"/>
        <v>907.85063188043773</v>
      </c>
      <c r="W11" s="15">
        <f t="shared" si="7"/>
        <v>840.67302725831962</v>
      </c>
      <c r="X11" s="15">
        <f t="shared" si="1"/>
        <v>764.38587155888445</v>
      </c>
      <c r="Y11" s="15">
        <f t="shared" si="2"/>
        <v>707.82413105322973</v>
      </c>
      <c r="AA11" s="18">
        <f t="shared" si="8"/>
        <v>726238.72879142151</v>
      </c>
      <c r="AB11" s="48">
        <f t="shared" si="21"/>
        <v>16338.804771072155</v>
      </c>
      <c r="AC11" s="48">
        <f t="shared" si="9"/>
        <v>742577.53356249363</v>
      </c>
      <c r="AD11" s="18">
        <f t="shared" si="3"/>
        <v>625230.35757160478</v>
      </c>
    </row>
    <row r="12" spans="1:30" x14ac:dyDescent="0.2">
      <c r="A12">
        <v>6</v>
      </c>
      <c r="C12" s="19">
        <f t="shared" si="0"/>
        <v>1.38E-2</v>
      </c>
      <c r="E12" s="23">
        <f t="shared" si="10"/>
        <v>739.9645820545478</v>
      </c>
      <c r="F12" s="23">
        <f t="shared" si="4"/>
        <v>139.01890633486764</v>
      </c>
      <c r="G12" s="23">
        <f t="shared" si="5"/>
        <v>41.649213238992154</v>
      </c>
      <c r="H12" s="23">
        <f t="shared" si="11"/>
        <v>79.367298371592057</v>
      </c>
      <c r="I12" s="15">
        <f t="shared" si="6"/>
        <v>999.99999999999966</v>
      </c>
      <c r="K12" s="15">
        <f t="shared" si="12"/>
        <v>878.98348838941547</v>
      </c>
      <c r="L12" s="15">
        <f t="shared" si="13"/>
        <v>807.230532702971</v>
      </c>
      <c r="M12" s="15">
        <f t="shared" si="14"/>
        <v>715.05363414066562</v>
      </c>
      <c r="N12" s="15">
        <f t="shared" si="15"/>
        <v>656.6825584587574</v>
      </c>
      <c r="O12" s="15"/>
      <c r="P12" s="18">
        <f t="shared" si="16"/>
        <v>787039.01003187685</v>
      </c>
      <c r="Q12" s="18">
        <f t="shared" si="17"/>
        <v>20852.835950230143</v>
      </c>
      <c r="R12" s="18">
        <f t="shared" si="18"/>
        <v>807891.84598210698</v>
      </c>
      <c r="S12" s="18">
        <f t="shared" si="19"/>
        <v>657220.53723742382</v>
      </c>
      <c r="T12" s="18"/>
      <c r="V12" s="15">
        <f t="shared" si="20"/>
        <v>878.98348838941547</v>
      </c>
      <c r="W12" s="15">
        <f t="shared" si="7"/>
        <v>807.230532702971</v>
      </c>
      <c r="X12" s="15">
        <f t="shared" si="1"/>
        <v>715.05363414066562</v>
      </c>
      <c r="Y12" s="15">
        <f t="shared" si="2"/>
        <v>656.6825584587574</v>
      </c>
      <c r="AA12" s="18">
        <f t="shared" si="8"/>
        <v>787039.01003187685</v>
      </c>
      <c r="AB12" s="48">
        <f t="shared" si="21"/>
        <v>20852.835950230143</v>
      </c>
      <c r="AC12" s="48">
        <f t="shared" si="9"/>
        <v>807891.84598210698</v>
      </c>
      <c r="AD12" s="18">
        <f t="shared" si="3"/>
        <v>657220.53723742382</v>
      </c>
    </row>
    <row r="13" spans="1:30" x14ac:dyDescent="0.2">
      <c r="A13">
        <v>7</v>
      </c>
      <c r="C13" s="19">
        <f t="shared" si="0"/>
        <v>1.38E-2</v>
      </c>
      <c r="E13" s="23">
        <f t="shared" si="10"/>
        <v>677.95555007837663</v>
      </c>
      <c r="F13" s="23">
        <f t="shared" si="4"/>
        <v>168.04513022103467</v>
      </c>
      <c r="G13" s="23">
        <f t="shared" si="5"/>
        <v>62.502049189222298</v>
      </c>
      <c r="H13" s="23">
        <f t="shared" si="11"/>
        <v>91.497270511365997</v>
      </c>
      <c r="I13" s="15">
        <f t="shared" si="6"/>
        <v>999.99999999999955</v>
      </c>
      <c r="K13" s="15">
        <f t="shared" si="12"/>
        <v>846.00068029941133</v>
      </c>
      <c r="L13" s="15">
        <f t="shared" si="13"/>
        <v>770.09162024023374</v>
      </c>
      <c r="M13" s="15">
        <f t="shared" si="14"/>
        <v>664.94888744769889</v>
      </c>
      <c r="N13" s="15">
        <f t="shared" si="15"/>
        <v>605.28505240718016</v>
      </c>
      <c r="O13" s="15"/>
      <c r="P13" s="18">
        <f t="shared" si="16"/>
        <v>843113.16570229235</v>
      </c>
      <c r="Q13" s="18">
        <f t="shared" si="17"/>
        <v>25206.769533155199</v>
      </c>
      <c r="R13" s="18">
        <f t="shared" si="18"/>
        <v>868319.9352354476</v>
      </c>
      <c r="S13" s="18">
        <f t="shared" si="19"/>
        <v>682491.62007662107</v>
      </c>
      <c r="T13" s="18"/>
      <c r="V13" s="15">
        <f t="shared" si="20"/>
        <v>846.00068029941133</v>
      </c>
      <c r="W13" s="15">
        <f t="shared" si="7"/>
        <v>770.09162024023374</v>
      </c>
      <c r="X13" s="15">
        <f t="shared" si="1"/>
        <v>664.94888744769889</v>
      </c>
      <c r="Y13" s="15">
        <f t="shared" si="2"/>
        <v>605.28505240718016</v>
      </c>
      <c r="AA13" s="18">
        <f t="shared" si="8"/>
        <v>843113.16570229235</v>
      </c>
      <c r="AB13" s="48">
        <f t="shared" si="21"/>
        <v>25206.769533155199</v>
      </c>
      <c r="AC13" s="48">
        <f t="shared" si="9"/>
        <v>868319.9352354476</v>
      </c>
      <c r="AD13" s="18">
        <f t="shared" si="3"/>
        <v>682491.62007662107</v>
      </c>
    </row>
    <row r="14" spans="1:30" x14ac:dyDescent="0.2">
      <c r="A14">
        <v>8</v>
      </c>
      <c r="C14" s="19">
        <f t="shared" si="0"/>
        <v>1.38E-2</v>
      </c>
      <c r="E14" s="23">
        <f t="shared" si="10"/>
        <v>614.36331948102486</v>
      </c>
      <c r="F14" s="23">
        <f t="shared" si="4"/>
        <v>194.75578189709933</v>
      </c>
      <c r="G14" s="23">
        <f t="shared" si="5"/>
        <v>87.708818722377501</v>
      </c>
      <c r="H14" s="23">
        <f t="shared" si="11"/>
        <v>103.17207989949787</v>
      </c>
      <c r="I14" s="15">
        <f t="shared" si="6"/>
        <v>999.99999999999955</v>
      </c>
      <c r="K14" s="15">
        <f t="shared" si="12"/>
        <v>809.11910137812424</v>
      </c>
      <c r="L14" s="15">
        <f t="shared" si="13"/>
        <v>729.71198992979805</v>
      </c>
      <c r="M14" s="15">
        <f t="shared" si="14"/>
        <v>614.45439594185552</v>
      </c>
      <c r="N14" s="15">
        <f t="shared" si="15"/>
        <v>554.15171786224494</v>
      </c>
      <c r="O14" s="15"/>
      <c r="P14" s="18">
        <f t="shared" si="16"/>
        <v>891449.00543181039</v>
      </c>
      <c r="Q14" s="18">
        <f t="shared" si="17"/>
        <v>29213.367284564894</v>
      </c>
      <c r="R14" s="18">
        <f t="shared" si="18"/>
        <v>920662.37271637528</v>
      </c>
      <c r="S14" s="18">
        <f t="shared" si="19"/>
        <v>699161.64521428826</v>
      </c>
      <c r="T14" s="18"/>
      <c r="V14" s="15">
        <f t="shared" si="20"/>
        <v>809.11910137812424</v>
      </c>
      <c r="W14" s="15">
        <f t="shared" si="7"/>
        <v>729.71198992979805</v>
      </c>
      <c r="X14" s="15">
        <f t="shared" si="1"/>
        <v>614.45439594185552</v>
      </c>
      <c r="Y14" s="15">
        <f t="shared" si="2"/>
        <v>554.15171786224494</v>
      </c>
      <c r="AA14" s="18">
        <f t="shared" si="8"/>
        <v>891449.00543181039</v>
      </c>
      <c r="AB14" s="48">
        <f t="shared" si="21"/>
        <v>29213.367284564894</v>
      </c>
      <c r="AC14" s="48">
        <f t="shared" si="9"/>
        <v>920662.37271637528</v>
      </c>
      <c r="AD14" s="18">
        <f t="shared" si="3"/>
        <v>699161.64521428826</v>
      </c>
    </row>
    <row r="15" spans="1:30" x14ac:dyDescent="0.2">
      <c r="A15">
        <v>9</v>
      </c>
      <c r="C15" s="19">
        <f t="shared" si="0"/>
        <v>1.38E-2</v>
      </c>
      <c r="E15" s="23">
        <f t="shared" si="10"/>
        <v>550.59240691889443</v>
      </c>
      <c r="F15" s="23">
        <f t="shared" si="4"/>
        <v>218.14748357564667</v>
      </c>
      <c r="G15" s="23">
        <f t="shared" si="5"/>
        <v>116.9221860069424</v>
      </c>
      <c r="H15" s="23">
        <f t="shared" si="11"/>
        <v>114.33792349851599</v>
      </c>
      <c r="I15" s="15">
        <f t="shared" si="6"/>
        <v>999.99999999999955</v>
      </c>
      <c r="K15" s="15">
        <f t="shared" si="12"/>
        <v>768.7398904945411</v>
      </c>
      <c r="L15" s="15">
        <f t="shared" si="13"/>
        <v>686.67339925468468</v>
      </c>
      <c r="M15" s="15">
        <f t="shared" si="14"/>
        <v>564.04826721349718</v>
      </c>
      <c r="N15" s="15">
        <f t="shared" si="15"/>
        <v>503.83354081188685</v>
      </c>
      <c r="O15" s="15"/>
      <c r="P15" s="18">
        <f t="shared" si="16"/>
        <v>929738.65418638731</v>
      </c>
      <c r="Q15" s="18">
        <f t="shared" si="17"/>
        <v>32722.122536347</v>
      </c>
      <c r="R15" s="18">
        <f t="shared" si="18"/>
        <v>962460.77672273433</v>
      </c>
      <c r="S15" s="18">
        <f t="shared" si="19"/>
        <v>706187.28139914304</v>
      </c>
      <c r="T15" s="18"/>
      <c r="V15" s="15">
        <f t="shared" si="20"/>
        <v>768.7398904945411</v>
      </c>
      <c r="W15" s="15">
        <f t="shared" si="7"/>
        <v>686.67339925468468</v>
      </c>
      <c r="X15" s="15">
        <f t="shared" si="1"/>
        <v>564.04826721349718</v>
      </c>
      <c r="Y15" s="15">
        <f t="shared" si="2"/>
        <v>503.83354081188685</v>
      </c>
      <c r="AA15" s="18">
        <f t="shared" si="8"/>
        <v>929738.65418638731</v>
      </c>
      <c r="AB15" s="48">
        <f t="shared" si="21"/>
        <v>32722.122536347</v>
      </c>
      <c r="AC15" s="48">
        <f t="shared" si="9"/>
        <v>962460.77672273433</v>
      </c>
      <c r="AD15" s="18">
        <f t="shared" si="3"/>
        <v>706187.28139914304</v>
      </c>
    </row>
    <row r="16" spans="1:30" x14ac:dyDescent="0.2">
      <c r="A16">
        <v>10</v>
      </c>
      <c r="C16" s="19">
        <f t="shared" si="0"/>
        <v>3.7900000000000003E-2</v>
      </c>
      <c r="E16" s="23">
        <f t="shared" si="10"/>
        <v>487.93499101152423</v>
      </c>
      <c r="F16" s="23">
        <f t="shared" si="4"/>
        <v>237.47416645784517</v>
      </c>
      <c r="G16" s="23">
        <f t="shared" si="5"/>
        <v>149.64430854328941</v>
      </c>
      <c r="H16" s="23">
        <f t="shared" si="11"/>
        <v>124.94653398734066</v>
      </c>
      <c r="I16" s="15">
        <f t="shared" si="6"/>
        <v>999.99999999999943</v>
      </c>
      <c r="K16" s="15">
        <f t="shared" si="12"/>
        <v>725.40915746936935</v>
      </c>
      <c r="L16" s="15">
        <f t="shared" si="13"/>
        <v>641.64386630433182</v>
      </c>
      <c r="M16" s="15">
        <f t="shared" si="14"/>
        <v>514.25619936739065</v>
      </c>
      <c r="N16" s="15">
        <f t="shared" si="15"/>
        <v>454.87340852461858</v>
      </c>
      <c r="O16" s="15"/>
      <c r="P16" s="18">
        <f t="shared" si="16"/>
        <v>956389.99487929768</v>
      </c>
      <c r="Q16" s="18">
        <f t="shared" si="17"/>
        <v>35621.124968676777</v>
      </c>
      <c r="R16" s="18">
        <f t="shared" si="18"/>
        <v>992011.11984797451</v>
      </c>
      <c r="S16" s="18">
        <f t="shared" si="19"/>
        <v>703255.34626952873</v>
      </c>
      <c r="T16" s="18"/>
      <c r="V16" s="15">
        <f t="shared" si="20"/>
        <v>725.40915746936935</v>
      </c>
      <c r="W16" s="15">
        <f t="shared" si="7"/>
        <v>641.64386630433182</v>
      </c>
      <c r="X16" s="15">
        <f t="shared" si="1"/>
        <v>514.25619936739065</v>
      </c>
      <c r="Y16" s="15">
        <f t="shared" si="2"/>
        <v>454.87340852461858</v>
      </c>
      <c r="AA16" s="18">
        <f t="shared" si="8"/>
        <v>956389.99487929768</v>
      </c>
      <c r="AB16" s="48">
        <f t="shared" si="21"/>
        <v>35621.124968676777</v>
      </c>
      <c r="AC16" s="48">
        <f t="shared" si="9"/>
        <v>992011.11984797451</v>
      </c>
      <c r="AD16" s="18">
        <f t="shared" si="3"/>
        <v>703255.34626952873</v>
      </c>
    </row>
    <row r="17" spans="1:30" x14ac:dyDescent="0.2">
      <c r="A17">
        <v>11</v>
      </c>
      <c r="C17" s="19">
        <f t="shared" si="0"/>
        <v>3.7900000000000003E-2</v>
      </c>
      <c r="E17" s="23">
        <f t="shared" si="10"/>
        <v>415.76940584091977</v>
      </c>
      <c r="F17" s="23">
        <f t="shared" si="4"/>
        <v>246.52561959168369</v>
      </c>
      <c r="G17" s="23">
        <f t="shared" si="5"/>
        <v>185.26543351196619</v>
      </c>
      <c r="H17" s="23">
        <f t="shared" si="11"/>
        <v>152.43954105542974</v>
      </c>
      <c r="I17" s="15">
        <f t="shared" si="6"/>
        <v>999.99999999999932</v>
      </c>
      <c r="K17" s="15">
        <f t="shared" si="12"/>
        <v>662.29502543260344</v>
      </c>
      <c r="L17" s="15">
        <f t="shared" si="13"/>
        <v>579.87515024263655</v>
      </c>
      <c r="M17" s="15">
        <f t="shared" si="14"/>
        <v>453.63613889426534</v>
      </c>
      <c r="N17" s="15">
        <f t="shared" si="15"/>
        <v>397.18299865679785</v>
      </c>
      <c r="O17" s="15"/>
      <c r="P17" s="18">
        <f t="shared" si="16"/>
        <v>947461.56169551099</v>
      </c>
      <c r="Q17" s="18">
        <f t="shared" si="17"/>
        <v>36978.842938752547</v>
      </c>
      <c r="R17" s="18">
        <f t="shared" si="18"/>
        <v>984440.40463426348</v>
      </c>
      <c r="S17" s="18">
        <f t="shared" si="19"/>
        <v>674288.23557612579</v>
      </c>
      <c r="T17" s="18"/>
      <c r="V17" s="15">
        <f t="shared" si="20"/>
        <v>662.29502543260344</v>
      </c>
      <c r="W17" s="15">
        <f t="shared" si="7"/>
        <v>579.87515024263655</v>
      </c>
      <c r="X17" s="15">
        <f t="shared" si="1"/>
        <v>453.63613889426534</v>
      </c>
      <c r="Y17" s="15">
        <f t="shared" si="2"/>
        <v>397.18299865679785</v>
      </c>
      <c r="AA17" s="18">
        <f t="shared" si="8"/>
        <v>947461.56169551099</v>
      </c>
      <c r="AB17" s="48">
        <f t="shared" si="21"/>
        <v>36978.842938752547</v>
      </c>
      <c r="AC17" s="48">
        <f t="shared" si="9"/>
        <v>984440.40463426348</v>
      </c>
      <c r="AD17" s="18">
        <f t="shared" si="3"/>
        <v>674288.23557612579</v>
      </c>
    </row>
    <row r="18" spans="1:30" x14ac:dyDescent="0.2">
      <c r="A18">
        <v>12</v>
      </c>
      <c r="C18" s="19">
        <f t="shared" si="0"/>
        <v>3.7900000000000003E-2</v>
      </c>
      <c r="E18" s="23">
        <f t="shared" si="10"/>
        <v>350.1194166586385</v>
      </c>
      <c r="F18" s="23">
        <f t="shared" si="4"/>
        <v>250.09578437131665</v>
      </c>
      <c r="G18" s="23">
        <f t="shared" si="5"/>
        <v>222.24427645071876</v>
      </c>
      <c r="H18" s="23">
        <f t="shared" si="11"/>
        <v>177.54052251932541</v>
      </c>
      <c r="I18" s="15">
        <f t="shared" si="6"/>
        <v>999.99999999999932</v>
      </c>
      <c r="K18" s="15">
        <f t="shared" si="12"/>
        <v>600.2152010299551</v>
      </c>
      <c r="L18" s="15">
        <f t="shared" si="13"/>
        <v>520.18528410419401</v>
      </c>
      <c r="M18" s="15">
        <f t="shared" si="14"/>
        <v>397.21239542087631</v>
      </c>
      <c r="N18" s="15">
        <f t="shared" si="15"/>
        <v>344.24993303594113</v>
      </c>
      <c r="O18" s="15"/>
      <c r="P18" s="18">
        <f t="shared" si="16"/>
        <v>925347.06144326925</v>
      </c>
      <c r="Q18" s="18">
        <f t="shared" si="17"/>
        <v>37514.367655697497</v>
      </c>
      <c r="R18" s="18">
        <f t="shared" si="18"/>
        <v>962861.42909896676</v>
      </c>
      <c r="S18" s="18">
        <f t="shared" si="19"/>
        <v>637205.61234449851</v>
      </c>
      <c r="T18" s="18"/>
      <c r="V18" s="15">
        <f t="shared" si="20"/>
        <v>600.2152010299551</v>
      </c>
      <c r="W18" s="15">
        <f t="shared" si="7"/>
        <v>520.18528410419401</v>
      </c>
      <c r="X18" s="15">
        <f t="shared" si="1"/>
        <v>397.21239542087631</v>
      </c>
      <c r="Y18" s="15">
        <f t="shared" si="2"/>
        <v>344.24993303594113</v>
      </c>
      <c r="AA18" s="18">
        <f t="shared" si="8"/>
        <v>925347.06144326925</v>
      </c>
      <c r="AB18" s="48">
        <f t="shared" si="21"/>
        <v>37514.367655697497</v>
      </c>
      <c r="AC18" s="48">
        <f t="shared" si="9"/>
        <v>962861.42909896676</v>
      </c>
      <c r="AD18" s="18">
        <f t="shared" si="3"/>
        <v>637205.61234449851</v>
      </c>
    </row>
    <row r="19" spans="1:30" x14ac:dyDescent="0.2">
      <c r="A19">
        <v>13</v>
      </c>
      <c r="C19" s="19">
        <f t="shared" si="0"/>
        <v>3.7900000000000003E-2</v>
      </c>
      <c r="E19" s="23">
        <f t="shared" si="10"/>
        <v>291.33436660165307</v>
      </c>
      <c r="F19" s="23">
        <f t="shared" si="4"/>
        <v>248.61831065356927</v>
      </c>
      <c r="G19" s="23">
        <f t="shared" si="5"/>
        <v>259.75864410641623</v>
      </c>
      <c r="H19" s="23">
        <f t="shared" si="11"/>
        <v>200.28867863836072</v>
      </c>
      <c r="I19" s="15">
        <f t="shared" si="6"/>
        <v>999.99999999999932</v>
      </c>
      <c r="K19" s="15">
        <f t="shared" si="12"/>
        <v>539.9526772552224</v>
      </c>
      <c r="L19" s="15">
        <f t="shared" si="13"/>
        <v>463.23138126174734</v>
      </c>
      <c r="M19" s="15">
        <f t="shared" si="14"/>
        <v>345.24798422609342</v>
      </c>
      <c r="N19" s="15">
        <f t="shared" si="15"/>
        <v>296.19206894920603</v>
      </c>
      <c r="O19" s="15"/>
      <c r="P19" s="18">
        <f t="shared" si="16"/>
        <v>891522.11526153423</v>
      </c>
      <c r="Q19" s="18">
        <f t="shared" si="17"/>
        <v>37292.746598035388</v>
      </c>
      <c r="R19" s="18">
        <f t="shared" si="18"/>
        <v>928814.86185956956</v>
      </c>
      <c r="S19" s="18">
        <f t="shared" si="19"/>
        <v>593888.07998201717</v>
      </c>
      <c r="T19" s="18"/>
      <c r="V19" s="15">
        <f t="shared" si="20"/>
        <v>539.9526772552224</v>
      </c>
      <c r="W19" s="15">
        <f t="shared" si="7"/>
        <v>463.23138126174734</v>
      </c>
      <c r="X19" s="15">
        <f t="shared" si="1"/>
        <v>345.24798422609342</v>
      </c>
      <c r="Y19" s="15">
        <f t="shared" si="2"/>
        <v>296.19206894920603</v>
      </c>
      <c r="AA19" s="18">
        <f t="shared" si="8"/>
        <v>891522.11526153423</v>
      </c>
      <c r="AB19" s="48">
        <f t="shared" si="21"/>
        <v>37292.746598035388</v>
      </c>
      <c r="AC19" s="48">
        <f t="shared" si="9"/>
        <v>928814.86185956956</v>
      </c>
      <c r="AD19" s="18">
        <f t="shared" si="3"/>
        <v>593888.07998201717</v>
      </c>
    </row>
    <row r="20" spans="1:30" x14ac:dyDescent="0.2">
      <c r="A20">
        <v>14</v>
      </c>
      <c r="C20" s="19">
        <f t="shared" si="0"/>
        <v>3.7900000000000003E-2</v>
      </c>
      <c r="E20" s="23">
        <f t="shared" si="10"/>
        <v>239.50598278321897</v>
      </c>
      <c r="F20" s="23">
        <f t="shared" si="4"/>
        <v>242.68974140599499</v>
      </c>
      <c r="G20" s="23">
        <f t="shared" si="5"/>
        <v>297.05139070445159</v>
      </c>
      <c r="H20" s="23">
        <f t="shared" si="11"/>
        <v>220.75288510633365</v>
      </c>
      <c r="I20" s="15">
        <f t="shared" si="6"/>
        <v>999.9999999999992</v>
      </c>
      <c r="K20" s="15">
        <f t="shared" si="12"/>
        <v>482.19572418921393</v>
      </c>
      <c r="L20" s="15">
        <f t="shared" si="13"/>
        <v>409.54798969855426</v>
      </c>
      <c r="M20" s="15">
        <f t="shared" si="14"/>
        <v>297.89173775336945</v>
      </c>
      <c r="N20" s="15">
        <f t="shared" si="15"/>
        <v>253.01129028018528</v>
      </c>
      <c r="O20" s="15"/>
      <c r="P20" s="18">
        <f t="shared" si="16"/>
        <v>847822.21560959448</v>
      </c>
      <c r="Q20" s="18">
        <f t="shared" si="17"/>
        <v>36403.461210899244</v>
      </c>
      <c r="R20" s="18">
        <f t="shared" si="18"/>
        <v>884225.67682049377</v>
      </c>
      <c r="S20" s="18">
        <f t="shared" si="19"/>
        <v>546258.52163476753</v>
      </c>
      <c r="T20" s="18"/>
      <c r="V20" s="15">
        <f t="shared" si="20"/>
        <v>482.19572418921393</v>
      </c>
      <c r="W20" s="15">
        <f t="shared" si="7"/>
        <v>409.54798969855426</v>
      </c>
      <c r="X20" s="15">
        <f t="shared" si="1"/>
        <v>297.89173775336945</v>
      </c>
      <c r="Y20" s="15">
        <f t="shared" si="2"/>
        <v>253.01129028018528</v>
      </c>
      <c r="AA20" s="18">
        <f t="shared" si="8"/>
        <v>847822.21560959448</v>
      </c>
      <c r="AB20" s="48">
        <f t="shared" si="21"/>
        <v>36403.461210899244</v>
      </c>
      <c r="AC20" s="48">
        <f t="shared" si="9"/>
        <v>884225.67682049377</v>
      </c>
      <c r="AD20" s="18">
        <f t="shared" si="3"/>
        <v>546258.52163476753</v>
      </c>
    </row>
    <row r="21" spans="1:30" x14ac:dyDescent="0.2">
      <c r="A21">
        <v>15</v>
      </c>
      <c r="C21" s="19">
        <f t="shared" si="0"/>
        <v>3.7900000000000003E-2</v>
      </c>
      <c r="E21" s="23">
        <f t="shared" si="10"/>
        <v>194.50280861825212</v>
      </c>
      <c r="F21" s="23">
        <f t="shared" si="4"/>
        <v>233.01423641329137</v>
      </c>
      <c r="G21" s="23">
        <f t="shared" si="5"/>
        <v>333.45485191535084</v>
      </c>
      <c r="H21" s="23">
        <f t="shared" si="11"/>
        <v>239.02810305310487</v>
      </c>
      <c r="I21" s="15">
        <f t="shared" si="6"/>
        <v>999.99999999999909</v>
      </c>
      <c r="K21" s="15">
        <f t="shared" si="12"/>
        <v>427.51704503154349</v>
      </c>
      <c r="L21" s="15">
        <f t="shared" si="13"/>
        <v>359.538345497308</v>
      </c>
      <c r="M21" s="15">
        <f t="shared" si="14"/>
        <v>255.18091348152657</v>
      </c>
      <c r="N21" s="15">
        <f t="shared" si="15"/>
        <v>214.60506546322702</v>
      </c>
      <c r="O21" s="15"/>
      <c r="P21" s="18">
        <f t="shared" si="16"/>
        <v>796294.11354900023</v>
      </c>
      <c r="Q21" s="18">
        <f t="shared" si="17"/>
        <v>34952.135461993705</v>
      </c>
      <c r="R21" s="18">
        <f t="shared" si="18"/>
        <v>831246.24901099398</v>
      </c>
      <c r="S21" s="18">
        <f t="shared" si="19"/>
        <v>496163.08780172083</v>
      </c>
      <c r="T21" s="18"/>
      <c r="V21" s="15">
        <f t="shared" si="20"/>
        <v>427.51704503154349</v>
      </c>
      <c r="W21" s="15">
        <f t="shared" si="7"/>
        <v>359.538345497308</v>
      </c>
      <c r="X21" s="15">
        <f t="shared" si="1"/>
        <v>255.18091348152657</v>
      </c>
      <c r="Y21" s="15">
        <f t="shared" si="2"/>
        <v>214.60506546322702</v>
      </c>
      <c r="AA21" s="18">
        <f t="shared" si="8"/>
        <v>796294.11354900023</v>
      </c>
      <c r="AB21" s="48">
        <f t="shared" si="21"/>
        <v>34952.135461993705</v>
      </c>
      <c r="AC21" s="48">
        <f t="shared" si="9"/>
        <v>831246.24901099398</v>
      </c>
      <c r="AD21" s="18">
        <f t="shared" si="3"/>
        <v>496163.08780172083</v>
      </c>
    </row>
    <row r="22" spans="1:30" x14ac:dyDescent="0.2">
      <c r="A22">
        <v>16</v>
      </c>
      <c r="C22" s="19">
        <f t="shared" si="0"/>
        <v>3.7900000000000003E-2</v>
      </c>
      <c r="E22" s="23">
        <f t="shared" si="10"/>
        <v>156.01070279270002</v>
      </c>
      <c r="F22" s="23">
        <f t="shared" si="4"/>
        <v>220.35131077015424</v>
      </c>
      <c r="G22" s="23">
        <f t="shared" si="5"/>
        <v>368.40698737734454</v>
      </c>
      <c r="H22" s="23">
        <f t="shared" si="11"/>
        <v>255.23099905980038</v>
      </c>
      <c r="I22" s="15">
        <f t="shared" si="6"/>
        <v>999.9999999999992</v>
      </c>
      <c r="K22" s="15">
        <f t="shared" si="12"/>
        <v>376.36201356285426</v>
      </c>
      <c r="L22" s="15">
        <f t="shared" si="13"/>
        <v>313.47365073068067</v>
      </c>
      <c r="M22" s="15">
        <f t="shared" si="14"/>
        <v>217.05019816657909</v>
      </c>
      <c r="N22" s="15">
        <f t="shared" si="15"/>
        <v>180.78210754320006</v>
      </c>
      <c r="O22" s="15"/>
      <c r="P22" s="18">
        <f t="shared" si="16"/>
        <v>739059.28370681265</v>
      </c>
      <c r="Q22" s="18">
        <f t="shared" si="17"/>
        <v>33052.696615523135</v>
      </c>
      <c r="R22" s="18">
        <f t="shared" si="18"/>
        <v>772111.98032233585</v>
      </c>
      <c r="S22" s="18">
        <f t="shared" si="19"/>
        <v>445281.54355770274</v>
      </c>
      <c r="T22" s="18"/>
      <c r="V22" s="15">
        <f t="shared" si="20"/>
        <v>376.36201356285426</v>
      </c>
      <c r="W22" s="15">
        <f t="shared" si="7"/>
        <v>313.47365073068067</v>
      </c>
      <c r="X22" s="15">
        <f t="shared" si="1"/>
        <v>217.05019816657909</v>
      </c>
      <c r="Y22" s="15">
        <f t="shared" si="2"/>
        <v>180.78210754320006</v>
      </c>
      <c r="AA22" s="18">
        <f t="shared" si="8"/>
        <v>739059.28370681265</v>
      </c>
      <c r="AB22" s="48">
        <f t="shared" si="21"/>
        <v>33052.696615523135</v>
      </c>
      <c r="AC22" s="48">
        <f t="shared" si="9"/>
        <v>772111.98032233585</v>
      </c>
      <c r="AD22" s="18">
        <f t="shared" si="3"/>
        <v>445281.54355770274</v>
      </c>
    </row>
    <row r="23" spans="1:30" x14ac:dyDescent="0.2">
      <c r="A23">
        <v>17</v>
      </c>
      <c r="C23" s="19">
        <f t="shared" si="0"/>
        <v>3.7900000000000003E-2</v>
      </c>
      <c r="E23" s="23">
        <f t="shared" si="10"/>
        <v>123.57607768209768</v>
      </c>
      <c r="F23" s="23">
        <f t="shared" si="4"/>
        <v>205.46911895120127</v>
      </c>
      <c r="G23" s="23">
        <f t="shared" si="5"/>
        <v>401.45968399286767</v>
      </c>
      <c r="H23" s="23">
        <f t="shared" si="11"/>
        <v>269.49511937383255</v>
      </c>
      <c r="I23" s="15">
        <f t="shared" si="6"/>
        <v>999.99999999999909</v>
      </c>
      <c r="K23" s="15">
        <f t="shared" si="12"/>
        <v>329.04519663329893</v>
      </c>
      <c r="L23" s="15">
        <f t="shared" si="13"/>
        <v>271.49911301139372</v>
      </c>
      <c r="M23" s="15">
        <f t="shared" si="14"/>
        <v>183.34522716886781</v>
      </c>
      <c r="N23" s="15">
        <f t="shared" si="15"/>
        <v>151.28033188308399</v>
      </c>
      <c r="O23" s="15"/>
      <c r="P23" s="18">
        <f t="shared" si="16"/>
        <v>678195.39569465269</v>
      </c>
      <c r="Q23" s="18">
        <f t="shared" si="17"/>
        <v>30820.367842680189</v>
      </c>
      <c r="R23" s="18">
        <f t="shared" si="18"/>
        <v>709015.76353733288</v>
      </c>
      <c r="S23" s="18">
        <f t="shared" si="19"/>
        <v>395066.26312169444</v>
      </c>
      <c r="T23" s="18"/>
      <c r="V23" s="15">
        <f t="shared" si="20"/>
        <v>329.04519663329893</v>
      </c>
      <c r="W23" s="15">
        <f t="shared" si="7"/>
        <v>271.49911301139372</v>
      </c>
      <c r="X23" s="15">
        <f t="shared" si="1"/>
        <v>183.34522716886781</v>
      </c>
      <c r="Y23" s="15">
        <f t="shared" si="2"/>
        <v>151.28033188308399</v>
      </c>
      <c r="AA23" s="18">
        <f t="shared" si="8"/>
        <v>678195.39569465269</v>
      </c>
      <c r="AB23" s="48">
        <f t="shared" si="21"/>
        <v>30820.367842680189</v>
      </c>
      <c r="AC23" s="48">
        <f t="shared" si="9"/>
        <v>709015.76353733288</v>
      </c>
      <c r="AD23" s="18">
        <f t="shared" si="3"/>
        <v>395066.26312169444</v>
      </c>
    </row>
    <row r="24" spans="1:30" x14ac:dyDescent="0.2">
      <c r="A24">
        <v>18</v>
      </c>
      <c r="C24" s="19">
        <f t="shared" si="0"/>
        <v>3.7900000000000003E-2</v>
      </c>
      <c r="E24" s="23">
        <f t="shared" si="10"/>
        <v>96.648850355168591</v>
      </c>
      <c r="F24" s="23">
        <f t="shared" si="4"/>
        <v>189.10516548304813</v>
      </c>
      <c r="G24" s="23">
        <f t="shared" si="5"/>
        <v>432.28005183554785</v>
      </c>
      <c r="H24" s="23">
        <f t="shared" si="11"/>
        <v>281.96593232623457</v>
      </c>
      <c r="I24" s="15">
        <f t="shared" si="6"/>
        <v>999.9999999999992</v>
      </c>
      <c r="K24" s="15">
        <f t="shared" si="12"/>
        <v>285.75401583821673</v>
      </c>
      <c r="L24" s="15">
        <f t="shared" si="13"/>
        <v>233.64528194969625</v>
      </c>
      <c r="M24" s="15">
        <f t="shared" si="14"/>
        <v>153.83885759774148</v>
      </c>
      <c r="N24" s="15">
        <f t="shared" si="15"/>
        <v>125.78554024099341</v>
      </c>
      <c r="O24" s="15"/>
      <c r="P24" s="18">
        <f t="shared" si="16"/>
        <v>615639.92162672861</v>
      </c>
      <c r="Q24" s="18">
        <f t="shared" si="17"/>
        <v>28365.774822457221</v>
      </c>
      <c r="R24" s="18">
        <f t="shared" si="18"/>
        <v>644005.69644918584</v>
      </c>
      <c r="S24" s="18">
        <f t="shared" si="19"/>
        <v>346707.64061727875</v>
      </c>
      <c r="T24" s="18"/>
      <c r="V24" s="15">
        <f t="shared" si="20"/>
        <v>285.75401583821673</v>
      </c>
      <c r="W24" s="15">
        <f t="shared" si="7"/>
        <v>233.64528194969625</v>
      </c>
      <c r="X24" s="15">
        <f t="shared" si="1"/>
        <v>153.83885759774148</v>
      </c>
      <c r="Y24" s="15">
        <f t="shared" si="2"/>
        <v>125.78554024099341</v>
      </c>
      <c r="AA24" s="18">
        <f t="shared" si="8"/>
        <v>615639.92162672861</v>
      </c>
      <c r="AB24" s="48">
        <f t="shared" si="21"/>
        <v>28365.774822457221</v>
      </c>
      <c r="AC24" s="48">
        <f t="shared" si="9"/>
        <v>644005.69644918584</v>
      </c>
      <c r="AD24" s="18">
        <f t="shared" si="3"/>
        <v>346707.64061727875</v>
      </c>
    </row>
    <row r="25" spans="1:30" x14ac:dyDescent="0.2">
      <c r="A25">
        <v>19</v>
      </c>
      <c r="C25" s="19">
        <f t="shared" si="0"/>
        <v>3.7900000000000003E-2</v>
      </c>
      <c r="E25" s="23">
        <f t="shared" si="10"/>
        <v>74.622577359225673</v>
      </c>
      <c r="F25" s="23">
        <f t="shared" si="4"/>
        <v>171.93558645626541</v>
      </c>
      <c r="G25" s="23">
        <f t="shared" si="5"/>
        <v>460.64582665800509</v>
      </c>
      <c r="H25" s="23">
        <f t="shared" si="11"/>
        <v>292.79600952650298</v>
      </c>
      <c r="I25" s="15">
        <f t="shared" si="6"/>
        <v>999.99999999999909</v>
      </c>
      <c r="K25" s="15">
        <f t="shared" si="12"/>
        <v>246.55816381549107</v>
      </c>
      <c r="L25" s="15">
        <f t="shared" si="13"/>
        <v>199.84313833346346</v>
      </c>
      <c r="M25" s="15">
        <f t="shared" si="14"/>
        <v>128.24863191994334</v>
      </c>
      <c r="N25" s="15">
        <f t="shared" si="15"/>
        <v>103.94954558890328</v>
      </c>
      <c r="O25" s="15"/>
      <c r="P25" s="18">
        <f t="shared" si="16"/>
        <v>553118.04804840905</v>
      </c>
      <c r="Q25" s="18">
        <f t="shared" si="17"/>
        <v>25790.33796843981</v>
      </c>
      <c r="R25" s="18">
        <f t="shared" si="18"/>
        <v>578908.38601684885</v>
      </c>
      <c r="S25" s="18">
        <f t="shared" si="19"/>
        <v>301122.49119929003</v>
      </c>
      <c r="T25" s="18"/>
      <c r="V25" s="15">
        <f t="shared" si="20"/>
        <v>246.55816381549107</v>
      </c>
      <c r="W25" s="15">
        <f t="shared" si="7"/>
        <v>199.84313833346346</v>
      </c>
      <c r="X25" s="15">
        <f t="shared" si="1"/>
        <v>128.24863191994334</v>
      </c>
      <c r="Y25" s="15">
        <f t="shared" si="2"/>
        <v>103.94954558890328</v>
      </c>
      <c r="AA25" s="18">
        <f t="shared" si="8"/>
        <v>553118.04804840905</v>
      </c>
      <c r="AB25" s="48">
        <f t="shared" si="21"/>
        <v>25790.33796843981</v>
      </c>
      <c r="AC25" s="48">
        <f t="shared" si="9"/>
        <v>578908.38601684885</v>
      </c>
      <c r="AD25" s="18">
        <f t="shared" si="3"/>
        <v>301122.49119929003</v>
      </c>
    </row>
    <row r="26" spans="1:30" x14ac:dyDescent="0.2">
      <c r="A26">
        <v>20</v>
      </c>
      <c r="C26" s="19">
        <f t="shared" si="0"/>
        <v>9.1200000000000003E-2</v>
      </c>
      <c r="E26" s="23">
        <f t="shared" si="10"/>
        <v>56.869866205465883</v>
      </c>
      <c r="F26" s="23">
        <f t="shared" si="4"/>
        <v>154.55340523297826</v>
      </c>
      <c r="G26" s="23">
        <f t="shared" si="5"/>
        <v>486.43616462644491</v>
      </c>
      <c r="H26" s="23">
        <f t="shared" si="11"/>
        <v>302.14056393511009</v>
      </c>
      <c r="I26" s="15">
        <f t="shared" si="6"/>
        <v>999.99999999999909</v>
      </c>
      <c r="K26" s="15">
        <f t="shared" si="12"/>
        <v>211.42327143844415</v>
      </c>
      <c r="L26" s="15">
        <f t="shared" si="13"/>
        <v>169.94142681992628</v>
      </c>
      <c r="M26" s="15">
        <f t="shared" si="14"/>
        <v>106.25412339989886</v>
      </c>
      <c r="N26" s="15">
        <f t="shared" si="15"/>
        <v>85.406763471336291</v>
      </c>
      <c r="O26" s="15"/>
      <c r="P26" s="18">
        <f t="shared" si="16"/>
        <v>492095.14880166773</v>
      </c>
      <c r="Q26" s="18">
        <f t="shared" si="17"/>
        <v>23183.010784946739</v>
      </c>
      <c r="R26" s="18">
        <f t="shared" si="18"/>
        <v>515278.15958661446</v>
      </c>
      <c r="S26" s="18">
        <f t="shared" si="19"/>
        <v>258961.22400097043</v>
      </c>
      <c r="T26" s="18"/>
      <c r="V26" s="15">
        <f t="shared" si="20"/>
        <v>211.42327143844415</v>
      </c>
      <c r="W26" s="15">
        <f t="shared" si="7"/>
        <v>169.94142681992628</v>
      </c>
      <c r="X26" s="15">
        <f t="shared" si="1"/>
        <v>106.25412339989886</v>
      </c>
      <c r="Y26" s="15">
        <f t="shared" si="2"/>
        <v>85.406763471336291</v>
      </c>
      <c r="AA26" s="18">
        <f t="shared" si="8"/>
        <v>492095.14880166773</v>
      </c>
      <c r="AB26" s="48">
        <f t="shared" si="21"/>
        <v>23183.010784946739</v>
      </c>
      <c r="AC26" s="48">
        <f t="shared" si="9"/>
        <v>515278.15958661446</v>
      </c>
      <c r="AD26" s="18">
        <f t="shared" si="3"/>
        <v>258961.22400097043</v>
      </c>
    </row>
    <row r="27" spans="1:30" x14ac:dyDescent="0.2">
      <c r="A27">
        <v>21</v>
      </c>
      <c r="C27" s="19">
        <f t="shared" si="0"/>
        <v>9.1200000000000003E-2</v>
      </c>
      <c r="E27" s="23">
        <f t="shared" si="10"/>
        <v>39.740662504379564</v>
      </c>
      <c r="F27" s="23">
        <f t="shared" si="4"/>
        <v>129.21779579393171</v>
      </c>
      <c r="G27" s="23">
        <f t="shared" si="5"/>
        <v>509.61917541139167</v>
      </c>
      <c r="H27" s="23">
        <f t="shared" si="11"/>
        <v>321.42236629029617</v>
      </c>
      <c r="I27" s="15">
        <f t="shared" si="6"/>
        <v>999.99999999999909</v>
      </c>
      <c r="K27" s="15">
        <f t="shared" si="12"/>
        <v>168.95845829831129</v>
      </c>
      <c r="L27" s="15">
        <f t="shared" si="13"/>
        <v>134.66697622460936</v>
      </c>
      <c r="M27" s="15">
        <f t="shared" si="14"/>
        <v>82.041311137103733</v>
      </c>
      <c r="N27" s="15">
        <f t="shared" si="15"/>
        <v>65.390365227110706</v>
      </c>
      <c r="O27" s="15"/>
      <c r="P27" s="18">
        <f t="shared" si="16"/>
        <v>407523.71863398491</v>
      </c>
      <c r="Q27" s="18">
        <f t="shared" si="17"/>
        <v>19382.669369089759</v>
      </c>
      <c r="R27" s="18">
        <f t="shared" si="18"/>
        <v>426906.38800307468</v>
      </c>
      <c r="S27" s="18">
        <f t="shared" si="19"/>
        <v>207293.32024762823</v>
      </c>
      <c r="T27" s="18"/>
      <c r="V27" s="15">
        <f t="shared" si="20"/>
        <v>168.95845829831129</v>
      </c>
      <c r="W27" s="15">
        <f t="shared" si="7"/>
        <v>134.66697622460936</v>
      </c>
      <c r="X27" s="15">
        <f t="shared" si="1"/>
        <v>82.041311137103733</v>
      </c>
      <c r="Y27" s="15">
        <f t="shared" si="2"/>
        <v>65.390365227110706</v>
      </c>
      <c r="AA27" s="18">
        <f t="shared" si="8"/>
        <v>407523.71863398491</v>
      </c>
      <c r="AB27" s="48">
        <f t="shared" si="21"/>
        <v>19382.669369089759</v>
      </c>
      <c r="AC27" s="48">
        <f t="shared" si="9"/>
        <v>426906.38800307468</v>
      </c>
      <c r="AD27" s="18">
        <f t="shared" si="3"/>
        <v>207293.32024762823</v>
      </c>
    </row>
    <row r="28" spans="1:30" x14ac:dyDescent="0.2">
      <c r="A28">
        <v>22</v>
      </c>
      <c r="C28" s="19">
        <f t="shared" si="0"/>
        <v>9.1200000000000003E-2</v>
      </c>
      <c r="E28" s="23">
        <f t="shared" si="10"/>
        <v>27.373368333016646</v>
      </c>
      <c r="F28" s="23">
        <f t="shared" si="4"/>
        <v>106.79340919939888</v>
      </c>
      <c r="G28" s="23">
        <f t="shared" si="5"/>
        <v>529.00184478048141</v>
      </c>
      <c r="H28" s="23">
        <f t="shared" si="11"/>
        <v>336.83137768710219</v>
      </c>
      <c r="I28" s="15">
        <f t="shared" si="6"/>
        <v>999.99999999999909</v>
      </c>
      <c r="K28" s="15">
        <f t="shared" si="12"/>
        <v>134.16677753241552</v>
      </c>
      <c r="L28" s="15">
        <f t="shared" si="13"/>
        <v>106.09975681591497</v>
      </c>
      <c r="M28" s="15">
        <f t="shared" si="14"/>
        <v>62.944428305842017</v>
      </c>
      <c r="N28" s="15">
        <f t="shared" si="15"/>
        <v>49.776767833252109</v>
      </c>
      <c r="O28" s="15"/>
      <c r="P28" s="18">
        <f t="shared" si="16"/>
        <v>334066.91176470497</v>
      </c>
      <c r="Q28" s="18">
        <f t="shared" si="17"/>
        <v>16019.011379909831</v>
      </c>
      <c r="R28" s="18">
        <f t="shared" si="18"/>
        <v>350085.92314461479</v>
      </c>
      <c r="S28" s="18">
        <f t="shared" si="19"/>
        <v>164243.03166211696</v>
      </c>
      <c r="T28" s="18"/>
      <c r="V28" s="15">
        <f t="shared" si="20"/>
        <v>134.16677753241552</v>
      </c>
      <c r="W28" s="15">
        <f t="shared" si="7"/>
        <v>106.09975681591497</v>
      </c>
      <c r="X28" s="15">
        <f t="shared" si="1"/>
        <v>62.944428305842017</v>
      </c>
      <c r="Y28" s="15">
        <f t="shared" si="2"/>
        <v>49.776767833252109</v>
      </c>
      <c r="AA28" s="18">
        <f t="shared" si="8"/>
        <v>334066.91176470497</v>
      </c>
      <c r="AB28" s="48">
        <f t="shared" si="21"/>
        <v>16019.011379909831</v>
      </c>
      <c r="AC28" s="48">
        <f t="shared" si="9"/>
        <v>350085.92314461479</v>
      </c>
      <c r="AD28" s="18">
        <f t="shared" si="3"/>
        <v>164243.03166211696</v>
      </c>
    </row>
    <row r="29" spans="1:30" x14ac:dyDescent="0.2">
      <c r="A29">
        <v>23</v>
      </c>
      <c r="C29" s="19">
        <f t="shared" si="0"/>
        <v>9.1200000000000003E-2</v>
      </c>
      <c r="E29" s="23">
        <f t="shared" si="10"/>
        <v>18.581042424451702</v>
      </c>
      <c r="F29" s="23">
        <f t="shared" si="4"/>
        <v>87.330713617097686</v>
      </c>
      <c r="G29" s="23">
        <f t="shared" si="5"/>
        <v>545.02085616039119</v>
      </c>
      <c r="H29" s="23">
        <f t="shared" si="11"/>
        <v>349.06738779805846</v>
      </c>
      <c r="I29" s="15">
        <f t="shared" si="6"/>
        <v>999.99999999999909</v>
      </c>
      <c r="K29" s="15">
        <f t="shared" si="12"/>
        <v>105.91175604154938</v>
      </c>
      <c r="L29" s="15">
        <f t="shared" si="13"/>
        <v>83.150025516052381</v>
      </c>
      <c r="M29" s="15">
        <f t="shared" si="14"/>
        <v>48.008277440942862</v>
      </c>
      <c r="N29" s="15">
        <f t="shared" si="15"/>
        <v>37.690711998298802</v>
      </c>
      <c r="O29" s="15"/>
      <c r="P29" s="18">
        <f t="shared" si="16"/>
        <v>271282.66206351889</v>
      </c>
      <c r="Q29" s="18">
        <f t="shared" si="17"/>
        <v>13099.607042564652</v>
      </c>
      <c r="R29" s="18">
        <f>P29+Q29</f>
        <v>284382.26910608355</v>
      </c>
      <c r="S29" s="18">
        <f t="shared" si="19"/>
        <v>128906.39703088062</v>
      </c>
      <c r="T29" s="18"/>
      <c r="V29" s="15">
        <f t="shared" si="20"/>
        <v>105.91175604154938</v>
      </c>
      <c r="W29" s="15">
        <f t="shared" si="7"/>
        <v>83.150025516052381</v>
      </c>
      <c r="X29" s="15">
        <f t="shared" si="1"/>
        <v>48.008277440942862</v>
      </c>
      <c r="Y29" s="15">
        <f t="shared" si="2"/>
        <v>37.690711998298802</v>
      </c>
      <c r="AA29" s="18">
        <f t="shared" si="8"/>
        <v>271282.66206351889</v>
      </c>
      <c r="AB29" s="48">
        <f t="shared" si="21"/>
        <v>13099.607042564652</v>
      </c>
      <c r="AC29" s="48">
        <f t="shared" si="9"/>
        <v>284382.26910608355</v>
      </c>
      <c r="AD29" s="18">
        <f t="shared" si="3"/>
        <v>128906.39703088062</v>
      </c>
    </row>
    <row r="30" spans="1:30" x14ac:dyDescent="0.2">
      <c r="A30">
        <v>24</v>
      </c>
      <c r="C30" s="19">
        <f t="shared" si="0"/>
        <v>9.1200000000000003E-2</v>
      </c>
      <c r="E30" s="23">
        <f t="shared" si="10"/>
        <v>12.4270011734733</v>
      </c>
      <c r="F30" s="23">
        <f t="shared" si="4"/>
        <v>70.725995674522125</v>
      </c>
      <c r="G30" s="23">
        <f t="shared" si="5"/>
        <v>558.12046320295588</v>
      </c>
      <c r="H30" s="23">
        <f t="shared" si="11"/>
        <v>358.72653994904778</v>
      </c>
      <c r="I30" s="15">
        <f t="shared" si="6"/>
        <v>999.99999999999909</v>
      </c>
      <c r="K30" s="15">
        <f t="shared" si="12"/>
        <v>83.152996847995425</v>
      </c>
      <c r="L30" s="15">
        <f t="shared" si="13"/>
        <v>64.850147870691231</v>
      </c>
      <c r="M30" s="15">
        <f t="shared" si="14"/>
        <v>36.417448174281347</v>
      </c>
      <c r="N30" s="15">
        <f t="shared" si="15"/>
        <v>28.40158489407845</v>
      </c>
      <c r="O30" s="15"/>
      <c r="P30" s="18">
        <f t="shared" si="16"/>
        <v>218391.48761030304</v>
      </c>
      <c r="Q30" s="18">
        <f t="shared" si="17"/>
        <v>10608.899351178317</v>
      </c>
      <c r="R30" s="18">
        <f t="shared" ref="R30:R51" si="22">P30+Q30</f>
        <v>229000.38696148136</v>
      </c>
      <c r="S30" s="18">
        <f t="shared" si="19"/>
        <v>100292.3531343677</v>
      </c>
      <c r="T30" s="18"/>
      <c r="V30" s="15">
        <f t="shared" si="20"/>
        <v>83.152996847995425</v>
      </c>
      <c r="W30" s="15">
        <f t="shared" si="7"/>
        <v>64.850147870691231</v>
      </c>
      <c r="X30" s="15">
        <f t="shared" si="1"/>
        <v>36.417448174281347</v>
      </c>
      <c r="Y30" s="15">
        <f t="shared" si="2"/>
        <v>28.40158489407845</v>
      </c>
      <c r="AA30" s="18">
        <f t="shared" si="8"/>
        <v>218391.48761030304</v>
      </c>
      <c r="AB30" s="48">
        <f t="shared" si="21"/>
        <v>10608.899351178317</v>
      </c>
      <c r="AC30" s="48">
        <f t="shared" si="9"/>
        <v>229000.38696148136</v>
      </c>
      <c r="AD30" s="18">
        <f t="shared" si="3"/>
        <v>100292.3531343677</v>
      </c>
    </row>
    <row r="31" spans="1:30" x14ac:dyDescent="0.2">
      <c r="A31">
        <v>25</v>
      </c>
      <c r="C31" s="19">
        <f t="shared" si="0"/>
        <v>9.1200000000000003E-2</v>
      </c>
      <c r="E31" s="23">
        <f t="shared" si="10"/>
        <v>8.1869083730842114</v>
      </c>
      <c r="F31" s="23">
        <f t="shared" si="4"/>
        <v>56.773635811195703</v>
      </c>
      <c r="G31" s="23">
        <f t="shared" si="5"/>
        <v>568.72936255413424</v>
      </c>
      <c r="H31" s="23">
        <f t="shared" si="11"/>
        <v>366.31009326158494</v>
      </c>
      <c r="I31" s="15">
        <f t="shared" si="6"/>
        <v>999.99999999999909</v>
      </c>
      <c r="K31" s="15">
        <f t="shared" si="12"/>
        <v>64.960544184279911</v>
      </c>
      <c r="L31" s="15">
        <f t="shared" si="13"/>
        <v>50.35778981282678</v>
      </c>
      <c r="M31" s="15">
        <f t="shared" si="14"/>
        <v>27.487858692918127</v>
      </c>
      <c r="N31" s="15">
        <f t="shared" si="15"/>
        <v>21.308747145588566</v>
      </c>
      <c r="O31" s="15"/>
      <c r="P31" s="18">
        <f t="shared" si="16"/>
        <v>174414.3616201292</v>
      </c>
      <c r="Q31" s="18">
        <f t="shared" si="17"/>
        <v>8516.0453716793563</v>
      </c>
      <c r="R31" s="18">
        <f t="shared" si="22"/>
        <v>182930.40699180856</v>
      </c>
      <c r="S31" s="18">
        <f t="shared" si="19"/>
        <v>77406.450964517513</v>
      </c>
      <c r="T31" s="18"/>
      <c r="V31" s="15">
        <f t="shared" si="20"/>
        <v>64.960544184279911</v>
      </c>
      <c r="W31" s="15">
        <f t="shared" si="7"/>
        <v>50.35778981282678</v>
      </c>
      <c r="X31" s="15">
        <f t="shared" si="1"/>
        <v>27.487858692918127</v>
      </c>
      <c r="Y31" s="15">
        <f t="shared" si="2"/>
        <v>21.308747145588566</v>
      </c>
      <c r="AA31" s="18">
        <f t="shared" si="8"/>
        <v>174414.3616201292</v>
      </c>
      <c r="AB31" s="48">
        <f t="shared" si="21"/>
        <v>8516.0453716793563</v>
      </c>
      <c r="AC31" s="48">
        <f t="shared" si="9"/>
        <v>182930.40699180856</v>
      </c>
      <c r="AD31" s="18">
        <f t="shared" si="3"/>
        <v>77406.450964517513</v>
      </c>
    </row>
    <row r="32" spans="1:30" x14ac:dyDescent="0.2">
      <c r="A32">
        <v>26</v>
      </c>
      <c r="C32" s="19">
        <f t="shared" si="0"/>
        <v>9.1200000000000003E-2</v>
      </c>
      <c r="E32" s="23">
        <f t="shared" si="10"/>
        <v>5.311666152457037</v>
      </c>
      <c r="F32" s="23">
        <f t="shared" si="4"/>
        <v>45.208431030537191</v>
      </c>
      <c r="G32" s="23">
        <f t="shared" si="5"/>
        <v>577.24540792581365</v>
      </c>
      <c r="H32" s="23">
        <f t="shared" si="11"/>
        <v>372.23449489119128</v>
      </c>
      <c r="I32" s="15">
        <f t="shared" si="6"/>
        <v>999.9999999999992</v>
      </c>
      <c r="K32" s="15">
        <f t="shared" si="12"/>
        <v>50.520097182994228</v>
      </c>
      <c r="L32" s="15">
        <f t="shared" si="13"/>
        <v>38.952406117737084</v>
      </c>
      <c r="M32" s="15">
        <f t="shared" si="14"/>
        <v>20.654518860493962</v>
      </c>
      <c r="N32" s="15">
        <f t="shared" si="15"/>
        <v>15.925210988929798</v>
      </c>
      <c r="O32" s="15"/>
      <c r="P32" s="18">
        <f t="shared" si="16"/>
        <v>138281.12616784009</v>
      </c>
      <c r="Q32" s="18">
        <f t="shared" si="17"/>
        <v>6781.2646545805783</v>
      </c>
      <c r="R32" s="18">
        <f t="shared" si="22"/>
        <v>145062.39082242068</v>
      </c>
      <c r="S32" s="18">
        <f t="shared" si="19"/>
        <v>59306.969983394949</v>
      </c>
      <c r="T32" s="18"/>
      <c r="V32" s="15">
        <f t="shared" si="20"/>
        <v>50.520097182994228</v>
      </c>
      <c r="W32" s="15">
        <f t="shared" si="7"/>
        <v>38.952406117737084</v>
      </c>
      <c r="X32" s="15">
        <f t="shared" si="1"/>
        <v>20.654518860493962</v>
      </c>
      <c r="Y32" s="15">
        <f t="shared" si="2"/>
        <v>15.925210988929798</v>
      </c>
      <c r="AA32" s="18">
        <f t="shared" si="8"/>
        <v>138281.12616784009</v>
      </c>
      <c r="AB32" s="48">
        <f t="shared" si="21"/>
        <v>6781.2646545805783</v>
      </c>
      <c r="AC32" s="48">
        <f t="shared" si="9"/>
        <v>145062.39082242068</v>
      </c>
      <c r="AD32" s="18">
        <f t="shared" si="3"/>
        <v>59306.969983394949</v>
      </c>
    </row>
    <row r="33" spans="1:30" x14ac:dyDescent="0.2">
      <c r="A33">
        <v>27</v>
      </c>
      <c r="C33" s="19">
        <f t="shared" si="0"/>
        <v>9.1200000000000003E-2</v>
      </c>
      <c r="E33" s="23">
        <f t="shared" si="10"/>
        <v>3.3930923381895552</v>
      </c>
      <c r="F33" s="23">
        <f t="shared" si="4"/>
        <v>35.738307327135018</v>
      </c>
      <c r="G33" s="23">
        <f t="shared" si="5"/>
        <v>584.02667258039423</v>
      </c>
      <c r="H33" s="23">
        <f t="shared" si="11"/>
        <v>376.84192775428033</v>
      </c>
      <c r="I33" s="15">
        <f t="shared" si="6"/>
        <v>999.99999999999909</v>
      </c>
      <c r="K33" s="15">
        <f t="shared" si="12"/>
        <v>39.131399665324572</v>
      </c>
      <c r="L33" s="15">
        <f t="shared" si="13"/>
        <v>30.027168216631342</v>
      </c>
      <c r="M33" s="15">
        <f t="shared" si="14"/>
        <v>15.457381926581942</v>
      </c>
      <c r="N33" s="15">
        <f t="shared" si="15"/>
        <v>11.86109904751201</v>
      </c>
      <c r="O33" s="15"/>
      <c r="P33" s="18">
        <f t="shared" si="16"/>
        <v>108911.46815049983</v>
      </c>
      <c r="Q33" s="18">
        <f t="shared" si="17"/>
        <v>5360.7460990702521</v>
      </c>
      <c r="R33" s="18">
        <f t="shared" si="22"/>
        <v>114272.21424957008</v>
      </c>
      <c r="S33" s="18">
        <f t="shared" si="19"/>
        <v>45138.923584607059</v>
      </c>
      <c r="T33" s="18"/>
      <c r="V33" s="15">
        <f t="shared" si="20"/>
        <v>39.131399665324572</v>
      </c>
      <c r="W33" s="15">
        <f t="shared" si="7"/>
        <v>30.027168216631342</v>
      </c>
      <c r="X33" s="15">
        <f t="shared" si="1"/>
        <v>15.457381926581942</v>
      </c>
      <c r="Y33" s="15">
        <f t="shared" si="2"/>
        <v>11.86109904751201</v>
      </c>
      <c r="AA33" s="18">
        <f t="shared" si="8"/>
        <v>108911.46815049983</v>
      </c>
      <c r="AB33" s="48">
        <f t="shared" si="21"/>
        <v>5360.7460990702521</v>
      </c>
      <c r="AC33" s="48">
        <f t="shared" si="9"/>
        <v>114272.21424957008</v>
      </c>
      <c r="AD33" s="18">
        <f t="shared" si="3"/>
        <v>45138.923584607059</v>
      </c>
    </row>
    <row r="34" spans="1:30" x14ac:dyDescent="0.2">
      <c r="A34">
        <v>28</v>
      </c>
      <c r="C34" s="19">
        <f t="shared" si="0"/>
        <v>9.1200000000000003E-2</v>
      </c>
      <c r="E34" s="23">
        <f t="shared" si="10"/>
        <v>2.1335764622535924</v>
      </c>
      <c r="F34" s="23">
        <f t="shared" si="4"/>
        <v>28.068293454523126</v>
      </c>
      <c r="G34" s="23">
        <f t="shared" si="5"/>
        <v>589.38741867946453</v>
      </c>
      <c r="H34" s="23">
        <f t="shared" si="11"/>
        <v>380.41071140375789</v>
      </c>
      <c r="I34" s="15">
        <f t="shared" si="6"/>
        <v>999.99999999999909</v>
      </c>
      <c r="K34" s="15">
        <f t="shared" si="12"/>
        <v>30.201869916776719</v>
      </c>
      <c r="L34" s="15">
        <f t="shared" si="13"/>
        <v>23.078117730033256</v>
      </c>
      <c r="M34" s="15">
        <f t="shared" si="14"/>
        <v>11.526674741857045</v>
      </c>
      <c r="N34" s="15">
        <f t="shared" si="15"/>
        <v>8.8078637998705673</v>
      </c>
      <c r="O34" s="15"/>
      <c r="P34" s="18">
        <f t="shared" si="16"/>
        <v>85271.668594696166</v>
      </c>
      <c r="Q34" s="18">
        <f t="shared" si="17"/>
        <v>4210.2440181784687</v>
      </c>
      <c r="R34" s="18">
        <f t="shared" si="22"/>
        <v>89481.912612874628</v>
      </c>
      <c r="S34" s="18">
        <f t="shared" si="19"/>
        <v>34151.16033576904</v>
      </c>
      <c r="T34" s="18"/>
      <c r="V34" s="15">
        <f t="shared" si="20"/>
        <v>30.201869916776719</v>
      </c>
      <c r="W34" s="15">
        <f t="shared" si="7"/>
        <v>23.078117730033256</v>
      </c>
      <c r="X34" s="15">
        <f t="shared" si="1"/>
        <v>11.526674741857045</v>
      </c>
      <c r="Y34" s="15">
        <f t="shared" si="2"/>
        <v>8.8078637998705673</v>
      </c>
      <c r="AA34" s="18">
        <f t="shared" si="8"/>
        <v>85271.668594696166</v>
      </c>
      <c r="AB34" s="48">
        <f t="shared" si="21"/>
        <v>4210.2440181784687</v>
      </c>
      <c r="AC34" s="48">
        <f t="shared" si="9"/>
        <v>89481.912612874628</v>
      </c>
      <c r="AD34" s="18">
        <f t="shared" si="3"/>
        <v>34151.16033576904</v>
      </c>
    </row>
    <row r="35" spans="1:30" x14ac:dyDescent="0.2">
      <c r="A35">
        <v>29</v>
      </c>
      <c r="C35" s="19">
        <f t="shared" si="0"/>
        <v>9.1200000000000003E-2</v>
      </c>
      <c r="E35" s="23">
        <f t="shared" si="10"/>
        <v>1.3202571148425231</v>
      </c>
      <c r="F35" s="23">
        <f t="shared" si="4"/>
        <v>21.916958247345686</v>
      </c>
      <c r="G35" s="23">
        <f t="shared" si="5"/>
        <v>593.59766269764305</v>
      </c>
      <c r="H35" s="23">
        <f t="shared" si="11"/>
        <v>383.16512194016792</v>
      </c>
      <c r="I35" s="15">
        <f t="shared" si="6"/>
        <v>999.99999999999909</v>
      </c>
      <c r="K35" s="15">
        <f t="shared" si="12"/>
        <v>23.237215362188209</v>
      </c>
      <c r="L35" s="15">
        <f t="shared" si="13"/>
        <v>17.69196294460966</v>
      </c>
      <c r="M35" s="15">
        <f t="shared" si="14"/>
        <v>8.5686802915260536</v>
      </c>
      <c r="N35" s="15">
        <f t="shared" si="15"/>
        <v>6.5238786936822715</v>
      </c>
      <c r="O35" s="15"/>
      <c r="P35" s="18">
        <f t="shared" si="16"/>
        <v>66411.003299458331</v>
      </c>
      <c r="Q35" s="18">
        <f t="shared" si="17"/>
        <v>3287.5437371018529</v>
      </c>
      <c r="R35" s="18">
        <f t="shared" si="22"/>
        <v>69698.54703656018</v>
      </c>
      <c r="S35" s="18">
        <f t="shared" si="19"/>
        <v>25701.210624057116</v>
      </c>
      <c r="T35" s="18"/>
      <c r="V35" s="15">
        <f t="shared" si="20"/>
        <v>23.237215362188209</v>
      </c>
      <c r="W35" s="15">
        <f t="shared" si="7"/>
        <v>17.69196294460966</v>
      </c>
      <c r="X35" s="15">
        <f t="shared" si="1"/>
        <v>8.5686802915260536</v>
      </c>
      <c r="Y35" s="15">
        <f t="shared" si="2"/>
        <v>6.5238786936822715</v>
      </c>
      <c r="AA35" s="18">
        <f t="shared" si="8"/>
        <v>66411.003299458331</v>
      </c>
      <c r="AB35" s="48">
        <f t="shared" si="21"/>
        <v>3287.5437371018529</v>
      </c>
      <c r="AC35" s="48">
        <f t="shared" si="9"/>
        <v>69698.54703656018</v>
      </c>
      <c r="AD35" s="18">
        <f t="shared" si="3"/>
        <v>25701.210624057116</v>
      </c>
    </row>
    <row r="36" spans="1:30" x14ac:dyDescent="0.2">
      <c r="A36">
        <v>30</v>
      </c>
      <c r="C36" s="19">
        <f t="shared" si="0"/>
        <v>0.1958</v>
      </c>
      <c r="E36" s="23">
        <f t="shared" si="10"/>
        <v>0.80377253151612804</v>
      </c>
      <c r="F36" s="23">
        <f t="shared" si="4"/>
        <v>17.026665052538661</v>
      </c>
      <c r="G36" s="23">
        <f t="shared" si="5"/>
        <v>596.88520643474487</v>
      </c>
      <c r="H36" s="23">
        <f t="shared" si="11"/>
        <v>385.2843559811995</v>
      </c>
      <c r="I36" s="15">
        <f t="shared" si="6"/>
        <v>999.9999999999992</v>
      </c>
      <c r="K36" s="15">
        <f t="shared" si="12"/>
        <v>17.830437584054788</v>
      </c>
      <c r="L36" s="15">
        <f t="shared" si="13"/>
        <v>13.533582694344318</v>
      </c>
      <c r="M36" s="15">
        <f t="shared" si="14"/>
        <v>6.3525999627905962</v>
      </c>
      <c r="N36" s="15">
        <f t="shared" si="15"/>
        <v>4.8217233320958179</v>
      </c>
      <c r="O36" s="15"/>
      <c r="P36" s="18">
        <f t="shared" si="16"/>
        <v>51481.881423374041</v>
      </c>
      <c r="Q36" s="18">
        <f t="shared" si="17"/>
        <v>2553.9997578807993</v>
      </c>
      <c r="R36" s="18">
        <f t="shared" si="22"/>
        <v>54035.881181254837</v>
      </c>
      <c r="S36" s="18">
        <f t="shared" si="19"/>
        <v>19251.817862752334</v>
      </c>
      <c r="T36" s="18"/>
      <c r="V36" s="15">
        <f t="shared" si="20"/>
        <v>17.830437584054788</v>
      </c>
      <c r="W36" s="15">
        <f t="shared" si="7"/>
        <v>13.533582694344318</v>
      </c>
      <c r="X36" s="15">
        <f t="shared" si="1"/>
        <v>6.3525999627905962</v>
      </c>
      <c r="Y36" s="15">
        <f t="shared" si="2"/>
        <v>4.8217233320958179</v>
      </c>
      <c r="AA36" s="18">
        <f t="shared" si="8"/>
        <v>51481.881423374041</v>
      </c>
      <c r="AB36" s="48">
        <f t="shared" si="21"/>
        <v>2553.9997578807993</v>
      </c>
      <c r="AC36" s="48">
        <f t="shared" si="9"/>
        <v>54035.881181254837</v>
      </c>
      <c r="AD36" s="18">
        <f t="shared" si="3"/>
        <v>19251.817862752334</v>
      </c>
    </row>
    <row r="37" spans="1:30" x14ac:dyDescent="0.2">
      <c r="A37">
        <v>31</v>
      </c>
      <c r="C37" s="19">
        <f t="shared" si="0"/>
        <v>0.1958</v>
      </c>
      <c r="E37" s="23">
        <f t="shared" si="10"/>
        <v>0.39722438507527047</v>
      </c>
      <c r="F37" s="23">
        <f t="shared" si="4"/>
        <v>11.388013762140792</v>
      </c>
      <c r="G37" s="23">
        <f t="shared" si="5"/>
        <v>599.43920619262565</v>
      </c>
      <c r="H37" s="23">
        <f t="shared" si="11"/>
        <v>388.77555566015741</v>
      </c>
      <c r="I37" s="15">
        <f t="shared" si="6"/>
        <v>999.99999999999909</v>
      </c>
      <c r="K37" s="15">
        <f t="shared" si="12"/>
        <v>11.785238147216063</v>
      </c>
      <c r="L37" s="15">
        <f t="shared" si="13"/>
        <v>8.9183734874271003</v>
      </c>
      <c r="M37" s="15">
        <f t="shared" si="14"/>
        <v>4.0568366334876931</v>
      </c>
      <c r="N37" s="15">
        <f t="shared" si="15"/>
        <v>3.0699748128098938</v>
      </c>
      <c r="O37" s="15"/>
      <c r="P37" s="18">
        <f t="shared" si="16"/>
        <v>34362.653478960012</v>
      </c>
      <c r="Q37" s="18">
        <f t="shared" si="17"/>
        <v>1708.2020643211188</v>
      </c>
      <c r="R37" s="18">
        <f t="shared" si="22"/>
        <v>36070.855543281134</v>
      </c>
      <c r="S37" s="18">
        <f t="shared" si="19"/>
        <v>12416.683171039083</v>
      </c>
      <c r="T37" s="18"/>
      <c r="V37" s="15">
        <f t="shared" si="20"/>
        <v>11.785238147216063</v>
      </c>
      <c r="W37" s="15">
        <f t="shared" si="7"/>
        <v>8.9183734874271003</v>
      </c>
      <c r="X37" s="15">
        <f t="shared" si="1"/>
        <v>4.0568366334876931</v>
      </c>
      <c r="Y37" s="15">
        <f t="shared" si="2"/>
        <v>3.0699748128098938</v>
      </c>
      <c r="AA37" s="18">
        <f t="shared" si="8"/>
        <v>34362.653478960012</v>
      </c>
      <c r="AB37" s="48">
        <f t="shared" si="21"/>
        <v>1708.2020643211188</v>
      </c>
      <c r="AC37" s="48">
        <f t="shared" si="9"/>
        <v>36070.855543281134</v>
      </c>
      <c r="AD37" s="18">
        <f t="shared" si="3"/>
        <v>12416.683171039083</v>
      </c>
    </row>
    <row r="38" spans="1:30" x14ac:dyDescent="0.2">
      <c r="A38">
        <v>32</v>
      </c>
      <c r="C38" s="19">
        <f t="shared" si="0"/>
        <v>0.1958</v>
      </c>
      <c r="E38" s="23">
        <f t="shared" si="10"/>
        <v>0.19233604725344594</v>
      </c>
      <c r="F38" s="23">
        <f t="shared" si="4"/>
        <v>7.5771504064165924</v>
      </c>
      <c r="G38" s="23">
        <f t="shared" si="5"/>
        <v>601.14740825694673</v>
      </c>
      <c r="H38" s="23">
        <f t="shared" si="11"/>
        <v>391.08310528938227</v>
      </c>
      <c r="I38" s="15">
        <f t="shared" si="6"/>
        <v>999.99999999999909</v>
      </c>
      <c r="K38" s="15">
        <f t="shared" si="12"/>
        <v>7.7694864536700381</v>
      </c>
      <c r="L38" s="15">
        <f t="shared" si="13"/>
        <v>5.8655820497032183</v>
      </c>
      <c r="M38" s="15">
        <f t="shared" si="14"/>
        <v>2.5840512356504757</v>
      </c>
      <c r="N38" s="15">
        <f t="shared" si="15"/>
        <v>1.9508322247199779</v>
      </c>
      <c r="O38" s="15"/>
      <c r="P38" s="18">
        <f t="shared" si="16"/>
        <v>22827.619242876503</v>
      </c>
      <c r="Q38" s="18">
        <f t="shared" si="17"/>
        <v>1136.5725609624888</v>
      </c>
      <c r="R38" s="18">
        <f t="shared" si="22"/>
        <v>23964.191803838992</v>
      </c>
      <c r="S38" s="18">
        <f t="shared" si="19"/>
        <v>7970.2435690358989</v>
      </c>
      <c r="T38" s="18"/>
      <c r="V38" s="15">
        <f t="shared" si="20"/>
        <v>7.7694864536700381</v>
      </c>
      <c r="W38" s="15">
        <f t="shared" si="7"/>
        <v>5.8655820497032183</v>
      </c>
      <c r="X38" s="15">
        <f t="shared" si="1"/>
        <v>2.5840512356504757</v>
      </c>
      <c r="Y38" s="15">
        <f t="shared" si="2"/>
        <v>1.9508322247199779</v>
      </c>
      <c r="AA38" s="18">
        <f t="shared" si="8"/>
        <v>22827.619242876503</v>
      </c>
      <c r="AB38" s="48">
        <f t="shared" si="21"/>
        <v>1136.5725609624888</v>
      </c>
      <c r="AC38" s="48">
        <f t="shared" si="9"/>
        <v>23964.191803838992</v>
      </c>
      <c r="AD38" s="18">
        <f t="shared" si="3"/>
        <v>7970.2435690358989</v>
      </c>
    </row>
    <row r="39" spans="1:30" x14ac:dyDescent="0.2">
      <c r="A39">
        <v>33</v>
      </c>
      <c r="C39" s="19">
        <f t="shared" si="0"/>
        <v>0.1958</v>
      </c>
      <c r="E39" s="23">
        <f t="shared" si="10"/>
        <v>9.1205753607584053E-2</v>
      </c>
      <c r="F39" s="23">
        <f t="shared" si="4"/>
        <v>5.0204426914713718</v>
      </c>
      <c r="G39" s="23">
        <f t="shared" si="5"/>
        <v>602.2839808179092</v>
      </c>
      <c r="H39" s="23">
        <f t="shared" si="11"/>
        <v>392.60437073701087</v>
      </c>
      <c r="I39" s="15">
        <f t="shared" si="6"/>
        <v>999.99999999999898</v>
      </c>
      <c r="K39" s="15">
        <f t="shared" si="12"/>
        <v>5.1116484450789557</v>
      </c>
      <c r="L39" s="15">
        <f t="shared" si="13"/>
        <v>3.8519774845307335</v>
      </c>
      <c r="M39" s="15">
        <f t="shared" si="14"/>
        <v>1.6425909824629294</v>
      </c>
      <c r="N39" s="15">
        <f t="shared" si="15"/>
        <v>1.2378048977197784</v>
      </c>
      <c r="O39" s="15"/>
      <c r="P39" s="18">
        <f t="shared" si="16"/>
        <v>15106.930951217908</v>
      </c>
      <c r="Q39" s="18">
        <f t="shared" si="17"/>
        <v>753.06640372070581</v>
      </c>
      <c r="R39" s="18">
        <f t="shared" si="22"/>
        <v>15859.997354938614</v>
      </c>
      <c r="S39" s="18">
        <f t="shared" si="19"/>
        <v>5096.494588196525</v>
      </c>
      <c r="T39" s="18"/>
      <c r="V39" s="15">
        <f t="shared" si="20"/>
        <v>5.1116484450789557</v>
      </c>
      <c r="W39" s="15">
        <f t="shared" si="7"/>
        <v>3.8519774845307335</v>
      </c>
      <c r="X39" s="15">
        <f t="shared" si="1"/>
        <v>1.6425909824629294</v>
      </c>
      <c r="Y39" s="15">
        <f t="shared" si="2"/>
        <v>1.2378048977197784</v>
      </c>
      <c r="AA39" s="18">
        <f t="shared" si="8"/>
        <v>15106.930951217908</v>
      </c>
      <c r="AB39" s="48">
        <f t="shared" si="21"/>
        <v>753.06640372070581</v>
      </c>
      <c r="AC39" s="48">
        <f t="shared" si="9"/>
        <v>15859.997354938614</v>
      </c>
      <c r="AD39" s="18">
        <f t="shared" si="3"/>
        <v>5096.494588196525</v>
      </c>
    </row>
    <row r="40" spans="1:30" x14ac:dyDescent="0.2">
      <c r="A40">
        <v>34</v>
      </c>
      <c r="C40" s="19">
        <f t="shared" si="0"/>
        <v>0.1958</v>
      </c>
      <c r="E40" s="23">
        <f t="shared" si="10"/>
        <v>4.2337710824640509E-2</v>
      </c>
      <c r="F40" s="23">
        <f t="shared" si="4"/>
        <v>3.3153835649871497</v>
      </c>
      <c r="G40" s="23">
        <f t="shared" si="5"/>
        <v>603.0370472216299</v>
      </c>
      <c r="H40" s="23">
        <f t="shared" si="11"/>
        <v>393.60523150255733</v>
      </c>
      <c r="I40" s="15">
        <f t="shared" si="6"/>
        <v>999.99999999999898</v>
      </c>
      <c r="K40" s="15">
        <f t="shared" si="12"/>
        <v>3.35772127581179</v>
      </c>
      <c r="L40" s="15">
        <f t="shared" si="13"/>
        <v>2.5267584990237708</v>
      </c>
      <c r="M40" s="15">
        <f t="shared" si="14"/>
        <v>1.0424920448132216</v>
      </c>
      <c r="N40" s="15">
        <f t="shared" si="15"/>
        <v>0.78449800266987013</v>
      </c>
      <c r="O40" s="15"/>
      <c r="P40" s="18">
        <f t="shared" si="16"/>
        <v>9967.3195503737697</v>
      </c>
      <c r="Q40" s="18">
        <f t="shared" si="17"/>
        <v>497.30753474807244</v>
      </c>
      <c r="R40" s="18">
        <f t="shared" si="22"/>
        <v>10464.627085121841</v>
      </c>
      <c r="S40" s="18">
        <f t="shared" si="19"/>
        <v>3249.016101117259</v>
      </c>
      <c r="T40" s="18"/>
      <c r="V40" s="15">
        <f t="shared" si="20"/>
        <v>3.35772127581179</v>
      </c>
      <c r="W40" s="15">
        <f t="shared" si="7"/>
        <v>2.5267584990237708</v>
      </c>
      <c r="X40" s="15">
        <f t="shared" si="1"/>
        <v>1.0424920448132216</v>
      </c>
      <c r="Y40" s="15">
        <f t="shared" si="2"/>
        <v>0.78449800266987013</v>
      </c>
      <c r="AA40" s="18">
        <f t="shared" si="8"/>
        <v>9967.3195503737697</v>
      </c>
      <c r="AB40" s="48">
        <f t="shared" si="21"/>
        <v>497.30753474807244</v>
      </c>
      <c r="AC40" s="48">
        <f t="shared" si="9"/>
        <v>10464.627085121841</v>
      </c>
      <c r="AD40" s="18">
        <f t="shared" si="3"/>
        <v>3249.016101117259</v>
      </c>
    </row>
    <row r="41" spans="1:30" x14ac:dyDescent="0.2">
      <c r="A41">
        <v>35</v>
      </c>
      <c r="C41" s="19">
        <f t="shared" si="0"/>
        <v>0.1958</v>
      </c>
      <c r="E41" s="23">
        <f t="shared" si="10"/>
        <v>1.9229788256551715E-2</v>
      </c>
      <c r="F41" s="23">
        <f t="shared" si="4"/>
        <v>2.1837421270032178</v>
      </c>
      <c r="G41" s="23">
        <f t="shared" si="5"/>
        <v>603.53435475637798</v>
      </c>
      <c r="H41" s="23">
        <f t="shared" si="11"/>
        <v>394.26267332836125</v>
      </c>
      <c r="I41" s="15">
        <f t="shared" si="6"/>
        <v>999.99999999999909</v>
      </c>
      <c r="K41" s="15">
        <f t="shared" si="12"/>
        <v>2.2029719152597695</v>
      </c>
      <c r="L41" s="15">
        <f t="shared" si="13"/>
        <v>1.6560748940961376</v>
      </c>
      <c r="M41" s="15">
        <f t="shared" si="14"/>
        <v>0.66084060146065238</v>
      </c>
      <c r="N41" s="15">
        <f t="shared" si="15"/>
        <v>0.49678414940179949</v>
      </c>
      <c r="O41" s="15"/>
      <c r="P41" s="18">
        <f t="shared" si="16"/>
        <v>6560.8412751379292</v>
      </c>
      <c r="Q41" s="18">
        <f t="shared" si="17"/>
        <v>327.56131905048261</v>
      </c>
      <c r="R41" s="18">
        <f t="shared" si="22"/>
        <v>6888.402594188412</v>
      </c>
      <c r="S41" s="18">
        <f t="shared" si="19"/>
        <v>2066.361392042445</v>
      </c>
      <c r="T41" s="18"/>
      <c r="V41" s="15">
        <f t="shared" si="20"/>
        <v>2.2029719152597695</v>
      </c>
      <c r="W41" s="15">
        <f t="shared" si="7"/>
        <v>1.6560748940961376</v>
      </c>
      <c r="X41" s="15">
        <f t="shared" si="1"/>
        <v>0.66084060146065238</v>
      </c>
      <c r="Y41" s="15">
        <f t="shared" si="2"/>
        <v>0.49678414940179949</v>
      </c>
      <c r="AA41" s="18">
        <f t="shared" si="8"/>
        <v>6560.8412751379292</v>
      </c>
      <c r="AB41" s="48">
        <f t="shared" si="21"/>
        <v>327.56131905048261</v>
      </c>
      <c r="AC41" s="48">
        <f t="shared" si="9"/>
        <v>6888.402594188412</v>
      </c>
      <c r="AD41" s="18">
        <f t="shared" si="3"/>
        <v>2066.361392042445</v>
      </c>
    </row>
    <row r="42" spans="1:30" x14ac:dyDescent="0.2">
      <c r="A42">
        <v>36</v>
      </c>
      <c r="C42" s="19">
        <f t="shared" si="0"/>
        <v>0.1958</v>
      </c>
      <c r="E42" s="23">
        <f t="shared" si="10"/>
        <v>8.5418719435602728E-3</v>
      </c>
      <c r="F42" s="23">
        <f t="shared" si="4"/>
        <v>1.4355268232578637</v>
      </c>
      <c r="G42" s="23">
        <f t="shared" si="5"/>
        <v>603.86191607542844</v>
      </c>
      <c r="H42" s="23">
        <f t="shared" si="11"/>
        <v>394.69401522936914</v>
      </c>
      <c r="I42" s="15">
        <f t="shared" si="6"/>
        <v>999.99999999999898</v>
      </c>
      <c r="K42" s="15">
        <f t="shared" si="12"/>
        <v>1.4440686952014241</v>
      </c>
      <c r="L42" s="15">
        <f t="shared" si="13"/>
        <v>1.0847598957897799</v>
      </c>
      <c r="M42" s="15">
        <f t="shared" si="14"/>
        <v>0.41853835285535407</v>
      </c>
      <c r="N42" s="15">
        <f t="shared" si="15"/>
        <v>0.31439890743152804</v>
      </c>
      <c r="O42" s="15"/>
      <c r="P42" s="18">
        <f t="shared" si="16"/>
        <v>4310.8514057453713</v>
      </c>
      <c r="Q42" s="18">
        <f t="shared" si="17"/>
        <v>215.32902348867955</v>
      </c>
      <c r="R42" s="18">
        <f t="shared" si="22"/>
        <v>4526.1804292340512</v>
      </c>
      <c r="S42" s="18">
        <f t="shared" si="19"/>
        <v>1311.835169526699</v>
      </c>
      <c r="T42" s="18"/>
      <c r="V42" s="15">
        <f t="shared" si="20"/>
        <v>1.4440686952014241</v>
      </c>
      <c r="W42" s="15">
        <f t="shared" si="7"/>
        <v>1.0847598957897799</v>
      </c>
      <c r="X42" s="15">
        <f t="shared" si="1"/>
        <v>0.41853835285535407</v>
      </c>
      <c r="Y42" s="15">
        <f t="shared" si="2"/>
        <v>0.31439890743152804</v>
      </c>
      <c r="AA42" s="18">
        <f t="shared" si="8"/>
        <v>4310.8514057453713</v>
      </c>
      <c r="AB42" s="48">
        <f t="shared" si="21"/>
        <v>215.32902348867955</v>
      </c>
      <c r="AC42" s="48">
        <f t="shared" si="9"/>
        <v>4526.1804292340512</v>
      </c>
      <c r="AD42" s="18">
        <f t="shared" si="3"/>
        <v>1311.835169526699</v>
      </c>
    </row>
    <row r="43" spans="1:30" x14ac:dyDescent="0.2">
      <c r="A43">
        <v>37</v>
      </c>
      <c r="C43" s="19">
        <f t="shared" si="0"/>
        <v>0.1958</v>
      </c>
      <c r="E43" s="23">
        <f t="shared" si="10"/>
        <v>3.7088807978938707E-3</v>
      </c>
      <c r="F43" s="23">
        <f t="shared" si="4"/>
        <v>0.94228214039441183</v>
      </c>
      <c r="G43" s="23">
        <f t="shared" si="5"/>
        <v>604.07724509891716</v>
      </c>
      <c r="H43" s="23">
        <f t="shared" si="11"/>
        <v>394.97676387988957</v>
      </c>
      <c r="I43" s="15">
        <f t="shared" si="6"/>
        <v>999.99999999999909</v>
      </c>
      <c r="K43" s="15">
        <f t="shared" si="12"/>
        <v>0.94599102119230571</v>
      </c>
      <c r="L43" s="15">
        <f t="shared" si="13"/>
        <v>0.71023504205380805</v>
      </c>
      <c r="M43" s="15">
        <f t="shared" si="14"/>
        <v>0.2649073889183402</v>
      </c>
      <c r="N43" s="15">
        <f t="shared" si="15"/>
        <v>0.19888826246114494</v>
      </c>
      <c r="O43" s="15"/>
      <c r="P43" s="18">
        <f t="shared" si="16"/>
        <v>2828.7008615821824</v>
      </c>
      <c r="Q43" s="18">
        <f t="shared" si="17"/>
        <v>141.34232105916178</v>
      </c>
      <c r="R43" s="18">
        <f t="shared" si="22"/>
        <v>2970.0431826413442</v>
      </c>
      <c r="S43" s="18">
        <f t="shared" si="19"/>
        <v>831.70597485860662</v>
      </c>
      <c r="T43" s="18"/>
      <c r="V43" s="15">
        <f t="shared" si="20"/>
        <v>0.94599102119230571</v>
      </c>
      <c r="W43" s="15">
        <f t="shared" si="7"/>
        <v>0.71023504205380805</v>
      </c>
      <c r="X43" s="15">
        <f t="shared" si="1"/>
        <v>0.2649073889183402</v>
      </c>
      <c r="Y43" s="15">
        <f t="shared" si="2"/>
        <v>0.19888826246114494</v>
      </c>
      <c r="AA43" s="18">
        <f t="shared" si="8"/>
        <v>2828.7008615821824</v>
      </c>
      <c r="AB43" s="48">
        <f t="shared" si="21"/>
        <v>141.34232105916178</v>
      </c>
      <c r="AC43" s="48">
        <f t="shared" si="9"/>
        <v>2970.0431826413442</v>
      </c>
      <c r="AD43" s="18">
        <f t="shared" si="3"/>
        <v>831.70597485860662</v>
      </c>
    </row>
    <row r="44" spans="1:30" x14ac:dyDescent="0.2">
      <c r="A44">
        <v>38</v>
      </c>
      <c r="C44" s="19">
        <f t="shared" si="0"/>
        <v>0.1958</v>
      </c>
      <c r="E44" s="23">
        <f t="shared" si="10"/>
        <v>1.57330723446658E-3</v>
      </c>
      <c r="F44" s="23">
        <f t="shared" si="4"/>
        <v>0.61785035094922391</v>
      </c>
      <c r="G44" s="23">
        <f t="shared" si="5"/>
        <v>604.2185874199763</v>
      </c>
      <c r="H44" s="23">
        <f t="shared" si="11"/>
        <v>395.161988921839</v>
      </c>
      <c r="I44" s="15">
        <f t="shared" si="6"/>
        <v>999.99999999999898</v>
      </c>
      <c r="K44" s="15">
        <f t="shared" si="12"/>
        <v>0.6194236581836905</v>
      </c>
      <c r="L44" s="15">
        <f t="shared" si="13"/>
        <v>0.46488240508466117</v>
      </c>
      <c r="M44" s="15">
        <f t="shared" si="14"/>
        <v>0.16759246802866715</v>
      </c>
      <c r="N44" s="15">
        <f t="shared" si="15"/>
        <v>0.12577948643372042</v>
      </c>
      <c r="O44" s="15"/>
      <c r="P44" s="18">
        <f t="shared" si="16"/>
        <v>1854.3377064649051</v>
      </c>
      <c r="Q44" s="18">
        <f t="shared" si="17"/>
        <v>92.677552642383588</v>
      </c>
      <c r="R44" s="18">
        <f t="shared" si="22"/>
        <v>1947.0152591072886</v>
      </c>
      <c r="S44" s="18">
        <f t="shared" si="19"/>
        <v>526.78823007838582</v>
      </c>
      <c r="T44" s="18"/>
      <c r="V44" s="15">
        <f t="shared" si="20"/>
        <v>0.6194236581836905</v>
      </c>
      <c r="W44" s="15">
        <f t="shared" si="7"/>
        <v>0.46488240508466117</v>
      </c>
      <c r="X44" s="15">
        <f t="shared" si="1"/>
        <v>0.16759246802866715</v>
      </c>
      <c r="Y44" s="15">
        <f t="shared" si="2"/>
        <v>0.12577948643372042</v>
      </c>
      <c r="AA44" s="18">
        <f t="shared" si="8"/>
        <v>1854.3377064649051</v>
      </c>
      <c r="AB44" s="48">
        <f t="shared" si="21"/>
        <v>92.677552642383588</v>
      </c>
      <c r="AC44" s="48">
        <f t="shared" si="9"/>
        <v>1947.0152591072886</v>
      </c>
      <c r="AD44" s="18">
        <f t="shared" si="3"/>
        <v>526.78823007838582</v>
      </c>
    </row>
    <row r="45" spans="1:30" x14ac:dyDescent="0.2">
      <c r="A45">
        <v>39</v>
      </c>
      <c r="C45" s="19">
        <f t="shared" si="0"/>
        <v>0.1958</v>
      </c>
      <c r="E45" s="23">
        <f t="shared" si="10"/>
        <v>6.5166385651605743E-4</v>
      </c>
      <c r="F45" s="23">
        <f t="shared" si="4"/>
        <v>0.40481128941242422</v>
      </c>
      <c r="G45" s="23">
        <f t="shared" si="5"/>
        <v>604.31126497261869</v>
      </c>
      <c r="H45" s="23">
        <f t="shared" si="11"/>
        <v>395.28327207411138</v>
      </c>
      <c r="I45" s="15">
        <f t="shared" si="6"/>
        <v>999.99999999999909</v>
      </c>
      <c r="K45" s="15">
        <f t="shared" si="12"/>
        <v>0.40546295326894027</v>
      </c>
      <c r="L45" s="15">
        <f t="shared" si="13"/>
        <v>0.30422754772300842</v>
      </c>
      <c r="M45" s="15">
        <f t="shared" si="14"/>
        <v>0.10599308612900396</v>
      </c>
      <c r="N45" s="15">
        <f t="shared" si="15"/>
        <v>7.9528885212928377E-2</v>
      </c>
      <c r="O45" s="15"/>
      <c r="P45" s="18">
        <f t="shared" si="16"/>
        <v>1214.7597001655308</v>
      </c>
      <c r="Q45" s="18">
        <f t="shared" si="17"/>
        <v>60.721693411863633</v>
      </c>
      <c r="R45" s="18">
        <f t="shared" si="22"/>
        <v>1275.4813935773946</v>
      </c>
      <c r="S45" s="18">
        <f t="shared" si="19"/>
        <v>333.4267856420384</v>
      </c>
      <c r="T45" s="18"/>
      <c r="V45" s="15">
        <f t="shared" si="20"/>
        <v>0.40546295326894027</v>
      </c>
      <c r="W45" s="15">
        <f t="shared" si="7"/>
        <v>0.30422754772300842</v>
      </c>
      <c r="X45" s="15">
        <f t="shared" si="1"/>
        <v>0.10599308612900396</v>
      </c>
      <c r="Y45" s="15">
        <f t="shared" si="2"/>
        <v>7.9528885212928377E-2</v>
      </c>
      <c r="AA45" s="18">
        <f t="shared" si="8"/>
        <v>1214.7597001655308</v>
      </c>
      <c r="AB45" s="48">
        <f t="shared" si="21"/>
        <v>60.721693411863633</v>
      </c>
      <c r="AC45" s="48">
        <f t="shared" si="9"/>
        <v>1275.4813935773946</v>
      </c>
      <c r="AD45" s="18">
        <f t="shared" si="3"/>
        <v>333.4267856420384</v>
      </c>
    </row>
    <row r="46" spans="1:30" x14ac:dyDescent="0.2">
      <c r="A46">
        <v>40</v>
      </c>
      <c r="C46" s="19">
        <f t="shared" si="0"/>
        <v>0.1958</v>
      </c>
      <c r="E46" s="23">
        <f t="shared" si="10"/>
        <v>2.6340253080379039E-4</v>
      </c>
      <c r="F46" s="23">
        <f t="shared" si="4"/>
        <v>0.26508821107621433</v>
      </c>
      <c r="G46" s="23">
        <f t="shared" si="5"/>
        <v>604.37198666603058</v>
      </c>
      <c r="H46" s="23">
        <f t="shared" si="11"/>
        <v>395.36266172036147</v>
      </c>
      <c r="I46" s="15">
        <f t="shared" si="6"/>
        <v>999.99999999999909</v>
      </c>
      <c r="K46" s="15">
        <f t="shared" si="12"/>
        <v>0.26535161360701814</v>
      </c>
      <c r="L46" s="15">
        <f t="shared" si="13"/>
        <v>0.19906639071142437</v>
      </c>
      <c r="M46" s="15">
        <f t="shared" si="14"/>
        <v>6.7020511988141018E-2</v>
      </c>
      <c r="N46" s="15">
        <f t="shared" si="15"/>
        <v>5.0278689636572532E-2</v>
      </c>
      <c r="O46" s="15"/>
      <c r="P46" s="18">
        <f t="shared" si="16"/>
        <v>795.39633449404494</v>
      </c>
      <c r="Q46" s="18">
        <f t="shared" si="17"/>
        <v>39.763231661432151</v>
      </c>
      <c r="R46" s="18">
        <f t="shared" si="22"/>
        <v>835.15956615547714</v>
      </c>
      <c r="S46" s="18">
        <f t="shared" si="19"/>
        <v>210.93831296020963</v>
      </c>
      <c r="T46" s="18"/>
      <c r="V46" s="15">
        <f t="shared" si="20"/>
        <v>0.26535161360701814</v>
      </c>
      <c r="W46" s="15">
        <f t="shared" si="7"/>
        <v>0.19906639071142437</v>
      </c>
      <c r="X46" s="15">
        <f t="shared" si="1"/>
        <v>6.7020511988141018E-2</v>
      </c>
      <c r="Y46" s="15">
        <f t="shared" si="2"/>
        <v>5.0278689636572532E-2</v>
      </c>
      <c r="AA46" s="18">
        <f t="shared" si="8"/>
        <v>795.39633449404494</v>
      </c>
      <c r="AB46" s="48">
        <f t="shared" si="21"/>
        <v>39.763231661432151</v>
      </c>
      <c r="AC46" s="48">
        <f t="shared" si="9"/>
        <v>835.15956615547714</v>
      </c>
      <c r="AD46" s="18">
        <f t="shared" si="3"/>
        <v>210.93831296020963</v>
      </c>
    </row>
    <row r="47" spans="1:30" x14ac:dyDescent="0.2">
      <c r="A47">
        <v>41</v>
      </c>
      <c r="C47" s="19">
        <f t="shared" si="0"/>
        <v>0.1958</v>
      </c>
      <c r="E47" s="23">
        <f t="shared" si="10"/>
        <v>1.0383327764285418E-4</v>
      </c>
      <c r="F47" s="23">
        <f t="shared" si="4"/>
        <v>0.17352870272368898</v>
      </c>
      <c r="G47" s="23">
        <f t="shared" si="5"/>
        <v>604.41174989769206</v>
      </c>
      <c r="H47" s="23">
        <f t="shared" si="11"/>
        <v>395.41461756630576</v>
      </c>
      <c r="I47" s="15">
        <f t="shared" si="6"/>
        <v>999.9999999999992</v>
      </c>
      <c r="K47" s="15">
        <f t="shared" si="12"/>
        <v>0.17363253600133183</v>
      </c>
      <c r="L47" s="15">
        <f t="shared" si="13"/>
        <v>0.13024516865652747</v>
      </c>
      <c r="M47" s="15">
        <f t="shared" si="14"/>
        <v>4.2371785678011531E-2</v>
      </c>
      <c r="N47" s="15">
        <f t="shared" si="15"/>
        <v>3.1783906973912521E-2</v>
      </c>
      <c r="O47" s="15"/>
      <c r="P47" s="18">
        <f t="shared" si="16"/>
        <v>520.63802480988841</v>
      </c>
      <c r="Q47" s="18">
        <f t="shared" si="17"/>
        <v>26.029305408553345</v>
      </c>
      <c r="R47" s="18">
        <f>P47+Q47</f>
        <v>546.66733021844175</v>
      </c>
      <c r="S47" s="18">
        <f t="shared" si="19"/>
        <v>133.40397765663516</v>
      </c>
      <c r="T47" s="18"/>
      <c r="V47" s="15">
        <f t="shared" si="20"/>
        <v>0.17363253600133183</v>
      </c>
      <c r="W47" s="15">
        <f t="shared" si="7"/>
        <v>0.13024516865652747</v>
      </c>
      <c r="X47" s="15">
        <f t="shared" si="1"/>
        <v>4.2371785678011531E-2</v>
      </c>
      <c r="Y47" s="15">
        <f t="shared" si="2"/>
        <v>3.1783906973912521E-2</v>
      </c>
      <c r="AA47" s="18">
        <f t="shared" si="8"/>
        <v>520.63802480988841</v>
      </c>
      <c r="AB47" s="48">
        <f t="shared" si="21"/>
        <v>26.029305408553345</v>
      </c>
      <c r="AC47" s="48">
        <f t="shared" si="9"/>
        <v>546.66733021844175</v>
      </c>
      <c r="AD47" s="18">
        <f t="shared" si="3"/>
        <v>133.40397765663516</v>
      </c>
    </row>
    <row r="48" spans="1:30" x14ac:dyDescent="0.2">
      <c r="A48">
        <v>42</v>
      </c>
      <c r="C48" s="19">
        <f t="shared" si="0"/>
        <v>0.1958</v>
      </c>
      <c r="E48" s="23">
        <f t="shared" si="10"/>
        <v>3.9892745270384587E-5</v>
      </c>
      <c r="F48" s="23">
        <f t="shared" si="4"/>
        <v>0.11356608729844733</v>
      </c>
      <c r="G48" s="23">
        <f t="shared" si="5"/>
        <v>604.4377792031006</v>
      </c>
      <c r="H48" s="23">
        <f t="shared" si="11"/>
        <v>395.44861481685479</v>
      </c>
      <c r="I48" s="15">
        <f t="shared" si="6"/>
        <v>999.99999999999909</v>
      </c>
      <c r="K48" s="15">
        <f t="shared" si="12"/>
        <v>0.11360598004371772</v>
      </c>
      <c r="L48" s="15">
        <f t="shared" si="13"/>
        <v>8.5212463581842368E-2</v>
      </c>
      <c r="M48" s="15">
        <f t="shared" si="14"/>
        <v>2.6785915919911151E-2</v>
      </c>
      <c r="N48" s="15">
        <f t="shared" si="15"/>
        <v>2.0091318115062026E-2</v>
      </c>
      <c r="O48" s="15"/>
      <c r="P48" s="18">
        <f t="shared" si="16"/>
        <v>340.71820826797722</v>
      </c>
      <c r="Q48" s="18">
        <f t="shared" si="17"/>
        <v>17.034913094767099</v>
      </c>
      <c r="R48" s="18">
        <f t="shared" si="22"/>
        <v>357.75312136274431</v>
      </c>
      <c r="S48" s="18">
        <f t="shared" si="19"/>
        <v>84.350709577265377</v>
      </c>
      <c r="T48" s="18"/>
      <c r="V48" s="15">
        <f t="shared" si="20"/>
        <v>0.11360598004371772</v>
      </c>
      <c r="W48" s="15">
        <f t="shared" si="7"/>
        <v>8.5212463581842368E-2</v>
      </c>
      <c r="X48" s="15">
        <f t="shared" si="1"/>
        <v>2.6785915919911151E-2</v>
      </c>
      <c r="Y48" s="15">
        <f t="shared" si="2"/>
        <v>2.0091318115062026E-2</v>
      </c>
      <c r="AA48" s="18">
        <f t="shared" si="8"/>
        <v>340.71820826797722</v>
      </c>
      <c r="AB48" s="48">
        <f t="shared" si="21"/>
        <v>17.034913094767099</v>
      </c>
      <c r="AC48" s="48">
        <f t="shared" si="9"/>
        <v>357.75312136274431</v>
      </c>
      <c r="AD48" s="18">
        <f t="shared" si="3"/>
        <v>84.350709577265377</v>
      </c>
    </row>
    <row r="49" spans="1:30" x14ac:dyDescent="0.2">
      <c r="A49">
        <v>43</v>
      </c>
      <c r="C49" s="19">
        <f t="shared" si="0"/>
        <v>0.1958</v>
      </c>
      <c r="E49" s="23">
        <f t="shared" si="10"/>
        <v>1.4927865280177917E-5</v>
      </c>
      <c r="F49" s="23">
        <f t="shared" si="4"/>
        <v>7.4312088191110501E-2</v>
      </c>
      <c r="G49" s="23">
        <f t="shared" si="5"/>
        <v>604.45481411619539</v>
      </c>
      <c r="H49" s="23">
        <f t="shared" si="11"/>
        <v>395.47085886774738</v>
      </c>
      <c r="I49" s="15">
        <f t="shared" si="6"/>
        <v>999.99999999999909</v>
      </c>
      <c r="K49" s="15">
        <f t="shared" si="12"/>
        <v>7.432701605639068E-2</v>
      </c>
      <c r="L49" s="15">
        <f t="shared" si="13"/>
        <v>5.5748247615349043E-2</v>
      </c>
      <c r="M49" s="15">
        <f t="shared" si="14"/>
        <v>1.6932132440726926E-2</v>
      </c>
      <c r="N49" s="15">
        <f t="shared" si="15"/>
        <v>1.2699779461688328E-2</v>
      </c>
      <c r="O49" s="15"/>
      <c r="P49" s="18">
        <f t="shared" si="16"/>
        <v>222.94372850597159</v>
      </c>
      <c r="Q49" s="18">
        <f t="shared" si="17"/>
        <v>11.146813228666575</v>
      </c>
      <c r="R49" s="18">
        <f t="shared" si="22"/>
        <v>234.09054173463818</v>
      </c>
      <c r="S49" s="18">
        <f t="shared" si="19"/>
        <v>53.327205450643277</v>
      </c>
      <c r="T49" s="18"/>
      <c r="V49" s="15">
        <f t="shared" si="20"/>
        <v>7.432701605639068E-2</v>
      </c>
      <c r="W49" s="15">
        <f t="shared" si="7"/>
        <v>5.5748247615349043E-2</v>
      </c>
      <c r="X49" s="15">
        <f t="shared" si="1"/>
        <v>1.6932132440726926E-2</v>
      </c>
      <c r="Y49" s="15">
        <f t="shared" si="2"/>
        <v>1.2699779461688328E-2</v>
      </c>
      <c r="AA49" s="18">
        <f t="shared" si="8"/>
        <v>222.94372850597159</v>
      </c>
      <c r="AB49" s="48">
        <f t="shared" si="21"/>
        <v>11.146813228666575</v>
      </c>
      <c r="AC49" s="48">
        <f t="shared" si="9"/>
        <v>234.09054173463818</v>
      </c>
      <c r="AD49" s="18">
        <f t="shared" si="3"/>
        <v>53.327205450643277</v>
      </c>
    </row>
    <row r="50" spans="1:30" x14ac:dyDescent="0.2">
      <c r="A50">
        <v>44</v>
      </c>
      <c r="C50" s="19">
        <f t="shared" si="0"/>
        <v>0.1958</v>
      </c>
      <c r="E50" s="23">
        <f t="shared" si="10"/>
        <v>5.4367285350407989E-6</v>
      </c>
      <c r="F50" s="23">
        <f t="shared" si="4"/>
        <v>4.8621536355347772E-2</v>
      </c>
      <c r="G50" s="23">
        <f t="shared" si="5"/>
        <v>604.46596092942411</v>
      </c>
      <c r="H50" s="23">
        <f t="shared" si="11"/>
        <v>395.48541209749123</v>
      </c>
      <c r="I50" s="15">
        <f t="shared" si="6"/>
        <v>999.9999999999992</v>
      </c>
      <c r="K50" s="15">
        <f t="shared" si="12"/>
        <v>4.8626973083882814E-2</v>
      </c>
      <c r="L50" s="15">
        <f t="shared" si="13"/>
        <v>3.6471317158619121E-2</v>
      </c>
      <c r="M50" s="15">
        <f t="shared" si="14"/>
        <v>1.0702909315054018E-2</v>
      </c>
      <c r="N50" s="15">
        <f t="shared" si="15"/>
        <v>8.0274213135971134E-3</v>
      </c>
      <c r="O50" s="15"/>
      <c r="P50" s="18">
        <f t="shared" si="16"/>
        <v>145.86732743031084</v>
      </c>
      <c r="Q50" s="18">
        <f t="shared" si="17"/>
        <v>7.293230453302165</v>
      </c>
      <c r="R50" s="18">
        <f t="shared" si="22"/>
        <v>153.160557883613</v>
      </c>
      <c r="S50" s="18">
        <f t="shared" si="19"/>
        <v>33.710993255607718</v>
      </c>
      <c r="T50" s="18"/>
      <c r="V50" s="15">
        <f t="shared" si="20"/>
        <v>4.8626973083882814E-2</v>
      </c>
      <c r="W50" s="15">
        <f t="shared" si="7"/>
        <v>3.6471317158619121E-2</v>
      </c>
      <c r="X50" s="15">
        <f t="shared" si="1"/>
        <v>1.0702909315054018E-2</v>
      </c>
      <c r="Y50" s="15">
        <f t="shared" si="2"/>
        <v>8.0274213135971134E-3</v>
      </c>
      <c r="AA50" s="18">
        <f t="shared" si="8"/>
        <v>145.86732743031084</v>
      </c>
      <c r="AB50" s="48">
        <f t="shared" si="21"/>
        <v>7.293230453302165</v>
      </c>
      <c r="AC50" s="48">
        <f t="shared" si="9"/>
        <v>153.160557883613</v>
      </c>
      <c r="AD50" s="18">
        <f t="shared" si="3"/>
        <v>33.710993255607718</v>
      </c>
    </row>
    <row r="51" spans="1:30" x14ac:dyDescent="0.2">
      <c r="A51">
        <v>45</v>
      </c>
      <c r="C51" s="19">
        <f t="shared" si="0"/>
        <v>0.1958</v>
      </c>
      <c r="E51" s="23">
        <f t="shared" si="10"/>
        <v>1.9256892471114514E-6</v>
      </c>
      <c r="F51" s="23">
        <f t="shared" si="4"/>
        <v>3.1810655611509281E-2</v>
      </c>
      <c r="G51" s="23">
        <f t="shared" si="5"/>
        <v>604.47325415987746</v>
      </c>
      <c r="H51" s="23">
        <f t="shared" si="11"/>
        <v>395.49493325882105</v>
      </c>
      <c r="I51" s="15">
        <f t="shared" si="6"/>
        <v>999.99999999999932</v>
      </c>
      <c r="K51" s="15">
        <f t="shared" si="12"/>
        <v>3.1812581300756392E-2</v>
      </c>
      <c r="L51" s="15">
        <f t="shared" si="13"/>
        <v>2.3859821113416717E-2</v>
      </c>
      <c r="M51" s="15">
        <f t="shared" si="14"/>
        <v>6.7652393907133221E-3</v>
      </c>
      <c r="N51" s="15">
        <f t="shared" si="15"/>
        <v>5.0740114461576939E-3</v>
      </c>
      <c r="O51" s="15"/>
      <c r="P51" s="18">
        <f t="shared" si="16"/>
        <v>95.4329296791514</v>
      </c>
      <c r="Q51" s="18">
        <f t="shared" si="17"/>
        <v>4.7715983417263921</v>
      </c>
      <c r="R51" s="18">
        <f t="shared" si="22"/>
        <v>100.20452802087779</v>
      </c>
      <c r="S51" s="18">
        <f t="shared" si="19"/>
        <v>21.309418864371153</v>
      </c>
      <c r="T51" s="18"/>
      <c r="V51" s="15">
        <f t="shared" si="20"/>
        <v>3.1812581300756392E-2</v>
      </c>
      <c r="W51" s="15">
        <f t="shared" si="7"/>
        <v>2.3859821113416717E-2</v>
      </c>
      <c r="X51" s="15">
        <f t="shared" si="1"/>
        <v>6.7652393907133221E-3</v>
      </c>
      <c r="Y51" s="15">
        <f t="shared" si="2"/>
        <v>5.0740114461576939E-3</v>
      </c>
      <c r="AA51" s="18">
        <f t="shared" si="8"/>
        <v>95.4329296791514</v>
      </c>
      <c r="AB51" s="48">
        <f>Q51</f>
        <v>4.7715983417263921</v>
      </c>
      <c r="AC51" s="48">
        <f t="shared" si="9"/>
        <v>100.20452802087779</v>
      </c>
      <c r="AD51" s="18">
        <f t="shared" si="3"/>
        <v>21.309418864371153</v>
      </c>
    </row>
    <row r="52" spans="1:30" x14ac:dyDescent="0.2">
      <c r="F52" s="23"/>
      <c r="G52" s="47"/>
      <c r="K52" s="6"/>
      <c r="L52" s="6"/>
      <c r="M52" s="58" t="s">
        <v>71</v>
      </c>
      <c r="N52" s="58"/>
      <c r="O52" s="16"/>
      <c r="P52" s="6"/>
      <c r="Q52" s="6"/>
      <c r="R52" s="6"/>
      <c r="S52" s="6" t="s">
        <v>71</v>
      </c>
      <c r="T52" s="6"/>
      <c r="V52" s="6"/>
      <c r="W52" s="6"/>
      <c r="X52" s="58" t="s">
        <v>71</v>
      </c>
      <c r="Y52" s="58"/>
      <c r="AA52" s="6"/>
      <c r="AB52" s="6"/>
      <c r="AC52" s="6"/>
      <c r="AD52" s="6" t="s">
        <v>71</v>
      </c>
    </row>
    <row r="53" spans="1:30" x14ac:dyDescent="0.2">
      <c r="K53" s="6" t="str">
        <f>K4</f>
        <v>Life years</v>
      </c>
      <c r="L53" s="6" t="str">
        <f>L4</f>
        <v>QALYs</v>
      </c>
      <c r="M53" s="6" t="str">
        <f>M4</f>
        <v>Life years</v>
      </c>
      <c r="N53" s="6" t="str">
        <f>N4</f>
        <v>QALYs</v>
      </c>
      <c r="O53" s="6"/>
      <c r="P53" s="6" t="str">
        <f>P4</f>
        <v>StateCost</v>
      </c>
      <c r="Q53" s="6" t="str">
        <f>Q4</f>
        <v>TransCost</v>
      </c>
      <c r="R53" s="6" t="str">
        <f>R4</f>
        <v>TotalCost</v>
      </c>
      <c r="S53" s="6" t="str">
        <f>S4</f>
        <v>Total cost</v>
      </c>
      <c r="T53" s="6"/>
      <c r="V53" s="6" t="str">
        <f>V4</f>
        <v>Life years</v>
      </c>
      <c r="W53" s="6" t="str">
        <f>W4</f>
        <v>QALYs</v>
      </c>
      <c r="X53" s="6" t="str">
        <f>X4</f>
        <v>Life years</v>
      </c>
      <c r="Y53" s="6" t="str">
        <f>Y4</f>
        <v>QALYs</v>
      </c>
      <c r="AA53" s="6" t="str">
        <f>AA4</f>
        <v>StateCost</v>
      </c>
      <c r="AB53" s="6" t="str">
        <f>AB4</f>
        <v>TransCost</v>
      </c>
      <c r="AC53" s="6" t="str">
        <f>AC4</f>
        <v>TotalCost</v>
      </c>
      <c r="AD53" s="6" t="str">
        <f>AD4</f>
        <v>Total cost</v>
      </c>
    </row>
    <row r="54" spans="1:30" x14ac:dyDescent="0.2">
      <c r="J54" s="6" t="s">
        <v>64</v>
      </c>
      <c r="K54" s="23">
        <f>SUM(K6:K51)</f>
        <v>13693.245079326402</v>
      </c>
      <c r="L54" s="23">
        <f>SUM(L7:L51)</f>
        <v>12202.612124349122</v>
      </c>
      <c r="M54" s="23">
        <f>SUM(M6:M51)</f>
        <v>10237.721047153584</v>
      </c>
      <c r="N54" s="23">
        <f>SUM(N6:N51)</f>
        <v>9219.2204866681532</v>
      </c>
      <c r="O54" s="6"/>
      <c r="P54" s="24">
        <f>SUM(P6:P51)</f>
        <v>16921256.302300181</v>
      </c>
      <c r="Q54" s="24">
        <f>SUM(Q6:Q51)</f>
        <v>604478.02575821895</v>
      </c>
      <c r="R54" s="24">
        <f>SUM(R6:R51)</f>
        <v>17525734.328058407</v>
      </c>
      <c r="S54" s="24">
        <f>SUM(S6:S51)</f>
        <v>11831502.756269565</v>
      </c>
      <c r="T54" s="6"/>
      <c r="U54" s="6" t="s">
        <v>64</v>
      </c>
      <c r="V54" s="23">
        <f>SUM(V6:V51)</f>
        <v>14193.245079326402</v>
      </c>
      <c r="W54" s="23">
        <f>SUM(W6:W51)</f>
        <v>12677.612124349122</v>
      </c>
      <c r="X54" s="23">
        <f>SUM(X6:X51)</f>
        <v>10737.721047153584</v>
      </c>
      <c r="Y54" s="23">
        <f>SUM(Y6:Y51)</f>
        <v>9694.2204866681514</v>
      </c>
      <c r="AA54" s="24">
        <f>SUM(AA6:AA51)</f>
        <v>17171256.302300181</v>
      </c>
      <c r="AB54" s="24">
        <f>SUM(AB6:AB51)</f>
        <v>604478.02575821895</v>
      </c>
      <c r="AC54" s="24">
        <f>SUM(AC6:AC51)</f>
        <v>17775734.32805841</v>
      </c>
      <c r="AD54" s="24">
        <f>SUM(AD6:AD51)</f>
        <v>12081502.756269565</v>
      </c>
    </row>
    <row r="55" spans="1:30" x14ac:dyDescent="0.2">
      <c r="J55" s="6" t="s">
        <v>65</v>
      </c>
      <c r="K55" s="20">
        <f>K54/1000</f>
        <v>13.693245079326401</v>
      </c>
      <c r="L55" s="20">
        <f t="shared" ref="L55:S55" si="23">L54/1000</f>
        <v>12.202612124349121</v>
      </c>
      <c r="M55" s="20">
        <f t="shared" si="23"/>
        <v>10.237721047153583</v>
      </c>
      <c r="N55" s="21">
        <f>N54/1000</f>
        <v>9.2192204866681529</v>
      </c>
      <c r="O55" s="6"/>
      <c r="P55" s="24">
        <f t="shared" si="23"/>
        <v>16921.256302300182</v>
      </c>
      <c r="Q55" s="24">
        <f>Q54/1000</f>
        <v>604.47802575821891</v>
      </c>
      <c r="R55" s="24">
        <f t="shared" si="23"/>
        <v>17525.734328058406</v>
      </c>
      <c r="S55" s="49">
        <f t="shared" si="23"/>
        <v>11831.502756269565</v>
      </c>
      <c r="T55" s="6"/>
      <c r="U55" s="6" t="s">
        <v>65</v>
      </c>
      <c r="V55" s="20">
        <f>V54/1000</f>
        <v>14.193245079326401</v>
      </c>
      <c r="W55" s="20">
        <f>W54/1000</f>
        <v>12.677612124349121</v>
      </c>
      <c r="X55" s="20">
        <f>X54/1000</f>
        <v>10.737721047153583</v>
      </c>
      <c r="Y55" s="21">
        <f>Y54/1000</f>
        <v>9.6942204866681507</v>
      </c>
      <c r="AA55" s="24">
        <f>AA54/1000</f>
        <v>17171.256302300182</v>
      </c>
      <c r="AB55" s="24">
        <f>AB54/1000</f>
        <v>604.47802575821891</v>
      </c>
      <c r="AC55" s="24">
        <f>AC54/1000</f>
        <v>17775.73432805841</v>
      </c>
      <c r="AD55" s="24">
        <f>AD54/1000</f>
        <v>12081.502756269565</v>
      </c>
    </row>
  </sheetData>
  <mergeCells count="5">
    <mergeCell ref="E3:H3"/>
    <mergeCell ref="M3:N3"/>
    <mergeCell ref="M52:N52"/>
    <mergeCell ref="V2:AD2"/>
    <mergeCell ref="X52:Y52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72"/>
  <sheetViews>
    <sheetView workbookViewId="0">
      <pane xSplit="1" ySplit="3" topLeftCell="M43" activePane="bottomRight" state="frozen"/>
      <selection pane="topRight" activeCell="B1" sqref="B1"/>
      <selection pane="bottomLeft" activeCell="A4" sqref="A4"/>
      <selection pane="bottomRight" activeCell="W59" sqref="W59"/>
    </sheetView>
  </sheetViews>
  <sheetFormatPr defaultRowHeight="12.75" x14ac:dyDescent="0.2"/>
  <cols>
    <col min="5" max="5" width="13.85546875" bestFit="1" customWidth="1"/>
    <col min="6" max="6" width="19.28515625" bestFit="1" customWidth="1"/>
    <col min="7" max="7" width="19.28515625" customWidth="1"/>
    <col min="8" max="8" width="18" bestFit="1" customWidth="1"/>
    <col min="9" max="9" width="11.140625" customWidth="1"/>
    <col min="10" max="10" width="10.85546875" bestFit="1" customWidth="1"/>
    <col min="11" max="11" width="9.85546875" bestFit="1" customWidth="1"/>
    <col min="13" max="13" width="9.85546875" bestFit="1" customWidth="1"/>
    <col min="15" max="15" width="2.7109375" customWidth="1"/>
    <col min="16" max="16" width="12.28515625" bestFit="1" customWidth="1"/>
    <col min="17" max="18" width="12" bestFit="1" customWidth="1"/>
    <col min="19" max="19" width="12.28515625" bestFit="1" customWidth="1"/>
    <col min="27" max="27" width="12.28515625" bestFit="1" customWidth="1"/>
    <col min="28" max="28" width="9.85546875" bestFit="1" customWidth="1"/>
    <col min="29" max="29" width="12.28515625" bestFit="1" customWidth="1"/>
    <col min="30" max="30" width="14" bestFit="1" customWidth="1"/>
  </cols>
  <sheetData>
    <row r="1" spans="1:30" ht="18" x14ac:dyDescent="0.25">
      <c r="A1" s="2" t="s">
        <v>73</v>
      </c>
      <c r="B1" s="14"/>
      <c r="C1" s="14"/>
      <c r="D1" s="14"/>
      <c r="E1" s="14"/>
      <c r="F1" s="14"/>
      <c r="G1" s="14"/>
      <c r="H1" s="14"/>
      <c r="I1" s="14"/>
      <c r="J1" s="14"/>
      <c r="P1" s="14"/>
      <c r="Q1" s="14"/>
      <c r="R1" s="14"/>
      <c r="S1" s="14"/>
      <c r="T1" s="14"/>
      <c r="U1" s="14"/>
      <c r="V1" s="14"/>
    </row>
    <row r="2" spans="1:30" x14ac:dyDescent="0.2">
      <c r="V2" s="59" t="s">
        <v>92</v>
      </c>
      <c r="W2" s="59"/>
      <c r="X2" s="59"/>
      <c r="Y2" s="59"/>
      <c r="Z2" s="59"/>
      <c r="AA2" s="59"/>
      <c r="AB2" s="59"/>
      <c r="AC2" s="59"/>
      <c r="AD2" s="59"/>
    </row>
    <row r="3" spans="1:30" x14ac:dyDescent="0.2">
      <c r="A3" s="6"/>
      <c r="B3" s="6"/>
      <c r="C3" s="6"/>
      <c r="D3" s="6"/>
      <c r="E3" s="58" t="s">
        <v>73</v>
      </c>
      <c r="F3" s="58"/>
      <c r="G3" s="58"/>
      <c r="H3" s="58"/>
      <c r="I3" s="6"/>
      <c r="J3" s="6"/>
      <c r="K3" s="6"/>
      <c r="L3" s="6"/>
      <c r="M3" s="58" t="s">
        <v>71</v>
      </c>
      <c r="N3" s="58"/>
      <c r="O3" s="16"/>
      <c r="P3" s="6"/>
      <c r="Q3" s="6"/>
      <c r="R3" s="6"/>
      <c r="S3" s="6" t="s">
        <v>71</v>
      </c>
      <c r="AD3" s="6" t="s">
        <v>71</v>
      </c>
    </row>
    <row r="4" spans="1:30" ht="13.5" thickBot="1" x14ac:dyDescent="0.25">
      <c r="A4" s="6" t="s">
        <v>59</v>
      </c>
      <c r="B4" s="6"/>
      <c r="C4" s="6" t="s">
        <v>21</v>
      </c>
      <c r="D4" s="6"/>
      <c r="E4" s="17" t="s">
        <v>67</v>
      </c>
      <c r="F4" s="17" t="s">
        <v>68</v>
      </c>
      <c r="G4" s="17" t="s">
        <v>89</v>
      </c>
      <c r="H4" s="17" t="s">
        <v>90</v>
      </c>
      <c r="I4" s="6" t="s">
        <v>69</v>
      </c>
      <c r="J4" s="6"/>
      <c r="K4" s="17" t="s">
        <v>70</v>
      </c>
      <c r="L4" s="17" t="s">
        <v>60</v>
      </c>
      <c r="M4" s="17" t="s">
        <v>70</v>
      </c>
      <c r="N4" s="17" t="s">
        <v>60</v>
      </c>
      <c r="O4" s="25"/>
      <c r="P4" s="17" t="s">
        <v>61</v>
      </c>
      <c r="Q4" s="17" t="s">
        <v>62</v>
      </c>
      <c r="R4" s="17" t="s">
        <v>63</v>
      </c>
      <c r="S4" s="17" t="s">
        <v>72</v>
      </c>
      <c r="V4" s="17" t="s">
        <v>70</v>
      </c>
      <c r="W4" s="17" t="s">
        <v>60</v>
      </c>
      <c r="X4" s="17" t="s">
        <v>70</v>
      </c>
      <c r="Y4" s="17" t="s">
        <v>60</v>
      </c>
      <c r="Z4" s="25"/>
      <c r="AA4" s="17" t="s">
        <v>61</v>
      </c>
      <c r="AB4" s="17" t="s">
        <v>62</v>
      </c>
      <c r="AC4" s="17" t="s">
        <v>63</v>
      </c>
      <c r="AD4" s="17" t="s">
        <v>72</v>
      </c>
    </row>
    <row r="6" spans="1:30" x14ac:dyDescent="0.2">
      <c r="A6">
        <v>0</v>
      </c>
      <c r="C6" s="19">
        <f t="shared" ref="C6:C51" si="0">IF(ini_age+A6&lt;55,"error",IF(ini_age+A6&gt;=85,natDeath85,IF(ini_age+A6&gt;=75,natDeath75,IF(ini_age+A6&gt;=65,natDeath65,IF(ini_age+A6&gt;=55,natDeath55,"error")))))</f>
        <v>1.38E-2</v>
      </c>
      <c r="E6" s="23">
        <v>1000</v>
      </c>
      <c r="F6" s="15"/>
      <c r="G6" s="15"/>
      <c r="H6" s="15"/>
      <c r="I6" s="15">
        <f>SUM(E6:H6)</f>
        <v>1000</v>
      </c>
      <c r="K6" s="15"/>
      <c r="L6" s="15"/>
      <c r="Q6" s="18">
        <f t="shared" ref="Q6:Q51" si="1">(F6*tpDcm*cDeath)</f>
        <v>0</v>
      </c>
      <c r="V6">
        <f>E6*0.5</f>
        <v>500</v>
      </c>
      <c r="W6" s="15">
        <f>0.5*(E6*uAsymp+F6*uProg)</f>
        <v>475</v>
      </c>
      <c r="X6" s="15">
        <f t="shared" ref="X6:X51" si="2">V6/((1+oDR)^$A6)</f>
        <v>500</v>
      </c>
      <c r="Y6" s="15">
        <f t="shared" ref="Y6:Y51" si="3">W6/((1+oDR)^$A6)</f>
        <v>475</v>
      </c>
      <c r="AA6" s="18">
        <f>0.5*(E6*(cAsymp+cDrug)+F6*cProg)</f>
        <v>750000</v>
      </c>
      <c r="AB6" s="48">
        <f>Q6</f>
        <v>0</v>
      </c>
      <c r="AC6" s="48">
        <f>AA6+AB6</f>
        <v>750000</v>
      </c>
      <c r="AD6" s="18">
        <f t="shared" ref="AD6:AD51" si="4">AC6/((1+cDR)^$A6)</f>
        <v>750000</v>
      </c>
    </row>
    <row r="7" spans="1:30" x14ac:dyDescent="0.2">
      <c r="A7">
        <v>1</v>
      </c>
      <c r="C7" s="19">
        <f t="shared" si="0"/>
        <v>1.38E-2</v>
      </c>
      <c r="E7" s="23">
        <f t="shared" ref="E7:E51" si="5">E6*(1-$C6-tpProg*$A7*Eff)</f>
        <v>981.19999999999993</v>
      </c>
      <c r="F7" s="23">
        <f t="shared" ref="F7:F51" si="6">F6*(1-tpDcm-$C6)+E6*tpProg*Eff*$A7</f>
        <v>5</v>
      </c>
      <c r="G7" s="23">
        <f t="shared" ref="G7:G51" si="7">F6*tpDcm+G6</f>
        <v>0</v>
      </c>
      <c r="H7" s="23">
        <f>H6+E6*$C6+F6*$C6</f>
        <v>13.799999999999999</v>
      </c>
      <c r="I7" s="15">
        <f t="shared" ref="I7:I51" si="8">SUM(E7:H7)</f>
        <v>999.99999999999989</v>
      </c>
      <c r="K7" s="15">
        <f>E7+F7</f>
        <v>986.19999999999993</v>
      </c>
      <c r="L7" s="15">
        <f t="shared" ref="L7:L51" si="9">E7*uAsymp+F7*uProg</f>
        <v>935.88999999999987</v>
      </c>
      <c r="M7" s="15">
        <f>(E7+F7)/((1+oDR)^$A7)</f>
        <v>952.85024154589371</v>
      </c>
      <c r="N7" s="15">
        <f>(E7*uAsymp+F7*uProg)/((1+oDR)^$A7)</f>
        <v>904.24154589371972</v>
      </c>
      <c r="O7" s="15"/>
      <c r="P7" s="18">
        <f>(E7*(cAsymp+cDrug)+F7*cProg)</f>
        <v>1486800</v>
      </c>
      <c r="Q7" s="18">
        <f t="shared" si="1"/>
        <v>750</v>
      </c>
      <c r="R7" s="18">
        <f>P7+Q7</f>
        <v>1487550</v>
      </c>
      <c r="S7" s="18">
        <f>R7/((1+cDR)^$A7)</f>
        <v>1437246.3768115942</v>
      </c>
      <c r="V7" s="15">
        <f>K7</f>
        <v>986.19999999999993</v>
      </c>
      <c r="W7" s="15">
        <f t="shared" ref="W7:W51" si="10">E7*uAsymp+F7*uProg</f>
        <v>935.88999999999987</v>
      </c>
      <c r="X7" s="15">
        <f t="shared" si="2"/>
        <v>952.85024154589371</v>
      </c>
      <c r="Y7" s="15">
        <f t="shared" si="3"/>
        <v>904.24154589371972</v>
      </c>
      <c r="Z7" s="48"/>
      <c r="AA7" s="18">
        <f t="shared" ref="AA7:AA51" si="11">(E7*(cAsymp+cDrug)+F7*cProg)</f>
        <v>1486800</v>
      </c>
      <c r="AB7" s="48">
        <f>Q7</f>
        <v>750</v>
      </c>
      <c r="AC7" s="48">
        <f t="shared" ref="AC7:AC51" si="12">AA7+AB7</f>
        <v>1487550</v>
      </c>
      <c r="AD7" s="18">
        <f t="shared" si="4"/>
        <v>1437246.3768115942</v>
      </c>
    </row>
    <row r="8" spans="1:30" x14ac:dyDescent="0.2">
      <c r="A8">
        <v>2</v>
      </c>
      <c r="C8" s="19">
        <f t="shared" si="0"/>
        <v>1.38E-2</v>
      </c>
      <c r="E8" s="23">
        <f t="shared" si="5"/>
        <v>957.84743999999989</v>
      </c>
      <c r="F8" s="23">
        <f t="shared" si="6"/>
        <v>13.992999999999999</v>
      </c>
      <c r="G8" s="23">
        <f t="shared" si="7"/>
        <v>0.75</v>
      </c>
      <c r="H8" s="23">
        <f t="shared" ref="H8:H24" si="13">H7+E7*$C7+F7*$C7</f>
        <v>27.409559999999995</v>
      </c>
      <c r="I8" s="15">
        <f t="shared" si="8"/>
        <v>999.99999999999989</v>
      </c>
      <c r="K8" s="15">
        <f t="shared" ref="K8:K51" si="14">E8+F8</f>
        <v>971.84043999999994</v>
      </c>
      <c r="L8" s="15">
        <f t="shared" si="9"/>
        <v>920.44981799999982</v>
      </c>
      <c r="M8" s="15">
        <f t="shared" ref="M8:M51" si="15">(E8+F8)/((1+oDR)^$A8)</f>
        <v>907.22344978879323</v>
      </c>
      <c r="N8" s="15">
        <f t="shared" ref="N8:N51" si="16">(E8*uAsymp+F8*uProg)/((1+oDR)^$A8)</f>
        <v>859.24975425330808</v>
      </c>
      <c r="O8" s="15"/>
      <c r="P8" s="18">
        <f t="shared" ref="P8:P51" si="17">(E8*(cAsymp+cDrug)+F8*cProg)</f>
        <v>1478750.16</v>
      </c>
      <c r="Q8" s="18">
        <f t="shared" si="1"/>
        <v>2098.9499999999998</v>
      </c>
      <c r="R8" s="18">
        <f t="shared" ref="R8:R51" si="18">P8+Q8</f>
        <v>1480849.1099999999</v>
      </c>
      <c r="S8" s="18">
        <f t="shared" ref="S8:S51" si="19">R8/((1+cDR)^$A8)</f>
        <v>1382388.4898130645</v>
      </c>
      <c r="V8" s="15">
        <f t="shared" ref="V8:V51" si="20">K8</f>
        <v>971.84043999999994</v>
      </c>
      <c r="W8" s="15">
        <f t="shared" si="10"/>
        <v>920.44981799999982</v>
      </c>
      <c r="X8" s="15">
        <f t="shared" si="2"/>
        <v>907.22344978879323</v>
      </c>
      <c r="Y8" s="15">
        <f t="shared" si="3"/>
        <v>859.24975425330808</v>
      </c>
      <c r="Z8" s="48"/>
      <c r="AA8" s="18">
        <f t="shared" si="11"/>
        <v>1478750.16</v>
      </c>
      <c r="AB8" s="48">
        <f t="shared" ref="AB8:AB50" si="21">Q8</f>
        <v>2098.9499999999998</v>
      </c>
      <c r="AC8" s="48">
        <f t="shared" si="12"/>
        <v>1480849.1099999999</v>
      </c>
      <c r="AD8" s="18">
        <f t="shared" si="4"/>
        <v>1382388.4898130645</v>
      </c>
    </row>
    <row r="9" spans="1:30" x14ac:dyDescent="0.2">
      <c r="A9">
        <v>3</v>
      </c>
      <c r="C9" s="19">
        <f t="shared" si="0"/>
        <v>1.38E-2</v>
      </c>
      <c r="E9" s="23">
        <f t="shared" si="5"/>
        <v>930.26143372799982</v>
      </c>
      <c r="F9" s="23">
        <f t="shared" si="6"/>
        <v>26.068658199999998</v>
      </c>
      <c r="G9" s="23">
        <f t="shared" si="7"/>
        <v>2.8489499999999999</v>
      </c>
      <c r="H9" s="23">
        <f t="shared" si="13"/>
        <v>40.820958071999996</v>
      </c>
      <c r="I9" s="15">
        <f t="shared" si="8"/>
        <v>999.99999999999977</v>
      </c>
      <c r="K9" s="15">
        <f t="shared" si="14"/>
        <v>956.33009192799977</v>
      </c>
      <c r="L9" s="15">
        <f t="shared" si="9"/>
        <v>903.29985569159976</v>
      </c>
      <c r="M9" s="15">
        <f t="shared" si="15"/>
        <v>862.55495062528871</v>
      </c>
      <c r="N9" s="15">
        <f t="shared" si="16"/>
        <v>814.72471587201562</v>
      </c>
      <c r="O9" s="15"/>
      <c r="P9" s="18">
        <f t="shared" si="17"/>
        <v>1473598.1251919998</v>
      </c>
      <c r="Q9" s="18">
        <f t="shared" si="1"/>
        <v>3910.2987299999995</v>
      </c>
      <c r="R9" s="18">
        <f t="shared" si="18"/>
        <v>1477508.4239219998</v>
      </c>
      <c r="S9" s="18">
        <f t="shared" si="19"/>
        <v>1332627.9455195039</v>
      </c>
      <c r="V9" s="15">
        <f t="shared" si="20"/>
        <v>956.33009192799977</v>
      </c>
      <c r="W9" s="15">
        <f t="shared" si="10"/>
        <v>903.29985569159976</v>
      </c>
      <c r="X9" s="15">
        <f t="shared" si="2"/>
        <v>862.55495062528871</v>
      </c>
      <c r="Y9" s="15">
        <f t="shared" si="3"/>
        <v>814.72471587201562</v>
      </c>
      <c r="Z9" s="48"/>
      <c r="AA9" s="18">
        <f t="shared" si="11"/>
        <v>1473598.1251919998</v>
      </c>
      <c r="AB9" s="48">
        <f t="shared" si="21"/>
        <v>3910.2987299999995</v>
      </c>
      <c r="AC9" s="48">
        <f t="shared" si="12"/>
        <v>1477508.4239219998</v>
      </c>
      <c r="AD9" s="18">
        <f t="shared" si="4"/>
        <v>1332627.9455195039</v>
      </c>
    </row>
    <row r="10" spans="1:30" x14ac:dyDescent="0.2">
      <c r="A10">
        <v>4</v>
      </c>
      <c r="C10" s="19">
        <f t="shared" si="0"/>
        <v>1.38E-2</v>
      </c>
      <c r="E10" s="23">
        <f t="shared" si="5"/>
        <v>898.81859726799337</v>
      </c>
      <c r="F10" s="23">
        <f t="shared" si="6"/>
        <v>40.403840661399997</v>
      </c>
      <c r="G10" s="23">
        <f t="shared" si="7"/>
        <v>6.7592487299999995</v>
      </c>
      <c r="H10" s="23">
        <f t="shared" si="13"/>
        <v>54.01831334060639</v>
      </c>
      <c r="I10" s="15">
        <f t="shared" si="8"/>
        <v>999.99999999999966</v>
      </c>
      <c r="K10" s="15">
        <f t="shared" si="14"/>
        <v>939.22243792939332</v>
      </c>
      <c r="L10" s="15">
        <f t="shared" si="9"/>
        <v>884.18054790064366</v>
      </c>
      <c r="M10" s="15">
        <f t="shared" si="15"/>
        <v>818.47809361367467</v>
      </c>
      <c r="N10" s="15">
        <f t="shared" si="16"/>
        <v>770.51226635028115</v>
      </c>
      <c r="O10" s="15"/>
      <c r="P10" s="18">
        <f t="shared" si="17"/>
        <v>1469439.4178861901</v>
      </c>
      <c r="Q10" s="18">
        <f t="shared" si="1"/>
        <v>6060.5760992099995</v>
      </c>
      <c r="R10" s="18">
        <f t="shared" si="18"/>
        <v>1475499.9939854001</v>
      </c>
      <c r="S10" s="18">
        <f t="shared" si="19"/>
        <v>1285813.0017278672</v>
      </c>
      <c r="V10" s="15">
        <f t="shared" si="20"/>
        <v>939.22243792939332</v>
      </c>
      <c r="W10" s="15">
        <f t="shared" si="10"/>
        <v>884.18054790064366</v>
      </c>
      <c r="X10" s="15">
        <f t="shared" si="2"/>
        <v>818.47809361367467</v>
      </c>
      <c r="Y10" s="15">
        <f t="shared" si="3"/>
        <v>770.51226635028115</v>
      </c>
      <c r="Z10" s="48"/>
      <c r="AA10" s="18">
        <f t="shared" si="11"/>
        <v>1469439.4178861901</v>
      </c>
      <c r="AB10" s="48">
        <f t="shared" si="21"/>
        <v>6060.5760992099995</v>
      </c>
      <c r="AC10" s="48">
        <f t="shared" si="12"/>
        <v>1475499.9939854001</v>
      </c>
      <c r="AD10" s="18">
        <f t="shared" si="4"/>
        <v>1285813.0017278672</v>
      </c>
    </row>
    <row r="11" spans="1:30" x14ac:dyDescent="0.2">
      <c r="A11">
        <v>5</v>
      </c>
      <c r="C11" s="19">
        <f t="shared" si="0"/>
        <v>1.38E-2</v>
      </c>
      <c r="E11" s="23">
        <f t="shared" si="5"/>
        <v>863.94443569399516</v>
      </c>
      <c r="F11" s="23">
        <f t="shared" si="6"/>
        <v>56.256156492762514</v>
      </c>
      <c r="G11" s="23">
        <f t="shared" si="7"/>
        <v>12.819824829209999</v>
      </c>
      <c r="H11" s="23">
        <f t="shared" si="13"/>
        <v>66.979582984032021</v>
      </c>
      <c r="I11" s="15">
        <f t="shared" si="8"/>
        <v>999.99999999999977</v>
      </c>
      <c r="K11" s="15">
        <f t="shared" si="14"/>
        <v>920.20059218675772</v>
      </c>
      <c r="L11" s="15">
        <f t="shared" si="9"/>
        <v>862.93933127886726</v>
      </c>
      <c r="M11" s="15">
        <f t="shared" si="15"/>
        <v>774.78420674857375</v>
      </c>
      <c r="N11" s="15">
        <f t="shared" si="16"/>
        <v>726.57176156364494</v>
      </c>
      <c r="O11" s="15"/>
      <c r="P11" s="18">
        <f t="shared" si="17"/>
        <v>1464685.1230192801</v>
      </c>
      <c r="Q11" s="18">
        <f t="shared" si="1"/>
        <v>8438.4234739143758</v>
      </c>
      <c r="R11" s="18">
        <f t="shared" si="18"/>
        <v>1473123.5464931945</v>
      </c>
      <c r="S11" s="18">
        <f t="shared" si="19"/>
        <v>1240330.4976147353</v>
      </c>
      <c r="V11" s="15">
        <f t="shared" si="20"/>
        <v>920.20059218675772</v>
      </c>
      <c r="W11" s="15">
        <f t="shared" si="10"/>
        <v>862.93933127886726</v>
      </c>
      <c r="X11" s="15">
        <f t="shared" si="2"/>
        <v>774.78420674857375</v>
      </c>
      <c r="Y11" s="15">
        <f t="shared" si="3"/>
        <v>726.57176156364494</v>
      </c>
      <c r="Z11" s="48"/>
      <c r="AA11" s="18">
        <f t="shared" si="11"/>
        <v>1464685.1230192801</v>
      </c>
      <c r="AB11" s="48">
        <f t="shared" si="21"/>
        <v>8438.4234739143758</v>
      </c>
      <c r="AC11" s="48">
        <f t="shared" si="12"/>
        <v>1473123.5464931945</v>
      </c>
      <c r="AD11" s="18">
        <f t="shared" si="4"/>
        <v>1240330.4976147353</v>
      </c>
    </row>
    <row r="12" spans="1:30" x14ac:dyDescent="0.2">
      <c r="A12">
        <v>6</v>
      </c>
      <c r="C12" s="19">
        <f t="shared" si="0"/>
        <v>1.38E-2</v>
      </c>
      <c r="E12" s="23">
        <f t="shared" si="5"/>
        <v>826.10366941059817</v>
      </c>
      <c r="F12" s="23">
        <f t="shared" si="6"/>
        <v>72.959731130067865</v>
      </c>
      <c r="G12" s="23">
        <f t="shared" si="7"/>
        <v>21.258248303124375</v>
      </c>
      <c r="H12" s="23">
        <f t="shared" si="13"/>
        <v>79.678351156209274</v>
      </c>
      <c r="I12" s="15">
        <f t="shared" si="8"/>
        <v>999.99999999999966</v>
      </c>
      <c r="K12" s="15">
        <f t="shared" si="14"/>
        <v>899.06340054066607</v>
      </c>
      <c r="L12" s="15">
        <f t="shared" si="9"/>
        <v>839.51828428761905</v>
      </c>
      <c r="M12" s="15">
        <f t="shared" si="15"/>
        <v>731.38865561335103</v>
      </c>
      <c r="N12" s="15">
        <f t="shared" si="16"/>
        <v>682.94866517611729</v>
      </c>
      <c r="O12" s="15"/>
      <c r="P12" s="18">
        <f t="shared" si="17"/>
        <v>1458034.6975061009</v>
      </c>
      <c r="Q12" s="18">
        <f t="shared" si="1"/>
        <v>10943.959669510181</v>
      </c>
      <c r="R12" s="18">
        <f t="shared" si="18"/>
        <v>1468978.657175611</v>
      </c>
      <c r="S12" s="18">
        <f t="shared" si="19"/>
        <v>1195015.0840866971</v>
      </c>
      <c r="V12" s="15">
        <f t="shared" si="20"/>
        <v>899.06340054066607</v>
      </c>
      <c r="W12" s="15">
        <f t="shared" si="10"/>
        <v>839.51828428761905</v>
      </c>
      <c r="X12" s="15">
        <f t="shared" si="2"/>
        <v>731.38865561335103</v>
      </c>
      <c r="Y12" s="15">
        <f t="shared" si="3"/>
        <v>682.94866517611729</v>
      </c>
      <c r="Z12" s="48"/>
      <c r="AA12" s="18">
        <f t="shared" si="11"/>
        <v>1458034.6975061009</v>
      </c>
      <c r="AB12" s="48">
        <f t="shared" si="21"/>
        <v>10943.959669510181</v>
      </c>
      <c r="AC12" s="48">
        <f t="shared" si="12"/>
        <v>1468978.657175611</v>
      </c>
      <c r="AD12" s="18">
        <f t="shared" si="4"/>
        <v>1195015.0840866971</v>
      </c>
    </row>
    <row r="13" spans="1:30" x14ac:dyDescent="0.2">
      <c r="A13">
        <v>7</v>
      </c>
      <c r="C13" s="19">
        <f t="shared" si="0"/>
        <v>1.38E-2</v>
      </c>
      <c r="E13" s="23">
        <f t="shared" si="5"/>
        <v>785.78981034336095</v>
      </c>
      <c r="F13" s="23">
        <f t="shared" si="6"/>
        <v>89.922555600333681</v>
      </c>
      <c r="G13" s="23">
        <f t="shared" si="7"/>
        <v>32.202207972634554</v>
      </c>
      <c r="H13" s="23">
        <f t="shared" si="13"/>
        <v>92.08542608367047</v>
      </c>
      <c r="I13" s="15">
        <f t="shared" si="8"/>
        <v>999.99999999999966</v>
      </c>
      <c r="K13" s="15">
        <f t="shared" si="14"/>
        <v>875.71236594369464</v>
      </c>
      <c r="L13" s="15">
        <f t="shared" si="9"/>
        <v>813.94223652644314</v>
      </c>
      <c r="M13" s="15">
        <f t="shared" si="15"/>
        <v>688.30200379078474</v>
      </c>
      <c r="N13" s="15">
        <f t="shared" si="16"/>
        <v>639.75124042855543</v>
      </c>
      <c r="O13" s="15"/>
      <c r="P13" s="18">
        <f t="shared" si="17"/>
        <v>1448452.3823160427</v>
      </c>
      <c r="Q13" s="18">
        <f t="shared" si="1"/>
        <v>13488.383340050052</v>
      </c>
      <c r="R13" s="18">
        <f t="shared" si="18"/>
        <v>1461940.7656560927</v>
      </c>
      <c r="S13" s="18">
        <f t="shared" si="19"/>
        <v>1149072.2268608704</v>
      </c>
      <c r="V13" s="15">
        <f t="shared" si="20"/>
        <v>875.71236594369464</v>
      </c>
      <c r="W13" s="15">
        <f t="shared" si="10"/>
        <v>813.94223652644314</v>
      </c>
      <c r="X13" s="15">
        <f t="shared" si="2"/>
        <v>688.30200379078474</v>
      </c>
      <c r="Y13" s="15">
        <f t="shared" si="3"/>
        <v>639.75124042855543</v>
      </c>
      <c r="Z13" s="48"/>
      <c r="AA13" s="18">
        <f t="shared" si="11"/>
        <v>1448452.3823160427</v>
      </c>
      <c r="AB13" s="48">
        <f t="shared" si="21"/>
        <v>13488.383340050052</v>
      </c>
      <c r="AC13" s="48">
        <f t="shared" si="12"/>
        <v>1461940.7656560927</v>
      </c>
      <c r="AD13" s="18">
        <f t="shared" si="4"/>
        <v>1149072.2268608704</v>
      </c>
    </row>
    <row r="14" spans="1:30" x14ac:dyDescent="0.2">
      <c r="A14">
        <v>8</v>
      </c>
      <c r="C14" s="19">
        <f t="shared" si="0"/>
        <v>1.38E-2</v>
      </c>
      <c r="E14" s="23">
        <f t="shared" si="5"/>
        <v>743.51431854688803</v>
      </c>
      <c r="F14" s="23">
        <f t="shared" si="6"/>
        <v>106.62483340673346</v>
      </c>
      <c r="G14" s="23">
        <f t="shared" si="7"/>
        <v>45.690591312684603</v>
      </c>
      <c r="H14" s="23">
        <f t="shared" si="13"/>
        <v>104.17025673369346</v>
      </c>
      <c r="I14" s="15">
        <f t="shared" si="8"/>
        <v>999.99999999999966</v>
      </c>
      <c r="K14" s="15">
        <f t="shared" si="14"/>
        <v>850.13915195362154</v>
      </c>
      <c r="L14" s="15">
        <f t="shared" si="9"/>
        <v>786.30722767459372</v>
      </c>
      <c r="M14" s="15">
        <f t="shared" si="15"/>
        <v>645.6054963854632</v>
      </c>
      <c r="N14" s="15">
        <f t="shared" si="16"/>
        <v>597.13079543244885</v>
      </c>
      <c r="O14" s="15"/>
      <c r="P14" s="18">
        <f t="shared" si="17"/>
        <v>1435145.9780405327</v>
      </c>
      <c r="Q14" s="18">
        <f t="shared" si="1"/>
        <v>15993.725011010018</v>
      </c>
      <c r="R14" s="18">
        <f t="shared" si="18"/>
        <v>1451139.7030515426</v>
      </c>
      <c r="S14" s="18">
        <f t="shared" si="19"/>
        <v>1102012.2601815597</v>
      </c>
      <c r="V14" s="15">
        <f t="shared" si="20"/>
        <v>850.13915195362154</v>
      </c>
      <c r="W14" s="15">
        <f t="shared" si="10"/>
        <v>786.30722767459372</v>
      </c>
      <c r="X14" s="15">
        <f t="shared" si="2"/>
        <v>645.6054963854632</v>
      </c>
      <c r="Y14" s="15">
        <f t="shared" si="3"/>
        <v>597.13079543244885</v>
      </c>
      <c r="Z14" s="48"/>
      <c r="AA14" s="18">
        <f t="shared" si="11"/>
        <v>1435145.9780405327</v>
      </c>
      <c r="AB14" s="48">
        <f t="shared" si="21"/>
        <v>15993.725011010018</v>
      </c>
      <c r="AC14" s="48">
        <f t="shared" si="12"/>
        <v>1451139.7030515426</v>
      </c>
      <c r="AD14" s="18">
        <f t="shared" si="4"/>
        <v>1102012.2601815597</v>
      </c>
    </row>
    <row r="15" spans="1:30" x14ac:dyDescent="0.2">
      <c r="A15">
        <v>9</v>
      </c>
      <c r="C15" s="19">
        <f t="shared" si="0"/>
        <v>1.38E-2</v>
      </c>
      <c r="E15" s="23">
        <f t="shared" si="5"/>
        <v>699.79567661633098</v>
      </c>
      <c r="F15" s="23">
        <f t="shared" si="6"/>
        <v>122.61783002932049</v>
      </c>
      <c r="G15" s="23">
        <f t="shared" si="7"/>
        <v>61.684316323694617</v>
      </c>
      <c r="H15" s="23">
        <f t="shared" si="13"/>
        <v>115.90217703065345</v>
      </c>
      <c r="I15" s="15">
        <f t="shared" si="8"/>
        <v>999.99999999999955</v>
      </c>
      <c r="K15" s="15">
        <f t="shared" si="14"/>
        <v>822.41350664565152</v>
      </c>
      <c r="L15" s="15">
        <f t="shared" si="9"/>
        <v>756.76926530750472</v>
      </c>
      <c r="M15" s="15">
        <f t="shared" si="15"/>
        <v>603.43026177298361</v>
      </c>
      <c r="N15" s="15">
        <f t="shared" si="16"/>
        <v>555.26504875729552</v>
      </c>
      <c r="O15" s="15"/>
      <c r="P15" s="18">
        <f t="shared" si="17"/>
        <v>1417547.005012458</v>
      </c>
      <c r="Q15" s="18">
        <f t="shared" si="1"/>
        <v>18392.674504398074</v>
      </c>
      <c r="R15" s="18">
        <f t="shared" si="18"/>
        <v>1435939.6795168561</v>
      </c>
      <c r="S15" s="18">
        <f t="shared" si="19"/>
        <v>1053593.4170575459</v>
      </c>
      <c r="V15" s="15">
        <f t="shared" si="20"/>
        <v>822.41350664565152</v>
      </c>
      <c r="W15" s="15">
        <f t="shared" si="10"/>
        <v>756.76926530750472</v>
      </c>
      <c r="X15" s="15">
        <f t="shared" si="2"/>
        <v>603.43026177298361</v>
      </c>
      <c r="Y15" s="15">
        <f t="shared" si="3"/>
        <v>555.26504875729552</v>
      </c>
      <c r="Z15" s="48"/>
      <c r="AA15" s="18">
        <f t="shared" si="11"/>
        <v>1417547.005012458</v>
      </c>
      <c r="AB15" s="48">
        <f t="shared" si="21"/>
        <v>18392.674504398074</v>
      </c>
      <c r="AC15" s="48">
        <f t="shared" si="12"/>
        <v>1435939.6795168561</v>
      </c>
      <c r="AD15" s="18">
        <f t="shared" si="4"/>
        <v>1053593.4170575459</v>
      </c>
    </row>
    <row r="16" spans="1:30" x14ac:dyDescent="0.2">
      <c r="A16">
        <v>10</v>
      </c>
      <c r="C16" s="19">
        <f t="shared" si="0"/>
        <v>3.7900000000000003E-2</v>
      </c>
      <c r="E16" s="23">
        <f t="shared" si="5"/>
        <v>655.14871244820904</v>
      </c>
      <c r="F16" s="23">
        <f t="shared" si="6"/>
        <v>137.52281330133434</v>
      </c>
      <c r="G16" s="23">
        <f t="shared" si="7"/>
        <v>80.07699082809269</v>
      </c>
      <c r="H16" s="23">
        <f t="shared" si="13"/>
        <v>127.25148342236344</v>
      </c>
      <c r="I16" s="15">
        <f t="shared" si="8"/>
        <v>999.99999999999955</v>
      </c>
      <c r="K16" s="15">
        <f t="shared" si="14"/>
        <v>792.67152574954343</v>
      </c>
      <c r="L16" s="15">
        <f t="shared" si="9"/>
        <v>725.53338680179922</v>
      </c>
      <c r="M16" s="15">
        <f t="shared" si="15"/>
        <v>561.93975769588144</v>
      </c>
      <c r="N16" s="15">
        <f t="shared" si="16"/>
        <v>514.3442678783648</v>
      </c>
      <c r="O16" s="15"/>
      <c r="P16" s="18">
        <f t="shared" si="17"/>
        <v>1395291.5085763165</v>
      </c>
      <c r="Q16" s="18">
        <f t="shared" si="1"/>
        <v>20628.421995200148</v>
      </c>
      <c r="R16" s="18">
        <f t="shared" si="18"/>
        <v>1415919.9305715167</v>
      </c>
      <c r="S16" s="18">
        <f t="shared" si="19"/>
        <v>1003772.2774887827</v>
      </c>
      <c r="V16" s="15">
        <f t="shared" si="20"/>
        <v>792.67152574954343</v>
      </c>
      <c r="W16" s="15">
        <f t="shared" si="10"/>
        <v>725.53338680179922</v>
      </c>
      <c r="X16" s="15">
        <f t="shared" si="2"/>
        <v>561.93975769588144</v>
      </c>
      <c r="Y16" s="15">
        <f t="shared" si="3"/>
        <v>514.3442678783648</v>
      </c>
      <c r="Z16" s="48"/>
      <c r="AA16" s="18">
        <f t="shared" si="11"/>
        <v>1395291.5085763165</v>
      </c>
      <c r="AB16" s="48">
        <f t="shared" si="21"/>
        <v>20628.421995200148</v>
      </c>
      <c r="AC16" s="48">
        <f t="shared" si="12"/>
        <v>1415919.9305715167</v>
      </c>
      <c r="AD16" s="18">
        <f t="shared" si="4"/>
        <v>1003772.2774887827</v>
      </c>
    </row>
    <row r="17" spans="1:30" x14ac:dyDescent="0.2">
      <c r="A17">
        <v>11</v>
      </c>
      <c r="C17" s="19">
        <f t="shared" si="0"/>
        <v>3.7900000000000003E-2</v>
      </c>
      <c r="E17" s="23">
        <f t="shared" si="5"/>
        <v>594.28539706177037</v>
      </c>
      <c r="F17" s="23">
        <f t="shared" si="6"/>
        <v>147.71545586666511</v>
      </c>
      <c r="G17" s="23">
        <f t="shared" si="7"/>
        <v>100.70541282329285</v>
      </c>
      <c r="H17" s="23">
        <f t="shared" si="13"/>
        <v>157.29373424827114</v>
      </c>
      <c r="I17" s="15">
        <f t="shared" si="8"/>
        <v>999.99999999999943</v>
      </c>
      <c r="K17" s="15">
        <f t="shared" si="14"/>
        <v>742.00085292843551</v>
      </c>
      <c r="L17" s="15">
        <f t="shared" si="9"/>
        <v>675.35771910868061</v>
      </c>
      <c r="M17" s="15">
        <f t="shared" si="15"/>
        <v>508.2303037967784</v>
      </c>
      <c r="N17" s="15">
        <f t="shared" si="16"/>
        <v>462.58337493745256</v>
      </c>
      <c r="O17" s="15"/>
      <c r="P17" s="18">
        <f t="shared" si="17"/>
        <v>1334574.463192651</v>
      </c>
      <c r="Q17" s="18">
        <f t="shared" si="1"/>
        <v>22157.318379999764</v>
      </c>
      <c r="R17" s="18">
        <f t="shared" si="18"/>
        <v>1356731.7815726509</v>
      </c>
      <c r="S17" s="18">
        <f t="shared" si="19"/>
        <v>929287.6184684342</v>
      </c>
      <c r="V17" s="15">
        <f t="shared" si="20"/>
        <v>742.00085292843551</v>
      </c>
      <c r="W17" s="15">
        <f t="shared" si="10"/>
        <v>675.35771910868061</v>
      </c>
      <c r="X17" s="15">
        <f t="shared" si="2"/>
        <v>508.2303037967784</v>
      </c>
      <c r="Y17" s="15">
        <f t="shared" si="3"/>
        <v>462.58337493745256</v>
      </c>
      <c r="Z17" s="48"/>
      <c r="AA17" s="18">
        <f t="shared" si="11"/>
        <v>1334574.463192651</v>
      </c>
      <c r="AB17" s="48">
        <f t="shared" si="21"/>
        <v>22157.318379999764</v>
      </c>
      <c r="AC17" s="48">
        <f t="shared" si="12"/>
        <v>1356731.7815726509</v>
      </c>
      <c r="AD17" s="18">
        <f t="shared" si="4"/>
        <v>929287.6184684342</v>
      </c>
    </row>
    <row r="18" spans="1:30" x14ac:dyDescent="0.2">
      <c r="A18">
        <v>12</v>
      </c>
      <c r="C18" s="19">
        <f t="shared" si="0"/>
        <v>3.7900000000000003E-2</v>
      </c>
      <c r="E18" s="23">
        <f t="shared" si="5"/>
        <v>536.10485668942295</v>
      </c>
      <c r="F18" s="23">
        <f t="shared" si="6"/>
        <v>155.61684553302496</v>
      </c>
      <c r="G18" s="23">
        <f t="shared" si="7"/>
        <v>122.86273120329261</v>
      </c>
      <c r="H18" s="23">
        <f t="shared" si="13"/>
        <v>185.41556657425886</v>
      </c>
      <c r="I18" s="15">
        <f t="shared" si="8"/>
        <v>999.99999999999932</v>
      </c>
      <c r="K18" s="15">
        <f t="shared" si="14"/>
        <v>691.7217022224479</v>
      </c>
      <c r="L18" s="15">
        <f t="shared" si="9"/>
        <v>626.0122480047205</v>
      </c>
      <c r="M18" s="15">
        <f t="shared" si="15"/>
        <v>457.76986959494229</v>
      </c>
      <c r="N18" s="15">
        <f t="shared" si="16"/>
        <v>414.28445025395615</v>
      </c>
      <c r="O18" s="15"/>
      <c r="P18" s="18">
        <f t="shared" si="17"/>
        <v>1271007.8216332092</v>
      </c>
      <c r="Q18" s="18">
        <f t="shared" si="1"/>
        <v>23342.526829953746</v>
      </c>
      <c r="R18" s="18">
        <f t="shared" si="18"/>
        <v>1294350.348463163</v>
      </c>
      <c r="S18" s="18">
        <f t="shared" si="19"/>
        <v>856579.44274763542</v>
      </c>
      <c r="V18" s="15">
        <f t="shared" si="20"/>
        <v>691.7217022224479</v>
      </c>
      <c r="W18" s="15">
        <f t="shared" si="10"/>
        <v>626.0122480047205</v>
      </c>
      <c r="X18" s="15">
        <f t="shared" si="2"/>
        <v>457.76986959494229</v>
      </c>
      <c r="Y18" s="15">
        <f t="shared" si="3"/>
        <v>414.28445025395615</v>
      </c>
      <c r="Z18" s="48"/>
      <c r="AA18" s="18">
        <f t="shared" si="11"/>
        <v>1271007.8216332092</v>
      </c>
      <c r="AB18" s="48">
        <f t="shared" si="21"/>
        <v>23342.526829953746</v>
      </c>
      <c r="AC18" s="48">
        <f t="shared" si="12"/>
        <v>1294350.348463163</v>
      </c>
      <c r="AD18" s="18">
        <f t="shared" si="4"/>
        <v>856579.44274763542</v>
      </c>
    </row>
    <row r="19" spans="1:30" x14ac:dyDescent="0.2">
      <c r="A19">
        <v>13</v>
      </c>
      <c r="C19" s="19">
        <f t="shared" si="0"/>
        <v>3.7900000000000003E-2</v>
      </c>
      <c r="E19" s="23">
        <f t="shared" si="5"/>
        <v>480.93966693608132</v>
      </c>
      <c r="F19" s="23">
        <f t="shared" si="6"/>
        <v>161.22325594218205</v>
      </c>
      <c r="G19" s="23">
        <f t="shared" si="7"/>
        <v>146.20525803324637</v>
      </c>
      <c r="H19" s="23">
        <f t="shared" si="13"/>
        <v>211.63181908848964</v>
      </c>
      <c r="I19" s="15">
        <f t="shared" si="8"/>
        <v>999.99999999999932</v>
      </c>
      <c r="K19" s="15">
        <f t="shared" si="14"/>
        <v>642.16292287826332</v>
      </c>
      <c r="L19" s="15">
        <f t="shared" si="9"/>
        <v>577.81012554591371</v>
      </c>
      <c r="M19" s="15">
        <f t="shared" si="15"/>
        <v>410.60163975011091</v>
      </c>
      <c r="N19" s="15">
        <f t="shared" si="16"/>
        <v>369.45419388273484</v>
      </c>
      <c r="O19" s="15"/>
      <c r="P19" s="18">
        <f t="shared" si="17"/>
        <v>1205079.268230668</v>
      </c>
      <c r="Q19" s="18">
        <f t="shared" si="1"/>
        <v>24183.488391327304</v>
      </c>
      <c r="R19" s="18">
        <f t="shared" si="18"/>
        <v>1229262.7566219952</v>
      </c>
      <c r="S19" s="18">
        <f t="shared" si="19"/>
        <v>785995.71163409762</v>
      </c>
      <c r="V19" s="15">
        <f t="shared" si="20"/>
        <v>642.16292287826332</v>
      </c>
      <c r="W19" s="15">
        <f t="shared" si="10"/>
        <v>577.81012554591371</v>
      </c>
      <c r="X19" s="15">
        <f t="shared" si="2"/>
        <v>410.60163975011091</v>
      </c>
      <c r="Y19" s="15">
        <f t="shared" si="3"/>
        <v>369.45419388273484</v>
      </c>
      <c r="Z19" s="48"/>
      <c r="AA19" s="18">
        <f t="shared" si="11"/>
        <v>1205079.268230668</v>
      </c>
      <c r="AB19" s="48">
        <f t="shared" si="21"/>
        <v>24183.488391327304</v>
      </c>
      <c r="AC19" s="48">
        <f t="shared" si="12"/>
        <v>1229262.7566219952</v>
      </c>
      <c r="AD19" s="18">
        <f t="shared" si="4"/>
        <v>785995.71163409762</v>
      </c>
    </row>
    <row r="20" spans="1:30" x14ac:dyDescent="0.2">
      <c r="A20">
        <v>14</v>
      </c>
      <c r="C20" s="19">
        <f t="shared" si="0"/>
        <v>3.7900000000000003E-2</v>
      </c>
      <c r="E20" s="23">
        <f t="shared" si="5"/>
        <v>429.0462768736781</v>
      </c>
      <c r="F20" s="23">
        <f t="shared" si="6"/>
        <v>164.59518283617172</v>
      </c>
      <c r="G20" s="23">
        <f t="shared" si="7"/>
        <v>170.38874642457367</v>
      </c>
      <c r="H20" s="23">
        <f t="shared" si="13"/>
        <v>235.96979386557581</v>
      </c>
      <c r="I20" s="15">
        <f t="shared" si="8"/>
        <v>999.99999999999932</v>
      </c>
      <c r="K20" s="15">
        <f t="shared" si="14"/>
        <v>593.64145970984987</v>
      </c>
      <c r="L20" s="15">
        <f t="shared" si="9"/>
        <v>531.04035015712293</v>
      </c>
      <c r="M20" s="15">
        <f t="shared" si="15"/>
        <v>366.74088376200848</v>
      </c>
      <c r="N20" s="15">
        <f t="shared" si="16"/>
        <v>328.06705822921873</v>
      </c>
      <c r="O20" s="15"/>
      <c r="P20" s="18">
        <f t="shared" si="17"/>
        <v>1137354.9638190323</v>
      </c>
      <c r="Q20" s="18">
        <f t="shared" si="1"/>
        <v>24689.277425425757</v>
      </c>
      <c r="R20" s="18">
        <f t="shared" si="18"/>
        <v>1162044.2412444581</v>
      </c>
      <c r="S20" s="18">
        <f t="shared" si="19"/>
        <v>717889.77173669951</v>
      </c>
      <c r="V20" s="15">
        <f t="shared" si="20"/>
        <v>593.64145970984987</v>
      </c>
      <c r="W20" s="15">
        <f t="shared" si="10"/>
        <v>531.04035015712293</v>
      </c>
      <c r="X20" s="15">
        <f t="shared" si="2"/>
        <v>366.74088376200848</v>
      </c>
      <c r="Y20" s="15">
        <f t="shared" si="3"/>
        <v>328.06705822921873</v>
      </c>
      <c r="Z20" s="48"/>
      <c r="AA20" s="18">
        <f t="shared" si="11"/>
        <v>1137354.9638190323</v>
      </c>
      <c r="AB20" s="48">
        <f t="shared" si="21"/>
        <v>24689.277425425757</v>
      </c>
      <c r="AC20" s="48">
        <f t="shared" si="12"/>
        <v>1162044.2412444581</v>
      </c>
      <c r="AD20" s="18">
        <f t="shared" si="4"/>
        <v>717889.77173669951</v>
      </c>
    </row>
    <row r="21" spans="1:30" x14ac:dyDescent="0.2">
      <c r="A21">
        <v>15</v>
      </c>
      <c r="C21" s="19">
        <f t="shared" si="0"/>
        <v>3.7900000000000003E-2</v>
      </c>
      <c r="E21" s="23">
        <f t="shared" si="5"/>
        <v>380.60695221463982</v>
      </c>
      <c r="F21" s="23">
        <f t="shared" si="6"/>
        <v>165.84621874678089</v>
      </c>
      <c r="G21" s="23">
        <f t="shared" si="7"/>
        <v>195.07802384999943</v>
      </c>
      <c r="H21" s="23">
        <f t="shared" si="13"/>
        <v>258.4688051885791</v>
      </c>
      <c r="I21" s="15">
        <f t="shared" si="8"/>
        <v>999.99999999999932</v>
      </c>
      <c r="K21" s="15">
        <f t="shared" si="14"/>
        <v>546.45317096142071</v>
      </c>
      <c r="L21" s="15">
        <f t="shared" si="9"/>
        <v>485.96126866399345</v>
      </c>
      <c r="M21" s="15">
        <f t="shared" si="15"/>
        <v>326.1727712646487</v>
      </c>
      <c r="N21" s="15">
        <f t="shared" si="16"/>
        <v>290.06572228054608</v>
      </c>
      <c r="O21" s="15"/>
      <c r="P21" s="18">
        <f t="shared" si="17"/>
        <v>1068449.0845623023</v>
      </c>
      <c r="Q21" s="18">
        <f t="shared" si="1"/>
        <v>24876.932812017134</v>
      </c>
      <c r="R21" s="18">
        <f t="shared" si="18"/>
        <v>1093326.0173743195</v>
      </c>
      <c r="S21" s="18">
        <f t="shared" si="19"/>
        <v>652596.0428691518</v>
      </c>
      <c r="V21" s="15">
        <f t="shared" si="20"/>
        <v>546.45317096142071</v>
      </c>
      <c r="W21" s="15">
        <f t="shared" si="10"/>
        <v>485.96126866399345</v>
      </c>
      <c r="X21" s="15">
        <f t="shared" si="2"/>
        <v>326.1727712646487</v>
      </c>
      <c r="Y21" s="15">
        <f t="shared" si="3"/>
        <v>290.06572228054608</v>
      </c>
      <c r="Z21" s="48"/>
      <c r="AA21" s="18">
        <f t="shared" si="11"/>
        <v>1068449.0845623023</v>
      </c>
      <c r="AB21" s="48">
        <f t="shared" si="21"/>
        <v>24876.932812017134</v>
      </c>
      <c r="AC21" s="48">
        <f t="shared" si="12"/>
        <v>1093326.0173743195</v>
      </c>
      <c r="AD21" s="18">
        <f t="shared" si="4"/>
        <v>652596.0428691518</v>
      </c>
    </row>
    <row r="22" spans="1:30" x14ac:dyDescent="0.2">
      <c r="A22">
        <v>16</v>
      </c>
      <c r="C22" s="19">
        <f t="shared" si="0"/>
        <v>3.7900000000000003E-2</v>
      </c>
      <c r="E22" s="23">
        <f t="shared" si="5"/>
        <v>335.7333925485338</v>
      </c>
      <c r="F22" s="23">
        <f t="shared" si="6"/>
        <v>165.13227042143194</v>
      </c>
      <c r="G22" s="23">
        <f t="shared" si="7"/>
        <v>219.95495666201657</v>
      </c>
      <c r="H22" s="23">
        <f t="shared" si="13"/>
        <v>279.17938036801695</v>
      </c>
      <c r="I22" s="15">
        <f t="shared" si="8"/>
        <v>999.9999999999992</v>
      </c>
      <c r="K22" s="15">
        <f t="shared" si="14"/>
        <v>500.86566296996574</v>
      </c>
      <c r="L22" s="15">
        <f t="shared" si="9"/>
        <v>442.79592573718105</v>
      </c>
      <c r="M22" s="15">
        <f t="shared" si="15"/>
        <v>288.85218880972559</v>
      </c>
      <c r="N22" s="15">
        <f t="shared" si="16"/>
        <v>255.36302805585433</v>
      </c>
      <c r="O22" s="15"/>
      <c r="P22" s="18">
        <f t="shared" si="17"/>
        <v>998996.9000870965</v>
      </c>
      <c r="Q22" s="18">
        <f t="shared" si="1"/>
        <v>24769.840563214788</v>
      </c>
      <c r="R22" s="18">
        <f t="shared" si="18"/>
        <v>1023766.7406503112</v>
      </c>
      <c r="S22" s="18">
        <f t="shared" si="19"/>
        <v>590412.33155001409</v>
      </c>
      <c r="V22" s="15">
        <f t="shared" si="20"/>
        <v>500.86566296996574</v>
      </c>
      <c r="W22" s="15">
        <f t="shared" si="10"/>
        <v>442.79592573718105</v>
      </c>
      <c r="X22" s="15">
        <f t="shared" si="2"/>
        <v>288.85218880972559</v>
      </c>
      <c r="Y22" s="15">
        <f t="shared" si="3"/>
        <v>255.36302805585433</v>
      </c>
      <c r="Z22" s="48"/>
      <c r="AA22" s="18">
        <f t="shared" si="11"/>
        <v>998996.9000870965</v>
      </c>
      <c r="AB22" s="48">
        <f t="shared" si="21"/>
        <v>24769.840563214788</v>
      </c>
      <c r="AC22" s="48">
        <f t="shared" si="12"/>
        <v>1023766.7406503112</v>
      </c>
      <c r="AD22" s="18">
        <f t="shared" si="4"/>
        <v>590412.33155001409</v>
      </c>
    </row>
    <row r="23" spans="1:30" x14ac:dyDescent="0.2">
      <c r="A23">
        <v>17</v>
      </c>
      <c r="C23" s="19">
        <f t="shared" si="0"/>
        <v>3.7900000000000003E-2</v>
      </c>
      <c r="E23" s="23">
        <f t="shared" si="5"/>
        <v>294.47175860431901</v>
      </c>
      <c r="F23" s="23">
        <f t="shared" si="6"/>
        <v>162.64125517587024</v>
      </c>
      <c r="G23" s="23">
        <f t="shared" si="7"/>
        <v>244.72479722523136</v>
      </c>
      <c r="H23" s="23">
        <f t="shared" si="13"/>
        <v>298.16218899457863</v>
      </c>
      <c r="I23" s="15">
        <f t="shared" si="8"/>
        <v>999.9999999999992</v>
      </c>
      <c r="K23" s="15">
        <f t="shared" si="14"/>
        <v>457.11301378018925</v>
      </c>
      <c r="L23" s="15">
        <f t="shared" si="9"/>
        <v>401.72911205600576</v>
      </c>
      <c r="M23" s="15">
        <f t="shared" si="15"/>
        <v>254.70509890705148</v>
      </c>
      <c r="N23" s="15">
        <f t="shared" si="16"/>
        <v>223.84497954650323</v>
      </c>
      <c r="O23" s="15"/>
      <c r="P23" s="18">
        <f t="shared" si="17"/>
        <v>929631.40343408915</v>
      </c>
      <c r="Q23" s="18">
        <f t="shared" si="1"/>
        <v>24396.188276380533</v>
      </c>
      <c r="R23" s="18">
        <f t="shared" si="18"/>
        <v>954027.59171046969</v>
      </c>
      <c r="S23" s="18">
        <f t="shared" si="19"/>
        <v>531587.77978594147</v>
      </c>
      <c r="V23" s="15">
        <f t="shared" si="20"/>
        <v>457.11301378018925</v>
      </c>
      <c r="W23" s="15">
        <f t="shared" si="10"/>
        <v>401.72911205600576</v>
      </c>
      <c r="X23" s="15">
        <f t="shared" si="2"/>
        <v>254.70509890705148</v>
      </c>
      <c r="Y23" s="15">
        <f t="shared" si="3"/>
        <v>223.84497954650323</v>
      </c>
      <c r="Z23" s="48"/>
      <c r="AA23" s="18">
        <f t="shared" si="11"/>
        <v>929631.40343408915</v>
      </c>
      <c r="AB23" s="48">
        <f t="shared" si="21"/>
        <v>24396.188276380533</v>
      </c>
      <c r="AC23" s="48">
        <f t="shared" si="12"/>
        <v>954027.59171046969</v>
      </c>
      <c r="AD23" s="18">
        <f t="shared" si="4"/>
        <v>531587.77978594147</v>
      </c>
    </row>
    <row r="24" spans="1:30" x14ac:dyDescent="0.2">
      <c r="A24">
        <v>18</v>
      </c>
      <c r="C24" s="19">
        <f t="shared" si="0"/>
        <v>3.7900000000000003E-2</v>
      </c>
      <c r="E24" s="23">
        <f t="shared" si="5"/>
        <v>256.80882067882658</v>
      </c>
      <c r="F24" s="23">
        <f t="shared" si="6"/>
        <v>158.58342160271292</v>
      </c>
      <c r="G24" s="23">
        <f t="shared" si="7"/>
        <v>269.12098550161187</v>
      </c>
      <c r="H24" s="23">
        <f t="shared" si="13"/>
        <v>315.48677221684778</v>
      </c>
      <c r="I24" s="15">
        <f t="shared" si="8"/>
        <v>999.99999999999909</v>
      </c>
      <c r="K24" s="15">
        <f t="shared" si="14"/>
        <v>415.3922422815395</v>
      </c>
      <c r="L24" s="15">
        <f t="shared" si="9"/>
        <v>362.90594584691991</v>
      </c>
      <c r="M24" s="15">
        <f t="shared" si="15"/>
        <v>223.63104091505068</v>
      </c>
      <c r="N24" s="15">
        <f t="shared" si="16"/>
        <v>195.37445855573318</v>
      </c>
      <c r="O24" s="15"/>
      <c r="P24" s="18">
        <f t="shared" si="17"/>
        <v>860963.4958263787</v>
      </c>
      <c r="Q24" s="18">
        <f t="shared" si="1"/>
        <v>23787.513240406937</v>
      </c>
      <c r="R24" s="18">
        <f t="shared" si="18"/>
        <v>884751.00906678569</v>
      </c>
      <c r="S24" s="18">
        <f t="shared" si="19"/>
        <v>476315.56145948695</v>
      </c>
      <c r="V24" s="15">
        <f t="shared" si="20"/>
        <v>415.3922422815395</v>
      </c>
      <c r="W24" s="15">
        <f t="shared" si="10"/>
        <v>362.90594584691991</v>
      </c>
      <c r="X24" s="15">
        <f t="shared" si="2"/>
        <v>223.63104091505068</v>
      </c>
      <c r="Y24" s="15">
        <f t="shared" si="3"/>
        <v>195.37445855573318</v>
      </c>
      <c r="Z24" s="48"/>
      <c r="AA24" s="18">
        <f t="shared" si="11"/>
        <v>860963.4958263787</v>
      </c>
      <c r="AB24" s="48">
        <f t="shared" si="21"/>
        <v>23787.513240406937</v>
      </c>
      <c r="AC24" s="48">
        <f t="shared" si="12"/>
        <v>884751.00906678569</v>
      </c>
      <c r="AD24" s="18">
        <f t="shared" si="4"/>
        <v>476315.56145948695</v>
      </c>
    </row>
    <row r="25" spans="1:30" x14ac:dyDescent="0.2">
      <c r="A25">
        <v>19</v>
      </c>
      <c r="C25" s="19">
        <f t="shared" si="0"/>
        <v>3.7900000000000003E-2</v>
      </c>
      <c r="E25" s="23">
        <f t="shared" si="5"/>
        <v>222.67892841061052</v>
      </c>
      <c r="F25" s="23">
        <f t="shared" si="6"/>
        <v>153.18243464805167</v>
      </c>
      <c r="G25" s="23">
        <f t="shared" si="7"/>
        <v>292.90849874201882</v>
      </c>
      <c r="H25" s="23">
        <f>H24+E24*$C24+F24*$C24</f>
        <v>331.23013819931816</v>
      </c>
      <c r="I25" s="15">
        <f t="shared" si="8"/>
        <v>999.99999999999909</v>
      </c>
      <c r="K25" s="15">
        <f t="shared" si="14"/>
        <v>375.86136305866216</v>
      </c>
      <c r="L25" s="15">
        <f t="shared" si="9"/>
        <v>326.43180797611876</v>
      </c>
      <c r="M25" s="15">
        <f t="shared" si="15"/>
        <v>195.50642679149425</v>
      </c>
      <c r="N25" s="15">
        <f t="shared" si="16"/>
        <v>169.79536244202254</v>
      </c>
      <c r="O25" s="15"/>
      <c r="P25" s="18">
        <f t="shared" si="17"/>
        <v>793565.69656007085</v>
      </c>
      <c r="Q25" s="18">
        <f t="shared" si="1"/>
        <v>22977.36519720775</v>
      </c>
      <c r="R25" s="18">
        <f t="shared" si="18"/>
        <v>816543.06175727863</v>
      </c>
      <c r="S25" s="18">
        <f t="shared" si="19"/>
        <v>424729.52001889166</v>
      </c>
      <c r="V25" s="15">
        <f t="shared" si="20"/>
        <v>375.86136305866216</v>
      </c>
      <c r="W25" s="15">
        <f t="shared" si="10"/>
        <v>326.43180797611876</v>
      </c>
      <c r="X25" s="15">
        <f t="shared" si="2"/>
        <v>195.50642679149425</v>
      </c>
      <c r="Y25" s="15">
        <f t="shared" si="3"/>
        <v>169.79536244202254</v>
      </c>
      <c r="Z25" s="48"/>
      <c r="AA25" s="18">
        <f t="shared" si="11"/>
        <v>793565.69656007085</v>
      </c>
      <c r="AB25" s="48">
        <f t="shared" si="21"/>
        <v>22977.36519720775</v>
      </c>
      <c r="AC25" s="48">
        <f t="shared" si="12"/>
        <v>816543.06175727863</v>
      </c>
      <c r="AD25" s="18">
        <f t="shared" si="4"/>
        <v>424729.52001889166</v>
      </c>
    </row>
    <row r="26" spans="1:30" x14ac:dyDescent="0.2">
      <c r="A26">
        <v>20</v>
      </c>
      <c r="C26" s="19">
        <f t="shared" si="0"/>
        <v>9.1200000000000003E-2</v>
      </c>
      <c r="E26" s="23">
        <f t="shared" si="5"/>
        <v>191.97150418278733</v>
      </c>
      <c r="F26" s="23">
        <f t="shared" si="6"/>
        <v>146.66734801874381</v>
      </c>
      <c r="G26" s="23">
        <f t="shared" si="7"/>
        <v>315.88586393922657</v>
      </c>
      <c r="H26" s="23">
        <f t="shared" ref="H26:H36" si="22">H25+E25*$C25+F25*$C25</f>
        <v>345.47528385924147</v>
      </c>
      <c r="I26" s="15">
        <f t="shared" si="8"/>
        <v>999.99999999999909</v>
      </c>
      <c r="K26" s="15">
        <f t="shared" si="14"/>
        <v>338.63885220153111</v>
      </c>
      <c r="L26" s="15">
        <f t="shared" si="9"/>
        <v>292.37343998770581</v>
      </c>
      <c r="M26" s="15">
        <f t="shared" si="15"/>
        <v>170.18833425958829</v>
      </c>
      <c r="N26" s="15">
        <f t="shared" si="16"/>
        <v>146.93691645175136</v>
      </c>
      <c r="O26" s="15"/>
      <c r="P26" s="18">
        <f t="shared" si="17"/>
        <v>727959.30033041246</v>
      </c>
      <c r="Q26" s="18">
        <f t="shared" si="1"/>
        <v>22000.102202811573</v>
      </c>
      <c r="R26" s="18">
        <f t="shared" si="18"/>
        <v>749959.40253322409</v>
      </c>
      <c r="S26" s="18">
        <f t="shared" si="19"/>
        <v>376904.01042195706</v>
      </c>
      <c r="V26" s="15">
        <f t="shared" si="20"/>
        <v>338.63885220153111</v>
      </c>
      <c r="W26" s="15">
        <f t="shared" si="10"/>
        <v>292.37343998770581</v>
      </c>
      <c r="X26" s="15">
        <f t="shared" si="2"/>
        <v>170.18833425958829</v>
      </c>
      <c r="Y26" s="15">
        <f t="shared" si="3"/>
        <v>146.93691645175136</v>
      </c>
      <c r="Z26" s="48"/>
      <c r="AA26" s="18">
        <f t="shared" si="11"/>
        <v>727959.30033041246</v>
      </c>
      <c r="AB26" s="48">
        <f t="shared" si="21"/>
        <v>22000.102202811573</v>
      </c>
      <c r="AC26" s="48">
        <f t="shared" si="12"/>
        <v>749959.40253322409</v>
      </c>
      <c r="AD26" s="18">
        <f t="shared" si="4"/>
        <v>376904.01042195706</v>
      </c>
    </row>
    <row r="27" spans="1:30" x14ac:dyDescent="0.2">
      <c r="A27">
        <v>21</v>
      </c>
      <c r="C27" s="19">
        <f t="shared" si="0"/>
        <v>9.1200000000000003E-2</v>
      </c>
      <c r="E27" s="23">
        <f t="shared" si="5"/>
        <v>154.30669506212448</v>
      </c>
      <c r="F27" s="23">
        <f t="shared" si="6"/>
        <v>131.44819161581546</v>
      </c>
      <c r="G27" s="23">
        <f t="shared" si="7"/>
        <v>337.88596614203811</v>
      </c>
      <c r="H27" s="23">
        <f t="shared" si="22"/>
        <v>376.35914718002113</v>
      </c>
      <c r="I27" s="15">
        <f t="shared" si="8"/>
        <v>999.99999999999909</v>
      </c>
      <c r="K27" s="15">
        <f t="shared" si="14"/>
        <v>285.75488667793991</v>
      </c>
      <c r="L27" s="15">
        <f t="shared" si="9"/>
        <v>245.17750402087984</v>
      </c>
      <c r="M27" s="15">
        <f t="shared" si="15"/>
        <v>138.75425831301519</v>
      </c>
      <c r="N27" s="15">
        <f t="shared" si="16"/>
        <v>119.05106198164539</v>
      </c>
      <c r="O27" s="15"/>
      <c r="P27" s="18">
        <f t="shared" si="17"/>
        <v>625804.61744063313</v>
      </c>
      <c r="Q27" s="18">
        <f t="shared" si="1"/>
        <v>19717.228742372317</v>
      </c>
      <c r="R27" s="18">
        <f t="shared" si="18"/>
        <v>645521.84618300549</v>
      </c>
      <c r="S27" s="18">
        <f t="shared" si="19"/>
        <v>313446.62564920489</v>
      </c>
      <c r="V27" s="15">
        <f t="shared" si="20"/>
        <v>285.75488667793991</v>
      </c>
      <c r="W27" s="15">
        <f t="shared" si="10"/>
        <v>245.17750402087984</v>
      </c>
      <c r="X27" s="15">
        <f t="shared" si="2"/>
        <v>138.75425831301519</v>
      </c>
      <c r="Y27" s="15">
        <f t="shared" si="3"/>
        <v>119.05106198164539</v>
      </c>
      <c r="Z27" s="48"/>
      <c r="AA27" s="18">
        <f t="shared" si="11"/>
        <v>625804.61744063313</v>
      </c>
      <c r="AB27" s="48">
        <f t="shared" si="21"/>
        <v>19717.228742372317</v>
      </c>
      <c r="AC27" s="48">
        <f t="shared" si="12"/>
        <v>645521.84618300549</v>
      </c>
      <c r="AD27" s="18">
        <f t="shared" si="4"/>
        <v>313446.62564920489</v>
      </c>
    </row>
    <row r="28" spans="1:30" x14ac:dyDescent="0.2">
      <c r="A28">
        <v>22</v>
      </c>
      <c r="C28" s="19">
        <f t="shared" si="0"/>
        <v>9.1200000000000003E-2</v>
      </c>
      <c r="E28" s="23">
        <f t="shared" si="5"/>
        <v>123.26018801562505</v>
      </c>
      <c r="F28" s="23">
        <f t="shared" si="6"/>
        <v>116.71662425491445</v>
      </c>
      <c r="G28" s="23">
        <f t="shared" si="7"/>
        <v>357.60319488441041</v>
      </c>
      <c r="H28" s="23">
        <f t="shared" si="22"/>
        <v>402.41999284504925</v>
      </c>
      <c r="I28" s="15">
        <f t="shared" si="8"/>
        <v>999.9999999999992</v>
      </c>
      <c r="K28" s="15">
        <f t="shared" si="14"/>
        <v>239.97681227053948</v>
      </c>
      <c r="L28" s="15">
        <f t="shared" si="9"/>
        <v>204.63464680602962</v>
      </c>
      <c r="M28" s="15">
        <f t="shared" si="15"/>
        <v>112.58527284355452</v>
      </c>
      <c r="N28" s="15">
        <f t="shared" si="16"/>
        <v>96.004473623594336</v>
      </c>
      <c r="O28" s="15"/>
      <c r="P28" s="18">
        <f t="shared" si="17"/>
        <v>535040.15478818095</v>
      </c>
      <c r="Q28" s="18">
        <f t="shared" si="1"/>
        <v>17507.493638237167</v>
      </c>
      <c r="R28" s="18">
        <f t="shared" si="18"/>
        <v>552547.64842641808</v>
      </c>
      <c r="S28" s="18">
        <f t="shared" si="19"/>
        <v>259228.07778203706</v>
      </c>
      <c r="V28" s="15">
        <f t="shared" si="20"/>
        <v>239.97681227053948</v>
      </c>
      <c r="W28" s="15">
        <f t="shared" si="10"/>
        <v>204.63464680602962</v>
      </c>
      <c r="X28" s="15">
        <f t="shared" si="2"/>
        <v>112.58527284355452</v>
      </c>
      <c r="Y28" s="15">
        <f t="shared" si="3"/>
        <v>96.004473623594336</v>
      </c>
      <c r="Z28" s="48"/>
      <c r="AA28" s="18">
        <f t="shared" si="11"/>
        <v>535040.15478818095</v>
      </c>
      <c r="AB28" s="48">
        <f t="shared" si="21"/>
        <v>17507.493638237167</v>
      </c>
      <c r="AC28" s="48">
        <f t="shared" si="12"/>
        <v>552547.64842641808</v>
      </c>
      <c r="AD28" s="18">
        <f t="shared" si="4"/>
        <v>259228.07778203706</v>
      </c>
    </row>
    <row r="29" spans="1:30" x14ac:dyDescent="0.2">
      <c r="A29">
        <v>23</v>
      </c>
      <c r="C29" s="19">
        <f t="shared" si="0"/>
        <v>9.1200000000000003E-2</v>
      </c>
      <c r="E29" s="23">
        <f t="shared" si="5"/>
        <v>97.843937246803165</v>
      </c>
      <c r="F29" s="23">
        <f t="shared" si="6"/>
        <v>102.73949610642596</v>
      </c>
      <c r="G29" s="23">
        <f t="shared" si="7"/>
        <v>375.11068852264759</v>
      </c>
      <c r="H29" s="23">
        <f t="shared" si="22"/>
        <v>424.30587812412244</v>
      </c>
      <c r="I29" s="15">
        <f t="shared" si="8"/>
        <v>999.99999999999909</v>
      </c>
      <c r="K29" s="15">
        <f t="shared" si="14"/>
        <v>200.58343335322911</v>
      </c>
      <c r="L29" s="15">
        <f t="shared" si="9"/>
        <v>170.00636246428246</v>
      </c>
      <c r="M29" s="15">
        <f t="shared" si="15"/>
        <v>90.92158867331932</v>
      </c>
      <c r="N29" s="15">
        <f t="shared" si="16"/>
        <v>77.061441722379826</v>
      </c>
      <c r="O29" s="15"/>
      <c r="P29" s="18">
        <f t="shared" si="17"/>
        <v>454984.39418948261</v>
      </c>
      <c r="Q29" s="18">
        <f t="shared" si="1"/>
        <v>15410.924415963895</v>
      </c>
      <c r="R29" s="18">
        <f t="shared" si="18"/>
        <v>470395.31860544649</v>
      </c>
      <c r="S29" s="18">
        <f t="shared" si="19"/>
        <v>213223.44002748557</v>
      </c>
      <c r="V29" s="15">
        <f t="shared" si="20"/>
        <v>200.58343335322911</v>
      </c>
      <c r="W29" s="15">
        <f t="shared" si="10"/>
        <v>170.00636246428246</v>
      </c>
      <c r="X29" s="15">
        <f t="shared" si="2"/>
        <v>90.92158867331932</v>
      </c>
      <c r="Y29" s="15">
        <f t="shared" si="3"/>
        <v>77.061441722379826</v>
      </c>
      <c r="Z29" s="48"/>
      <c r="AA29" s="18">
        <f t="shared" si="11"/>
        <v>454984.39418948261</v>
      </c>
      <c r="AB29" s="48">
        <f t="shared" si="21"/>
        <v>15410.924415963895</v>
      </c>
      <c r="AC29" s="48">
        <f t="shared" si="12"/>
        <v>470395.31860544649</v>
      </c>
      <c r="AD29" s="18">
        <f t="shared" si="4"/>
        <v>213223.44002748557</v>
      </c>
    </row>
    <row r="30" spans="1:30" x14ac:dyDescent="0.2">
      <c r="A30">
        <v>24</v>
      </c>
      <c r="C30" s="19">
        <f t="shared" si="0"/>
        <v>9.1200000000000003E-2</v>
      </c>
      <c r="E30" s="23">
        <f t="shared" si="5"/>
        <v>77.17929770027834</v>
      </c>
      <c r="F30" s="23">
        <f t="shared" si="6"/>
        <v>89.700002115172381</v>
      </c>
      <c r="G30" s="23">
        <f t="shared" si="7"/>
        <v>390.5216129386115</v>
      </c>
      <c r="H30" s="23">
        <f t="shared" si="22"/>
        <v>442.59908724593691</v>
      </c>
      <c r="I30" s="15">
        <f t="shared" si="8"/>
        <v>999.99999999999909</v>
      </c>
      <c r="K30" s="15">
        <f t="shared" si="14"/>
        <v>166.87929981545074</v>
      </c>
      <c r="L30" s="15">
        <f t="shared" si="9"/>
        <v>140.5953344016437</v>
      </c>
      <c r="M30" s="15">
        <f t="shared" si="15"/>
        <v>73.085979853485483</v>
      </c>
      <c r="N30" s="15">
        <f t="shared" si="16"/>
        <v>61.574729693474012</v>
      </c>
      <c r="O30" s="15"/>
      <c r="P30" s="18">
        <f t="shared" si="17"/>
        <v>384868.95289593464</v>
      </c>
      <c r="Q30" s="18">
        <f t="shared" si="1"/>
        <v>13455.000317275857</v>
      </c>
      <c r="R30" s="18">
        <f t="shared" si="18"/>
        <v>398323.95321321051</v>
      </c>
      <c r="S30" s="18">
        <f t="shared" si="19"/>
        <v>174448.81691076004</v>
      </c>
      <c r="V30" s="15">
        <f t="shared" si="20"/>
        <v>166.87929981545074</v>
      </c>
      <c r="W30" s="15">
        <f t="shared" si="10"/>
        <v>140.5953344016437</v>
      </c>
      <c r="X30" s="15">
        <f t="shared" si="2"/>
        <v>73.085979853485483</v>
      </c>
      <c r="Y30" s="15">
        <f t="shared" si="3"/>
        <v>61.574729693474012</v>
      </c>
      <c r="Z30" s="48"/>
      <c r="AA30" s="18">
        <f t="shared" si="11"/>
        <v>384868.95289593464</v>
      </c>
      <c r="AB30" s="48">
        <f t="shared" si="21"/>
        <v>13455.000317275857</v>
      </c>
      <c r="AC30" s="48">
        <f t="shared" si="12"/>
        <v>398323.95321321051</v>
      </c>
      <c r="AD30" s="18">
        <f t="shared" si="4"/>
        <v>174448.81691076004</v>
      </c>
    </row>
    <row r="31" spans="1:30" x14ac:dyDescent="0.2">
      <c r="A31">
        <v>25</v>
      </c>
      <c r="C31" s="19">
        <f t="shared" si="0"/>
        <v>9.1200000000000003E-2</v>
      </c>
      <c r="E31" s="23">
        <f t="shared" si="5"/>
        <v>60.493133537478165</v>
      </c>
      <c r="F31" s="23">
        <f t="shared" si="6"/>
        <v>77.711773817527586</v>
      </c>
      <c r="G31" s="23">
        <f t="shared" si="7"/>
        <v>403.97661325588734</v>
      </c>
      <c r="H31" s="23">
        <f t="shared" si="22"/>
        <v>457.81847938910602</v>
      </c>
      <c r="I31" s="15">
        <f t="shared" si="8"/>
        <v>999.99999999999909</v>
      </c>
      <c r="K31" s="15">
        <f t="shared" si="14"/>
        <v>138.20490735500576</v>
      </c>
      <c r="L31" s="15">
        <f t="shared" si="9"/>
        <v>115.75230722374994</v>
      </c>
      <c r="M31" s="15">
        <f t="shared" si="15"/>
        <v>58.48099044960842</v>
      </c>
      <c r="N31" s="15">
        <f t="shared" si="16"/>
        <v>48.980240302784566</v>
      </c>
      <c r="O31" s="15"/>
      <c r="P31" s="18">
        <f t="shared" si="17"/>
        <v>323875.02175880002</v>
      </c>
      <c r="Q31" s="18">
        <f t="shared" si="1"/>
        <v>11656.766072629138</v>
      </c>
      <c r="R31" s="18">
        <f t="shared" si="18"/>
        <v>335531.78783142916</v>
      </c>
      <c r="S31" s="18">
        <f t="shared" si="19"/>
        <v>141979.26582524594</v>
      </c>
      <c r="V31" s="15">
        <f t="shared" si="20"/>
        <v>138.20490735500576</v>
      </c>
      <c r="W31" s="15">
        <f t="shared" si="10"/>
        <v>115.75230722374994</v>
      </c>
      <c r="X31" s="15">
        <f t="shared" si="2"/>
        <v>58.48099044960842</v>
      </c>
      <c r="Y31" s="15">
        <f t="shared" si="3"/>
        <v>48.980240302784566</v>
      </c>
      <c r="Z31" s="48"/>
      <c r="AA31" s="18">
        <f t="shared" si="11"/>
        <v>323875.02175880002</v>
      </c>
      <c r="AB31" s="48">
        <f t="shared" si="21"/>
        <v>11656.766072629138</v>
      </c>
      <c r="AC31" s="48">
        <f t="shared" si="12"/>
        <v>335531.78783142916</v>
      </c>
      <c r="AD31" s="18">
        <f t="shared" si="4"/>
        <v>141979.26582524594</v>
      </c>
    </row>
    <row r="32" spans="1:30" x14ac:dyDescent="0.2">
      <c r="A32">
        <v>26</v>
      </c>
      <c r="C32" s="19">
        <f t="shared" si="0"/>
        <v>9.1200000000000003E-2</v>
      </c>
      <c r="E32" s="23">
        <f t="shared" si="5"/>
        <v>47.112052398987998</v>
      </c>
      <c r="F32" s="23">
        <f t="shared" si="6"/>
        <v>66.831801332612088</v>
      </c>
      <c r="G32" s="23">
        <f t="shared" si="7"/>
        <v>415.63337932851647</v>
      </c>
      <c r="H32" s="23">
        <f t="shared" si="22"/>
        <v>470.42276693988254</v>
      </c>
      <c r="I32" s="15">
        <f t="shared" si="8"/>
        <v>999.99999999999909</v>
      </c>
      <c r="K32" s="15">
        <f t="shared" si="14"/>
        <v>113.94385373160009</v>
      </c>
      <c r="L32" s="15">
        <f t="shared" si="9"/>
        <v>94.880300778497656</v>
      </c>
      <c r="M32" s="15">
        <f t="shared" si="15"/>
        <v>46.584539760721313</v>
      </c>
      <c r="N32" s="15">
        <f t="shared" si="16"/>
        <v>38.790641174350007</v>
      </c>
      <c r="O32" s="15"/>
      <c r="P32" s="18">
        <f t="shared" si="17"/>
        <v>271163.48259631824</v>
      </c>
      <c r="Q32" s="18">
        <f t="shared" si="1"/>
        <v>10024.770199891813</v>
      </c>
      <c r="R32" s="18">
        <f t="shared" si="18"/>
        <v>281188.25279621006</v>
      </c>
      <c r="S32" s="18">
        <f t="shared" si="19"/>
        <v>114960.35032734764</v>
      </c>
      <c r="V32" s="15">
        <f t="shared" si="20"/>
        <v>113.94385373160009</v>
      </c>
      <c r="W32" s="15">
        <f t="shared" si="10"/>
        <v>94.880300778497656</v>
      </c>
      <c r="X32" s="15">
        <f t="shared" si="2"/>
        <v>46.584539760721313</v>
      </c>
      <c r="Y32" s="15">
        <f t="shared" si="3"/>
        <v>38.790641174350007</v>
      </c>
      <c r="Z32" s="48"/>
      <c r="AA32" s="18">
        <f t="shared" si="11"/>
        <v>271163.48259631824</v>
      </c>
      <c r="AB32" s="48">
        <f t="shared" si="21"/>
        <v>10024.770199891813</v>
      </c>
      <c r="AC32" s="48">
        <f t="shared" si="12"/>
        <v>281188.25279621006</v>
      </c>
      <c r="AD32" s="18">
        <f t="shared" si="4"/>
        <v>114960.35032734764</v>
      </c>
    </row>
    <row r="33" spans="1:30" x14ac:dyDescent="0.2">
      <c r="A33">
        <v>27</v>
      </c>
      <c r="C33" s="19">
        <f t="shared" si="0"/>
        <v>9.1200000000000003E-2</v>
      </c>
      <c r="E33" s="23">
        <f t="shared" si="5"/>
        <v>36.455306146336916</v>
      </c>
      <c r="F33" s="23">
        <f t="shared" si="6"/>
        <v>57.072097925049427</v>
      </c>
      <c r="G33" s="23">
        <f t="shared" si="7"/>
        <v>425.65814952840827</v>
      </c>
      <c r="H33" s="23">
        <f t="shared" si="22"/>
        <v>480.81444640020447</v>
      </c>
      <c r="I33" s="15">
        <f t="shared" si="8"/>
        <v>999.99999999999909</v>
      </c>
      <c r="K33" s="15">
        <f t="shared" si="14"/>
        <v>93.527404071386343</v>
      </c>
      <c r="L33" s="15">
        <f t="shared" si="9"/>
        <v>77.436614282807142</v>
      </c>
      <c r="M33" s="15">
        <f t="shared" si="15"/>
        <v>36.944469599799135</v>
      </c>
      <c r="N33" s="15">
        <f t="shared" si="16"/>
        <v>30.588410644851695</v>
      </c>
      <c r="O33" s="15"/>
      <c r="P33" s="18">
        <f t="shared" si="17"/>
        <v>225899.25299465365</v>
      </c>
      <c r="Q33" s="18">
        <f t="shared" si="1"/>
        <v>8560.8146887574148</v>
      </c>
      <c r="R33" s="18">
        <f t="shared" si="18"/>
        <v>234460.06768341106</v>
      </c>
      <c r="S33" s="18">
        <f t="shared" si="19"/>
        <v>92614.597068097923</v>
      </c>
      <c r="V33" s="15">
        <f t="shared" si="20"/>
        <v>93.527404071386343</v>
      </c>
      <c r="W33" s="15">
        <f t="shared" si="10"/>
        <v>77.436614282807142</v>
      </c>
      <c r="X33" s="15">
        <f t="shared" si="2"/>
        <v>36.944469599799135</v>
      </c>
      <c r="Y33" s="15">
        <f t="shared" si="3"/>
        <v>30.588410644851695</v>
      </c>
      <c r="Z33" s="48"/>
      <c r="AA33" s="18">
        <f t="shared" si="11"/>
        <v>225899.25299465365</v>
      </c>
      <c r="AB33" s="48">
        <f t="shared" si="21"/>
        <v>8560.8146887574148</v>
      </c>
      <c r="AC33" s="48">
        <f t="shared" si="12"/>
        <v>234460.06768341106</v>
      </c>
      <c r="AD33" s="18">
        <f t="shared" si="4"/>
        <v>92614.597068097923</v>
      </c>
    </row>
    <row r="34" spans="1:30" x14ac:dyDescent="0.2">
      <c r="A34">
        <v>28</v>
      </c>
      <c r="C34" s="19">
        <f t="shared" si="0"/>
        <v>9.1200000000000003E-2</v>
      </c>
      <c r="E34" s="23">
        <f t="shared" si="5"/>
        <v>28.026839365303822</v>
      </c>
      <c r="F34" s="23">
        <f t="shared" si="6"/>
        <v>48.410050766014663</v>
      </c>
      <c r="G34" s="23">
        <f t="shared" si="7"/>
        <v>434.21896421716571</v>
      </c>
      <c r="H34" s="23">
        <f t="shared" si="22"/>
        <v>489.34414565151491</v>
      </c>
      <c r="I34" s="15">
        <f t="shared" si="8"/>
        <v>999.99999999999909</v>
      </c>
      <c r="K34" s="15">
        <f t="shared" si="14"/>
        <v>76.436890131318478</v>
      </c>
      <c r="L34" s="15">
        <f t="shared" si="9"/>
        <v>62.93303547154963</v>
      </c>
      <c r="M34" s="15">
        <f t="shared" si="15"/>
        <v>29.172470885100807</v>
      </c>
      <c r="N34" s="15">
        <f t="shared" si="16"/>
        <v>24.01866614210368</v>
      </c>
      <c r="O34" s="15"/>
      <c r="P34" s="18">
        <f t="shared" si="17"/>
        <v>187270.41134599972</v>
      </c>
      <c r="Q34" s="18">
        <f t="shared" si="1"/>
        <v>7261.5076149021997</v>
      </c>
      <c r="R34" s="18">
        <f t="shared" si="18"/>
        <v>194531.91896090191</v>
      </c>
      <c r="S34" s="18">
        <f t="shared" si="19"/>
        <v>74243.951217273469</v>
      </c>
      <c r="V34" s="15">
        <f t="shared" si="20"/>
        <v>76.436890131318478</v>
      </c>
      <c r="W34" s="15">
        <f t="shared" si="10"/>
        <v>62.93303547154963</v>
      </c>
      <c r="X34" s="15">
        <f t="shared" si="2"/>
        <v>29.172470885100807</v>
      </c>
      <c r="Y34" s="15">
        <f t="shared" si="3"/>
        <v>24.01866614210368</v>
      </c>
      <c r="Z34" s="48"/>
      <c r="AA34" s="18">
        <f t="shared" si="11"/>
        <v>187270.41134599972</v>
      </c>
      <c r="AB34" s="48">
        <f t="shared" si="21"/>
        <v>7261.5076149021997</v>
      </c>
      <c r="AC34" s="48">
        <f t="shared" si="12"/>
        <v>194531.91896090191</v>
      </c>
      <c r="AD34" s="18">
        <f t="shared" si="4"/>
        <v>74243.951217273469</v>
      </c>
    </row>
    <row r="35" spans="1:30" x14ac:dyDescent="0.2">
      <c r="A35">
        <v>29</v>
      </c>
      <c r="C35" s="19">
        <f t="shared" si="0"/>
        <v>9.1200000000000003E-2</v>
      </c>
      <c r="E35" s="23">
        <f t="shared" si="5"/>
        <v>21.40689990721906</v>
      </c>
      <c r="F35" s="23">
        <f t="shared" si="6"/>
        <v>40.79743822922098</v>
      </c>
      <c r="G35" s="23">
        <f t="shared" si="7"/>
        <v>441.48047183206791</v>
      </c>
      <c r="H35" s="23">
        <f t="shared" si="22"/>
        <v>496.31519003149111</v>
      </c>
      <c r="I35" s="15">
        <f t="shared" si="8"/>
        <v>999.99999999999909</v>
      </c>
      <c r="K35" s="15">
        <f t="shared" si="14"/>
        <v>62.204338136440043</v>
      </c>
      <c r="L35" s="15">
        <f t="shared" si="9"/>
        <v>50.934633583773845</v>
      </c>
      <c r="M35" s="15">
        <f t="shared" si="15"/>
        <v>22.93773491915271</v>
      </c>
      <c r="N35" s="15">
        <f t="shared" si="16"/>
        <v>18.782052158261916</v>
      </c>
      <c r="O35" s="15"/>
      <c r="P35" s="18">
        <f t="shared" si="17"/>
        <v>154502.66454849154</v>
      </c>
      <c r="Q35" s="18">
        <f t="shared" si="1"/>
        <v>6119.6157343831464</v>
      </c>
      <c r="R35" s="18">
        <f t="shared" si="18"/>
        <v>160622.28028287468</v>
      </c>
      <c r="S35" s="18">
        <f t="shared" si="19"/>
        <v>59229.169501927623</v>
      </c>
      <c r="V35" s="15">
        <f t="shared" si="20"/>
        <v>62.204338136440043</v>
      </c>
      <c r="W35" s="15">
        <f t="shared" si="10"/>
        <v>50.934633583773845</v>
      </c>
      <c r="X35" s="15">
        <f t="shared" si="2"/>
        <v>22.93773491915271</v>
      </c>
      <c r="Y35" s="15">
        <f t="shared" si="3"/>
        <v>18.782052158261916</v>
      </c>
      <c r="Z35" s="48"/>
      <c r="AA35" s="18">
        <f t="shared" si="11"/>
        <v>154502.66454849154</v>
      </c>
      <c r="AB35" s="48">
        <f t="shared" si="21"/>
        <v>6119.6157343831464</v>
      </c>
      <c r="AC35" s="48">
        <f t="shared" si="12"/>
        <v>160622.28028287468</v>
      </c>
      <c r="AD35" s="18">
        <f t="shared" si="4"/>
        <v>59229.169501927623</v>
      </c>
    </row>
    <row r="36" spans="1:30" x14ac:dyDescent="0.2">
      <c r="A36">
        <v>30</v>
      </c>
      <c r="C36" s="19">
        <f t="shared" si="0"/>
        <v>0.1958</v>
      </c>
      <c r="E36" s="23">
        <f t="shared" si="5"/>
        <v>16.243555649597823</v>
      </c>
      <c r="F36" s="23">
        <f t="shared" si="6"/>
        <v>34.168131114415736</v>
      </c>
      <c r="G36" s="23">
        <f t="shared" si="7"/>
        <v>447.60008756645107</v>
      </c>
      <c r="H36" s="23">
        <f t="shared" si="22"/>
        <v>501.98822566953442</v>
      </c>
      <c r="I36" s="15">
        <f t="shared" si="8"/>
        <v>999.99999999999909</v>
      </c>
      <c r="K36" s="15">
        <f t="shared" si="14"/>
        <v>50.41168676401356</v>
      </c>
      <c r="L36" s="15">
        <f t="shared" si="9"/>
        <v>41.057476202929735</v>
      </c>
      <c r="M36" s="15">
        <f t="shared" si="15"/>
        <v>17.960595636063875</v>
      </c>
      <c r="N36" s="15">
        <f t="shared" si="16"/>
        <v>14.627892364921658</v>
      </c>
      <c r="O36" s="15"/>
      <c r="P36" s="18">
        <f t="shared" si="17"/>
        <v>126869.72681764394</v>
      </c>
      <c r="Q36" s="18">
        <f t="shared" si="1"/>
        <v>5125.2196671623606</v>
      </c>
      <c r="R36" s="18">
        <f t="shared" si="18"/>
        <v>131994.94648480631</v>
      </c>
      <c r="S36" s="18">
        <f t="shared" si="19"/>
        <v>47026.949741142744</v>
      </c>
      <c r="V36" s="15">
        <f t="shared" si="20"/>
        <v>50.41168676401356</v>
      </c>
      <c r="W36" s="15">
        <f t="shared" si="10"/>
        <v>41.057476202929735</v>
      </c>
      <c r="X36" s="15">
        <f t="shared" si="2"/>
        <v>17.960595636063875</v>
      </c>
      <c r="Y36" s="15">
        <f t="shared" si="3"/>
        <v>14.627892364921658</v>
      </c>
      <c r="Z36" s="48"/>
      <c r="AA36" s="18">
        <f t="shared" si="11"/>
        <v>126869.72681764394</v>
      </c>
      <c r="AB36" s="48">
        <f t="shared" si="21"/>
        <v>5125.2196671623606</v>
      </c>
      <c r="AC36" s="48">
        <f t="shared" si="12"/>
        <v>131994.94648480631</v>
      </c>
      <c r="AD36" s="18">
        <f t="shared" si="4"/>
        <v>47026.949741142744</v>
      </c>
    </row>
    <row r="37" spans="1:30" x14ac:dyDescent="0.2">
      <c r="A37">
        <v>31</v>
      </c>
      <c r="C37" s="19">
        <f t="shared" si="0"/>
        <v>0.1958</v>
      </c>
      <c r="E37" s="23">
        <f t="shared" si="5"/>
        <v>10.545316327718908</v>
      </c>
      <c r="F37" s="23">
        <f t="shared" si="6"/>
        <v>24.870542500738438</v>
      </c>
      <c r="G37" s="23">
        <f t="shared" si="7"/>
        <v>452.72530723361342</v>
      </c>
      <c r="H37" s="23">
        <f>H36+E36*$C36+F36*$C36</f>
        <v>511.8588339379283</v>
      </c>
      <c r="I37" s="15">
        <f t="shared" si="8"/>
        <v>999.99999999999909</v>
      </c>
      <c r="K37" s="15">
        <f t="shared" si="14"/>
        <v>35.415858828457345</v>
      </c>
      <c r="L37" s="15">
        <f t="shared" si="9"/>
        <v>28.670957386886791</v>
      </c>
      <c r="M37" s="15">
        <f t="shared" si="15"/>
        <v>12.191213423689181</v>
      </c>
      <c r="N37" s="15">
        <f t="shared" si="16"/>
        <v>9.8694136504795811</v>
      </c>
      <c r="O37" s="15"/>
      <c r="P37" s="18">
        <f t="shared" si="17"/>
        <v>90429.60199379368</v>
      </c>
      <c r="Q37" s="18">
        <f t="shared" si="1"/>
        <v>3730.5813751107653</v>
      </c>
      <c r="R37" s="18">
        <f t="shared" si="18"/>
        <v>94160.183368904443</v>
      </c>
      <c r="S37" s="18">
        <f t="shared" si="19"/>
        <v>32412.79272724118</v>
      </c>
      <c r="V37" s="15">
        <f t="shared" si="20"/>
        <v>35.415858828457345</v>
      </c>
      <c r="W37" s="15">
        <f t="shared" si="10"/>
        <v>28.670957386886791</v>
      </c>
      <c r="X37" s="15">
        <f t="shared" si="2"/>
        <v>12.191213423689181</v>
      </c>
      <c r="Y37" s="15">
        <f t="shared" si="3"/>
        <v>9.8694136504795811</v>
      </c>
      <c r="Z37" s="48"/>
      <c r="AA37" s="18">
        <f t="shared" si="11"/>
        <v>90429.60199379368</v>
      </c>
      <c r="AB37" s="48">
        <f t="shared" si="21"/>
        <v>3730.5813751107653</v>
      </c>
      <c r="AC37" s="48">
        <f t="shared" si="12"/>
        <v>94160.183368904443</v>
      </c>
      <c r="AD37" s="18">
        <f t="shared" si="4"/>
        <v>32412.79272724118</v>
      </c>
    </row>
    <row r="38" spans="1:30" x14ac:dyDescent="0.2">
      <c r="A38">
        <v>32</v>
      </c>
      <c r="C38" s="19">
        <f t="shared" si="0"/>
        <v>0.1958</v>
      </c>
      <c r="E38" s="23">
        <f t="shared" si="5"/>
        <v>6.7932927783165207</v>
      </c>
      <c r="F38" s="23">
        <f t="shared" si="6"/>
        <v>17.957559516418112</v>
      </c>
      <c r="G38" s="23">
        <f t="shared" si="7"/>
        <v>456.45588860872419</v>
      </c>
      <c r="H38" s="23">
        <f t="shared" ref="H38:H51" si="23">H37+E37*$C37+F37*$C37</f>
        <v>518.79325909654028</v>
      </c>
      <c r="I38" s="15">
        <f t="shared" si="8"/>
        <v>999.99999999999909</v>
      </c>
      <c r="K38" s="15">
        <f t="shared" si="14"/>
        <v>24.750852294734631</v>
      </c>
      <c r="L38" s="15">
        <f t="shared" si="9"/>
        <v>19.921797776714278</v>
      </c>
      <c r="M38" s="15">
        <f t="shared" si="15"/>
        <v>8.2318787524753496</v>
      </c>
      <c r="N38" s="15">
        <f t="shared" si="16"/>
        <v>6.6257849174806847</v>
      </c>
      <c r="O38" s="15"/>
      <c r="P38" s="18">
        <f t="shared" si="17"/>
        <v>64062.617716729117</v>
      </c>
      <c r="Q38" s="18">
        <f t="shared" si="1"/>
        <v>2693.6339274627167</v>
      </c>
      <c r="R38" s="18">
        <f t="shared" si="18"/>
        <v>66756.251644191827</v>
      </c>
      <c r="S38" s="18">
        <f t="shared" si="19"/>
        <v>22202.442282022923</v>
      </c>
      <c r="V38" s="15">
        <f t="shared" si="20"/>
        <v>24.750852294734631</v>
      </c>
      <c r="W38" s="15">
        <f t="shared" si="10"/>
        <v>19.921797776714278</v>
      </c>
      <c r="X38" s="15">
        <f t="shared" si="2"/>
        <v>8.2318787524753496</v>
      </c>
      <c r="Y38" s="15">
        <f t="shared" si="3"/>
        <v>6.6257849174806847</v>
      </c>
      <c r="Z38" s="48"/>
      <c r="AA38" s="18">
        <f t="shared" si="11"/>
        <v>64062.617716729117</v>
      </c>
      <c r="AB38" s="48">
        <f t="shared" si="21"/>
        <v>2693.6339274627167</v>
      </c>
      <c r="AC38" s="48">
        <f t="shared" si="12"/>
        <v>66756.251644191827</v>
      </c>
      <c r="AD38" s="18">
        <f t="shared" si="4"/>
        <v>22202.442282022923</v>
      </c>
    </row>
    <row r="39" spans="1:30" x14ac:dyDescent="0.2">
      <c r="A39">
        <v>33</v>
      </c>
      <c r="C39" s="19">
        <f t="shared" si="0"/>
        <v>0.1958</v>
      </c>
      <c r="E39" s="23">
        <f t="shared" si="5"/>
        <v>4.3422727438999198</v>
      </c>
      <c r="F39" s="23">
        <f t="shared" si="6"/>
        <v>12.868728744062954</v>
      </c>
      <c r="G39" s="23">
        <f t="shared" si="7"/>
        <v>459.14952253618691</v>
      </c>
      <c r="H39" s="23">
        <f t="shared" si="23"/>
        <v>523.63947597584922</v>
      </c>
      <c r="I39" s="15">
        <f t="shared" si="8"/>
        <v>999.99999999999898</v>
      </c>
      <c r="K39" s="15">
        <f t="shared" si="14"/>
        <v>17.211001487962875</v>
      </c>
      <c r="L39" s="15">
        <f t="shared" si="9"/>
        <v>13.776705664752139</v>
      </c>
      <c r="M39" s="15">
        <f t="shared" si="15"/>
        <v>5.5306299224275399</v>
      </c>
      <c r="N39" s="15">
        <f t="shared" si="16"/>
        <v>4.4270439831897086</v>
      </c>
      <c r="O39" s="15"/>
      <c r="P39" s="18">
        <f t="shared" si="17"/>
        <v>45119.59534803874</v>
      </c>
      <c r="Q39" s="18">
        <f t="shared" si="1"/>
        <v>1930.3093116094431</v>
      </c>
      <c r="R39" s="18">
        <f t="shared" si="18"/>
        <v>47049.904659648186</v>
      </c>
      <c r="S39" s="18">
        <f t="shared" si="19"/>
        <v>15119.144039352052</v>
      </c>
      <c r="V39" s="15">
        <f t="shared" si="20"/>
        <v>17.211001487962875</v>
      </c>
      <c r="W39" s="15">
        <f t="shared" si="10"/>
        <v>13.776705664752139</v>
      </c>
      <c r="X39" s="15">
        <f t="shared" si="2"/>
        <v>5.5306299224275399</v>
      </c>
      <c r="Y39" s="15">
        <f t="shared" si="3"/>
        <v>4.4270439831897086</v>
      </c>
      <c r="Z39" s="48"/>
      <c r="AA39" s="18">
        <f t="shared" si="11"/>
        <v>45119.59534803874</v>
      </c>
      <c r="AB39" s="48">
        <f t="shared" si="21"/>
        <v>1930.3093116094431</v>
      </c>
      <c r="AC39" s="48">
        <f t="shared" si="12"/>
        <v>47049.904659648186</v>
      </c>
      <c r="AD39" s="18">
        <f t="shared" si="4"/>
        <v>15119.144039352052</v>
      </c>
    </row>
    <row r="40" spans="1:30" x14ac:dyDescent="0.2">
      <c r="A40">
        <v>34</v>
      </c>
      <c r="C40" s="19">
        <f t="shared" si="0"/>
        <v>0.1958</v>
      </c>
      <c r="E40" s="23">
        <f t="shared" si="5"/>
        <v>2.7538693741813289</v>
      </c>
      <c r="F40" s="23">
        <f t="shared" si="6"/>
        <v>9.1569087108289722</v>
      </c>
      <c r="G40" s="23">
        <f t="shared" si="7"/>
        <v>461.07983184779636</v>
      </c>
      <c r="H40" s="23">
        <f t="shared" si="23"/>
        <v>527.00939006719238</v>
      </c>
      <c r="I40" s="15">
        <f t="shared" si="8"/>
        <v>999.99999999999909</v>
      </c>
      <c r="K40" s="15">
        <f t="shared" si="14"/>
        <v>11.910778085010302</v>
      </c>
      <c r="L40" s="15">
        <f t="shared" si="9"/>
        <v>9.4838574385939918</v>
      </c>
      <c r="M40" s="15">
        <f t="shared" si="15"/>
        <v>3.6980113538926451</v>
      </c>
      <c r="N40" s="15">
        <f t="shared" si="16"/>
        <v>2.9445106135221448</v>
      </c>
      <c r="O40" s="15"/>
      <c r="P40" s="18">
        <f t="shared" si="17"/>
        <v>31601.53019375891</v>
      </c>
      <c r="Q40" s="18">
        <f t="shared" si="1"/>
        <v>1373.5363066243458</v>
      </c>
      <c r="R40" s="18">
        <f t="shared" si="18"/>
        <v>32975.066500383255</v>
      </c>
      <c r="S40" s="18">
        <f t="shared" si="19"/>
        <v>10237.968455414877</v>
      </c>
      <c r="V40" s="15">
        <f t="shared" si="20"/>
        <v>11.910778085010302</v>
      </c>
      <c r="W40" s="15">
        <f t="shared" si="10"/>
        <v>9.4838574385939918</v>
      </c>
      <c r="X40" s="15">
        <f t="shared" si="2"/>
        <v>3.6980113538926451</v>
      </c>
      <c r="Y40" s="15">
        <f t="shared" si="3"/>
        <v>2.9445106135221448</v>
      </c>
      <c r="Z40" s="48"/>
      <c r="AA40" s="18">
        <f t="shared" si="11"/>
        <v>31601.53019375891</v>
      </c>
      <c r="AB40" s="48">
        <f t="shared" si="21"/>
        <v>1373.5363066243458</v>
      </c>
      <c r="AC40" s="48">
        <f t="shared" si="12"/>
        <v>32975.066500383255</v>
      </c>
      <c r="AD40" s="18">
        <f t="shared" si="4"/>
        <v>10237.968455414877</v>
      </c>
    </row>
    <row r="41" spans="1:30" x14ac:dyDescent="0.2">
      <c r="A41">
        <v>35</v>
      </c>
      <c r="C41" s="19">
        <f t="shared" si="0"/>
        <v>0.1958</v>
      </c>
      <c r="E41" s="23">
        <f t="shared" si="5"/>
        <v>1.7327346102348922</v>
      </c>
      <c r="F41" s="23">
        <f t="shared" si="6"/>
        <v>6.4723768191060467</v>
      </c>
      <c r="G41" s="23">
        <f t="shared" si="7"/>
        <v>462.45336815442073</v>
      </c>
      <c r="H41" s="23">
        <f t="shared" si="23"/>
        <v>529.34152041623736</v>
      </c>
      <c r="I41" s="15">
        <f t="shared" si="8"/>
        <v>999.99999999999909</v>
      </c>
      <c r="K41" s="15">
        <f t="shared" si="14"/>
        <v>8.2051114293409384</v>
      </c>
      <c r="L41" s="15">
        <f t="shared" si="9"/>
        <v>6.500380494052683</v>
      </c>
      <c r="M41" s="15">
        <f t="shared" si="15"/>
        <v>2.4613435761290479</v>
      </c>
      <c r="N41" s="15">
        <f t="shared" si="16"/>
        <v>1.9499637401897274</v>
      </c>
      <c r="O41" s="15"/>
      <c r="P41" s="18">
        <f t="shared" si="17"/>
        <v>22016.232372670478</v>
      </c>
      <c r="Q41" s="18">
        <f t="shared" si="1"/>
        <v>970.85652286590698</v>
      </c>
      <c r="R41" s="18">
        <f t="shared" si="18"/>
        <v>22987.088895536384</v>
      </c>
      <c r="S41" s="18">
        <f t="shared" si="19"/>
        <v>6895.5947855397335</v>
      </c>
      <c r="V41" s="15">
        <f t="shared" si="20"/>
        <v>8.2051114293409384</v>
      </c>
      <c r="W41" s="15">
        <f t="shared" si="10"/>
        <v>6.500380494052683</v>
      </c>
      <c r="X41" s="15">
        <f t="shared" si="2"/>
        <v>2.4613435761290479</v>
      </c>
      <c r="Y41" s="15">
        <f t="shared" si="3"/>
        <v>1.9499637401897274</v>
      </c>
      <c r="Z41" s="48"/>
      <c r="AA41" s="18">
        <f t="shared" si="11"/>
        <v>22016.232372670478</v>
      </c>
      <c r="AB41" s="48">
        <f t="shared" si="21"/>
        <v>970.85652286590698</v>
      </c>
      <c r="AC41" s="48">
        <f t="shared" si="12"/>
        <v>22987.088895536384</v>
      </c>
      <c r="AD41" s="18">
        <f t="shared" si="4"/>
        <v>6895.5947855397335</v>
      </c>
    </row>
    <row r="42" spans="1:30" x14ac:dyDescent="0.2">
      <c r="A42">
        <v>36</v>
      </c>
      <c r="C42" s="19">
        <f t="shared" si="0"/>
        <v>0.1958</v>
      </c>
      <c r="E42" s="23">
        <f t="shared" si="5"/>
        <v>1.0815729437086199</v>
      </c>
      <c r="F42" s="23">
        <f t="shared" si="6"/>
        <v>4.5461211449014565</v>
      </c>
      <c r="G42" s="23">
        <f t="shared" si="7"/>
        <v>463.42422467728665</v>
      </c>
      <c r="H42" s="23">
        <f t="shared" si="23"/>
        <v>530.94808123410235</v>
      </c>
      <c r="I42" s="15">
        <f t="shared" si="8"/>
        <v>999.99999999999909</v>
      </c>
      <c r="K42" s="15">
        <f t="shared" si="14"/>
        <v>5.6276940886100766</v>
      </c>
      <c r="L42" s="15">
        <f t="shared" si="9"/>
        <v>4.4370851551992816</v>
      </c>
      <c r="M42" s="15">
        <f t="shared" si="15"/>
        <v>1.6310898657713329</v>
      </c>
      <c r="N42" s="15">
        <f t="shared" si="16"/>
        <v>1.286012444218948</v>
      </c>
      <c r="O42" s="15"/>
      <c r="P42" s="18">
        <f t="shared" si="17"/>
        <v>15260.722850267299</v>
      </c>
      <c r="Q42" s="18">
        <f t="shared" si="1"/>
        <v>681.91817173521838</v>
      </c>
      <c r="R42" s="18">
        <f t="shared" si="18"/>
        <v>15942.641022002517</v>
      </c>
      <c r="S42" s="18">
        <f t="shared" si="19"/>
        <v>4620.6989568334993</v>
      </c>
      <c r="V42" s="15">
        <f t="shared" si="20"/>
        <v>5.6276940886100766</v>
      </c>
      <c r="W42" s="15">
        <f t="shared" si="10"/>
        <v>4.4370851551992816</v>
      </c>
      <c r="X42" s="15">
        <f t="shared" si="2"/>
        <v>1.6310898657713329</v>
      </c>
      <c r="Y42" s="15">
        <f t="shared" si="3"/>
        <v>1.286012444218948</v>
      </c>
      <c r="Z42" s="48"/>
      <c r="AA42" s="18">
        <f t="shared" si="11"/>
        <v>15260.722850267299</v>
      </c>
      <c r="AB42" s="48">
        <f t="shared" si="21"/>
        <v>681.91817173521838</v>
      </c>
      <c r="AC42" s="48">
        <f t="shared" si="12"/>
        <v>15942.641022002517</v>
      </c>
      <c r="AD42" s="18">
        <f t="shared" si="4"/>
        <v>4620.6989568334993</v>
      </c>
    </row>
    <row r="43" spans="1:30" x14ac:dyDescent="0.2">
      <c r="A43">
        <v>37</v>
      </c>
      <c r="C43" s="19">
        <f t="shared" si="0"/>
        <v>0.1958</v>
      </c>
      <c r="E43" s="23">
        <f t="shared" si="5"/>
        <v>0.66970996674437744</v>
      </c>
      <c r="F43" s="23">
        <f t="shared" si="6"/>
        <v>3.1741634475806277</v>
      </c>
      <c r="G43" s="23">
        <f t="shared" si="7"/>
        <v>464.10614284902186</v>
      </c>
      <c r="H43" s="23">
        <f t="shared" si="23"/>
        <v>532.04998373665228</v>
      </c>
      <c r="I43" s="15">
        <f t="shared" si="8"/>
        <v>999.99999999999909</v>
      </c>
      <c r="K43" s="15">
        <f t="shared" si="14"/>
        <v>3.8438734143250053</v>
      </c>
      <c r="L43" s="15">
        <f t="shared" si="9"/>
        <v>3.0168470540926293</v>
      </c>
      <c r="M43" s="15">
        <f t="shared" si="15"/>
        <v>1.0764060616960796</v>
      </c>
      <c r="N43" s="15">
        <f t="shared" si="16"/>
        <v>0.84481253834564962</v>
      </c>
      <c r="O43" s="15"/>
      <c r="P43" s="18">
        <f t="shared" si="17"/>
        <v>10527.055292858449</v>
      </c>
      <c r="Q43" s="18">
        <f t="shared" si="1"/>
        <v>476.12451713709413</v>
      </c>
      <c r="R43" s="18">
        <f t="shared" si="18"/>
        <v>11003.179809995543</v>
      </c>
      <c r="S43" s="18">
        <f t="shared" si="19"/>
        <v>3081.2381597355329</v>
      </c>
      <c r="V43" s="15">
        <f t="shared" si="20"/>
        <v>3.8438734143250053</v>
      </c>
      <c r="W43" s="15">
        <f t="shared" si="10"/>
        <v>3.0168470540926293</v>
      </c>
      <c r="X43" s="15">
        <f t="shared" si="2"/>
        <v>1.0764060616960796</v>
      </c>
      <c r="Y43" s="15">
        <f t="shared" si="3"/>
        <v>0.84481253834564962</v>
      </c>
      <c r="Z43" s="48"/>
      <c r="AA43" s="18">
        <f t="shared" si="11"/>
        <v>10527.055292858449</v>
      </c>
      <c r="AB43" s="48">
        <f t="shared" si="21"/>
        <v>476.12451713709413</v>
      </c>
      <c r="AC43" s="48">
        <f t="shared" si="12"/>
        <v>11003.179809995543</v>
      </c>
      <c r="AD43" s="18">
        <f t="shared" si="4"/>
        <v>3081.2381597355329</v>
      </c>
    </row>
    <row r="44" spans="1:30" x14ac:dyDescent="0.2">
      <c r="A44">
        <v>38</v>
      </c>
      <c r="C44" s="19">
        <f t="shared" si="0"/>
        <v>0.1958</v>
      </c>
      <c r="E44" s="23">
        <f t="shared" si="5"/>
        <v>0.41133586157439667</v>
      </c>
      <c r="F44" s="23">
        <f t="shared" si="6"/>
        <v>2.2037826210886782</v>
      </c>
      <c r="G44" s="23">
        <f t="shared" si="7"/>
        <v>464.58226736615893</v>
      </c>
      <c r="H44" s="23">
        <f t="shared" si="23"/>
        <v>532.80261415117707</v>
      </c>
      <c r="I44" s="15">
        <f t="shared" si="8"/>
        <v>999.99999999999909</v>
      </c>
      <c r="K44" s="15">
        <f t="shared" si="14"/>
        <v>2.6151184826630747</v>
      </c>
      <c r="L44" s="15">
        <f t="shared" si="9"/>
        <v>2.0436060343121856</v>
      </c>
      <c r="M44" s="15">
        <f t="shared" si="15"/>
        <v>0.70755153586161124</v>
      </c>
      <c r="N44" s="15">
        <f t="shared" si="16"/>
        <v>0.55292201782045869</v>
      </c>
      <c r="O44" s="15"/>
      <c r="P44" s="18">
        <f t="shared" si="17"/>
        <v>7228.351655627629</v>
      </c>
      <c r="Q44" s="18">
        <f t="shared" si="1"/>
        <v>330.56739316330169</v>
      </c>
      <c r="R44" s="18">
        <f t="shared" si="18"/>
        <v>7558.9190487909309</v>
      </c>
      <c r="S44" s="18">
        <f t="shared" si="19"/>
        <v>2045.1558190890109</v>
      </c>
      <c r="V44" s="15">
        <f t="shared" si="20"/>
        <v>2.6151184826630747</v>
      </c>
      <c r="W44" s="15">
        <f t="shared" si="10"/>
        <v>2.0436060343121856</v>
      </c>
      <c r="X44" s="15">
        <f t="shared" si="2"/>
        <v>0.70755153586161124</v>
      </c>
      <c r="Y44" s="15">
        <f t="shared" si="3"/>
        <v>0.55292201782045869</v>
      </c>
      <c r="Z44" s="48"/>
      <c r="AA44" s="18">
        <f t="shared" si="11"/>
        <v>7228.351655627629</v>
      </c>
      <c r="AB44" s="48">
        <f t="shared" si="21"/>
        <v>330.56739316330169</v>
      </c>
      <c r="AC44" s="48">
        <f t="shared" si="12"/>
        <v>7558.9190487909309</v>
      </c>
      <c r="AD44" s="18">
        <f t="shared" si="4"/>
        <v>2045.1558190890109</v>
      </c>
    </row>
    <row r="45" spans="1:30" x14ac:dyDescent="0.2">
      <c r="A45">
        <v>39</v>
      </c>
      <c r="C45" s="19">
        <f t="shared" si="0"/>
        <v>0.1958</v>
      </c>
      <c r="E45" s="23">
        <f t="shared" si="5"/>
        <v>0.25058580687112242</v>
      </c>
      <c r="F45" s="23">
        <f t="shared" si="6"/>
        <v>1.5219250837232206</v>
      </c>
      <c r="G45" s="23">
        <f t="shared" si="7"/>
        <v>464.91283475932221</v>
      </c>
      <c r="H45" s="23">
        <f t="shared" si="23"/>
        <v>533.31465435008249</v>
      </c>
      <c r="I45" s="15">
        <f t="shared" si="8"/>
        <v>999.99999999999909</v>
      </c>
      <c r="K45" s="15">
        <f t="shared" si="14"/>
        <v>1.772510890594343</v>
      </c>
      <c r="L45" s="15">
        <f t="shared" si="9"/>
        <v>1.3795003293199817</v>
      </c>
      <c r="M45" s="15">
        <f t="shared" si="15"/>
        <v>0.46335651130807126</v>
      </c>
      <c r="N45" s="15">
        <f t="shared" si="16"/>
        <v>0.36061863615839956</v>
      </c>
      <c r="O45" s="15"/>
      <c r="P45" s="18">
        <f t="shared" si="17"/>
        <v>4941.6539614763451</v>
      </c>
      <c r="Q45" s="18">
        <f t="shared" si="1"/>
        <v>228.28876255848309</v>
      </c>
      <c r="R45" s="18">
        <f t="shared" si="18"/>
        <v>5169.9427240348286</v>
      </c>
      <c r="S45" s="18">
        <f t="shared" si="19"/>
        <v>1351.4876760323191</v>
      </c>
      <c r="V45" s="15">
        <f t="shared" si="20"/>
        <v>1.772510890594343</v>
      </c>
      <c r="W45" s="15">
        <f t="shared" si="10"/>
        <v>1.3795003293199817</v>
      </c>
      <c r="X45" s="15">
        <f t="shared" si="2"/>
        <v>0.46335651130807126</v>
      </c>
      <c r="Y45" s="15">
        <f t="shared" si="3"/>
        <v>0.36061863615839956</v>
      </c>
      <c r="Z45" s="48"/>
      <c r="AA45" s="18">
        <f t="shared" si="11"/>
        <v>4941.6539614763451</v>
      </c>
      <c r="AB45" s="48">
        <f t="shared" si="21"/>
        <v>228.28876255848309</v>
      </c>
      <c r="AC45" s="48">
        <f t="shared" si="12"/>
        <v>5169.9427240348286</v>
      </c>
      <c r="AD45" s="18">
        <f t="shared" si="4"/>
        <v>1351.4876760323191</v>
      </c>
    </row>
    <row r="46" spans="1:30" x14ac:dyDescent="0.2">
      <c r="A46">
        <v>40</v>
      </c>
      <c r="C46" s="19">
        <f t="shared" si="0"/>
        <v>0.1958</v>
      </c>
      <c r="E46" s="23">
        <f t="shared" si="5"/>
        <v>0.15140394451153219</v>
      </c>
      <c r="F46" s="23">
        <f t="shared" si="6"/>
        <v>1.0457605511459553</v>
      </c>
      <c r="G46" s="23">
        <f t="shared" si="7"/>
        <v>465.14112352188067</v>
      </c>
      <c r="H46" s="23">
        <f t="shared" si="23"/>
        <v>533.66171198246082</v>
      </c>
      <c r="I46" s="15">
        <f t="shared" si="8"/>
        <v>999.99999999999898</v>
      </c>
      <c r="K46" s="15">
        <f t="shared" si="14"/>
        <v>1.1971644956574876</v>
      </c>
      <c r="L46" s="15">
        <f t="shared" si="9"/>
        <v>0.92815416064542211</v>
      </c>
      <c r="M46" s="15">
        <f t="shared" si="15"/>
        <v>0.30237079150314</v>
      </c>
      <c r="N46" s="15">
        <f t="shared" si="16"/>
        <v>0.23442618721928979</v>
      </c>
      <c r="O46" s="15"/>
      <c r="P46" s="18">
        <f t="shared" si="17"/>
        <v>3364.3875702051646</v>
      </c>
      <c r="Q46" s="18">
        <f t="shared" si="1"/>
        <v>156.8640826718933</v>
      </c>
      <c r="R46" s="18">
        <f t="shared" si="18"/>
        <v>3521.2516528770579</v>
      </c>
      <c r="S46" s="18">
        <f t="shared" si="19"/>
        <v>889.37122110142889</v>
      </c>
      <c r="V46" s="15">
        <f t="shared" si="20"/>
        <v>1.1971644956574876</v>
      </c>
      <c r="W46" s="15">
        <f t="shared" si="10"/>
        <v>0.92815416064542211</v>
      </c>
      <c r="X46" s="15">
        <f t="shared" si="2"/>
        <v>0.30237079150314</v>
      </c>
      <c r="Y46" s="15">
        <f t="shared" si="3"/>
        <v>0.23442618721928979</v>
      </c>
      <c r="Z46" s="48"/>
      <c r="AA46" s="18">
        <f t="shared" si="11"/>
        <v>3364.3875702051646</v>
      </c>
      <c r="AB46" s="48">
        <f t="shared" si="21"/>
        <v>156.8640826718933</v>
      </c>
      <c r="AC46" s="48">
        <f t="shared" si="12"/>
        <v>3521.2516528770579</v>
      </c>
      <c r="AD46" s="18">
        <f t="shared" si="4"/>
        <v>889.37122110142889</v>
      </c>
    </row>
    <row r="47" spans="1:30" x14ac:dyDescent="0.2">
      <c r="A47">
        <v>41</v>
      </c>
      <c r="C47" s="19">
        <f t="shared" si="0"/>
        <v>0.1958</v>
      </c>
      <c r="E47" s="23">
        <f t="shared" si="5"/>
        <v>9.0721243551310088E-2</v>
      </c>
      <c r="F47" s="23">
        <f t="shared" si="6"/>
        <v>0.71517436118454802</v>
      </c>
      <c r="G47" s="23">
        <f t="shared" si="7"/>
        <v>465.29798760455259</v>
      </c>
      <c r="H47" s="23">
        <f t="shared" si="23"/>
        <v>533.89611679071049</v>
      </c>
      <c r="I47" s="15">
        <f t="shared" si="8"/>
        <v>999.99999999999886</v>
      </c>
      <c r="K47" s="15">
        <f t="shared" si="14"/>
        <v>0.80589560473585808</v>
      </c>
      <c r="L47" s="15">
        <f t="shared" si="9"/>
        <v>0.6225659522621555</v>
      </c>
      <c r="M47" s="15">
        <f t="shared" si="15"/>
        <v>0.19666380869111624</v>
      </c>
      <c r="N47" s="15">
        <f t="shared" si="16"/>
        <v>0.15192562239301091</v>
      </c>
      <c r="O47" s="15"/>
      <c r="P47" s="18">
        <f t="shared" si="17"/>
        <v>2281.6049488806093</v>
      </c>
      <c r="Q47" s="18">
        <f t="shared" si="1"/>
        <v>107.2761541776822</v>
      </c>
      <c r="R47" s="18">
        <f t="shared" si="18"/>
        <v>2388.8811030582915</v>
      </c>
      <c r="S47" s="18">
        <f t="shared" si="19"/>
        <v>582.96192891095768</v>
      </c>
      <c r="V47" s="15">
        <f t="shared" si="20"/>
        <v>0.80589560473585808</v>
      </c>
      <c r="W47" s="15">
        <f t="shared" si="10"/>
        <v>0.6225659522621555</v>
      </c>
      <c r="X47" s="15">
        <f t="shared" si="2"/>
        <v>0.19666380869111624</v>
      </c>
      <c r="Y47" s="15">
        <f t="shared" si="3"/>
        <v>0.15192562239301091</v>
      </c>
      <c r="Z47" s="48"/>
      <c r="AA47" s="18">
        <f t="shared" si="11"/>
        <v>2281.6049488806093</v>
      </c>
      <c r="AB47" s="48">
        <f t="shared" si="21"/>
        <v>107.2761541776822</v>
      </c>
      <c r="AC47" s="48">
        <f t="shared" si="12"/>
        <v>2388.8811030582915</v>
      </c>
      <c r="AD47" s="18">
        <f t="shared" si="4"/>
        <v>582.96192891095768</v>
      </c>
    </row>
    <row r="48" spans="1:30" x14ac:dyDescent="0.2">
      <c r="A48">
        <v>42</v>
      </c>
      <c r="C48" s="19">
        <f t="shared" si="0"/>
        <v>0.1958</v>
      </c>
      <c r="E48" s="23">
        <f t="shared" si="5"/>
        <v>5.3906562918188461E-2</v>
      </c>
      <c r="F48" s="23">
        <f t="shared" si="6"/>
        <v>0.48691852823270643</v>
      </c>
      <c r="G48" s="23">
        <f t="shared" si="7"/>
        <v>465.40526375873026</v>
      </c>
      <c r="H48" s="23">
        <f t="shared" si="23"/>
        <v>534.05391115011787</v>
      </c>
      <c r="I48" s="15">
        <f t="shared" si="8"/>
        <v>999.99999999999909</v>
      </c>
      <c r="K48" s="15">
        <f t="shared" si="14"/>
        <v>0.54082509115089494</v>
      </c>
      <c r="L48" s="15">
        <f t="shared" si="9"/>
        <v>0.41640013094680883</v>
      </c>
      <c r="M48" s="15">
        <f t="shared" si="15"/>
        <v>0.1275152541562643</v>
      </c>
      <c r="N48" s="15">
        <f t="shared" si="16"/>
        <v>9.8178448813073721E-2</v>
      </c>
      <c r="O48" s="15"/>
      <c r="P48" s="18">
        <f t="shared" si="17"/>
        <v>1541.6154290754021</v>
      </c>
      <c r="Q48" s="18">
        <f t="shared" si="1"/>
        <v>73.037779234905969</v>
      </c>
      <c r="R48" s="18">
        <f t="shared" si="18"/>
        <v>1614.6532083103079</v>
      </c>
      <c r="S48" s="18">
        <f t="shared" si="19"/>
        <v>380.70148297625963</v>
      </c>
      <c r="V48" s="15">
        <f t="shared" si="20"/>
        <v>0.54082509115089494</v>
      </c>
      <c r="W48" s="15">
        <f t="shared" si="10"/>
        <v>0.41640013094680883</v>
      </c>
      <c r="X48" s="15">
        <f t="shared" si="2"/>
        <v>0.1275152541562643</v>
      </c>
      <c r="Y48" s="15">
        <f t="shared" si="3"/>
        <v>9.8178448813073721E-2</v>
      </c>
      <c r="Z48" s="48"/>
      <c r="AA48" s="18">
        <f t="shared" si="11"/>
        <v>1541.6154290754021</v>
      </c>
      <c r="AB48" s="48">
        <f t="shared" si="21"/>
        <v>73.037779234905969</v>
      </c>
      <c r="AC48" s="48">
        <f t="shared" si="12"/>
        <v>1614.6532083103079</v>
      </c>
      <c r="AD48" s="18">
        <f t="shared" si="4"/>
        <v>380.70148297625963</v>
      </c>
    </row>
    <row r="49" spans="1:30" x14ac:dyDescent="0.2">
      <c r="A49">
        <v>43</v>
      </c>
      <c r="C49" s="19">
        <f t="shared" si="0"/>
        <v>0.1958</v>
      </c>
      <c r="E49" s="23">
        <f t="shared" si="5"/>
        <v>3.1761746871396643E-2</v>
      </c>
      <c r="F49" s="23">
        <f t="shared" si="6"/>
        <v>0.33013201219724708</v>
      </c>
      <c r="G49" s="23">
        <f t="shared" si="7"/>
        <v>465.47830153796514</v>
      </c>
      <c r="H49" s="23">
        <f t="shared" si="23"/>
        <v>534.15980470296518</v>
      </c>
      <c r="I49" s="15">
        <f t="shared" si="8"/>
        <v>999.99999999999898</v>
      </c>
      <c r="K49" s="15">
        <f t="shared" si="14"/>
        <v>0.36189375906864374</v>
      </c>
      <c r="L49" s="15">
        <f t="shared" si="9"/>
        <v>0.27777266867576211</v>
      </c>
      <c r="M49" s="15">
        <f t="shared" si="15"/>
        <v>8.2441531802835491E-2</v>
      </c>
      <c r="N49" s="15">
        <f t="shared" si="16"/>
        <v>6.3278251488851106E-2</v>
      </c>
      <c r="O49" s="15"/>
      <c r="P49" s="18">
        <f t="shared" si="17"/>
        <v>1038.0386568988363</v>
      </c>
      <c r="Q49" s="18">
        <f t="shared" si="1"/>
        <v>49.51980182958706</v>
      </c>
      <c r="R49" s="18">
        <f t="shared" si="18"/>
        <v>1087.5584587284234</v>
      </c>
      <c r="S49" s="18">
        <f t="shared" si="19"/>
        <v>247.75222842595477</v>
      </c>
      <c r="V49" s="15">
        <f t="shared" si="20"/>
        <v>0.36189375906864374</v>
      </c>
      <c r="W49" s="15">
        <f t="shared" si="10"/>
        <v>0.27777266867576211</v>
      </c>
      <c r="X49" s="15">
        <f t="shared" si="2"/>
        <v>8.2441531802835491E-2</v>
      </c>
      <c r="Y49" s="15">
        <f t="shared" si="3"/>
        <v>6.3278251488851106E-2</v>
      </c>
      <c r="Z49" s="48"/>
      <c r="AA49" s="18">
        <f t="shared" si="11"/>
        <v>1038.0386568988363</v>
      </c>
      <c r="AB49" s="48">
        <f t="shared" si="21"/>
        <v>49.51980182958706</v>
      </c>
      <c r="AC49" s="48">
        <f t="shared" si="12"/>
        <v>1087.5584587284234</v>
      </c>
      <c r="AD49" s="18">
        <f t="shared" si="4"/>
        <v>247.75222842595477</v>
      </c>
    </row>
    <row r="50" spans="1:30" x14ac:dyDescent="0.2">
      <c r="A50">
        <v>44</v>
      </c>
      <c r="C50" s="19">
        <f t="shared" si="0"/>
        <v>0.1958</v>
      </c>
      <c r="E50" s="23">
        <f t="shared" si="5"/>
        <v>1.855521252226992E-2</v>
      </c>
      <c r="F50" s="23">
        <f t="shared" si="6"/>
        <v>0.2229599466911463</v>
      </c>
      <c r="G50" s="23">
        <f t="shared" si="7"/>
        <v>465.52782133979474</v>
      </c>
      <c r="H50" s="23">
        <f t="shared" si="23"/>
        <v>534.23066350099089</v>
      </c>
      <c r="I50" s="15">
        <f t="shared" si="8"/>
        <v>999.99999999999909</v>
      </c>
      <c r="K50" s="15">
        <f t="shared" si="14"/>
        <v>0.24151515921341621</v>
      </c>
      <c r="L50" s="15">
        <f t="shared" si="9"/>
        <v>0.18484741191451615</v>
      </c>
      <c r="M50" s="15">
        <f t="shared" si="15"/>
        <v>5.3158045490781014E-2</v>
      </c>
      <c r="N50" s="15">
        <f t="shared" si="16"/>
        <v>4.0685343161925805E-2</v>
      </c>
      <c r="O50" s="15"/>
      <c r="P50" s="18">
        <f t="shared" si="17"/>
        <v>696.71265885684375</v>
      </c>
      <c r="Q50" s="18">
        <f t="shared" si="1"/>
        <v>33.443992003671944</v>
      </c>
      <c r="R50" s="18">
        <f t="shared" si="18"/>
        <v>730.1566508605157</v>
      </c>
      <c r="S50" s="18">
        <f t="shared" si="19"/>
        <v>160.70916868427983</v>
      </c>
      <c r="V50" s="15">
        <f t="shared" si="20"/>
        <v>0.24151515921341621</v>
      </c>
      <c r="W50" s="15">
        <f t="shared" si="10"/>
        <v>0.18484741191451615</v>
      </c>
      <c r="X50" s="15">
        <f t="shared" si="2"/>
        <v>5.3158045490781014E-2</v>
      </c>
      <c r="Y50" s="15">
        <f t="shared" si="3"/>
        <v>4.0685343161925805E-2</v>
      </c>
      <c r="Z50" s="48"/>
      <c r="AA50" s="18">
        <f t="shared" si="11"/>
        <v>696.71265885684375</v>
      </c>
      <c r="AB50" s="48">
        <f t="shared" si="21"/>
        <v>33.443992003671944</v>
      </c>
      <c r="AC50" s="48">
        <f t="shared" si="12"/>
        <v>730.1566508605157</v>
      </c>
      <c r="AD50" s="18">
        <f t="shared" si="4"/>
        <v>160.70916868427983</v>
      </c>
    </row>
    <row r="51" spans="1:30" x14ac:dyDescent="0.2">
      <c r="A51">
        <v>45</v>
      </c>
      <c r="C51" s="19">
        <f t="shared" si="0"/>
        <v>0.1958</v>
      </c>
      <c r="E51" s="23">
        <f t="shared" si="5"/>
        <v>1.0747179092898738E-2</v>
      </c>
      <c r="F51" s="23">
        <f t="shared" si="6"/>
        <v>0.15003531994285862</v>
      </c>
      <c r="G51" s="23">
        <f t="shared" si="7"/>
        <v>465.56126533179844</v>
      </c>
      <c r="H51" s="23">
        <f t="shared" si="23"/>
        <v>534.27795216916491</v>
      </c>
      <c r="I51" s="15">
        <f t="shared" si="8"/>
        <v>999.99999999999909</v>
      </c>
      <c r="K51" s="15">
        <f t="shared" si="14"/>
        <v>0.16078249903575736</v>
      </c>
      <c r="L51" s="15">
        <f t="shared" si="9"/>
        <v>0.12273631009539777</v>
      </c>
      <c r="M51" s="15">
        <f t="shared" si="15"/>
        <v>3.4191884196085966E-2</v>
      </c>
      <c r="N51" s="15">
        <f t="shared" si="16"/>
        <v>2.6101010536622112E-2</v>
      </c>
      <c r="O51" s="15"/>
      <c r="P51" s="18">
        <f t="shared" si="17"/>
        <v>466.22672846792398</v>
      </c>
      <c r="Q51" s="18">
        <f t="shared" si="1"/>
        <v>22.505297991428794</v>
      </c>
      <c r="R51" s="18">
        <f t="shared" si="18"/>
        <v>488.73202645935277</v>
      </c>
      <c r="S51" s="18">
        <f t="shared" si="19"/>
        <v>103.93338175382029</v>
      </c>
      <c r="V51" s="15">
        <f t="shared" si="20"/>
        <v>0.16078249903575736</v>
      </c>
      <c r="W51" s="15">
        <f t="shared" si="10"/>
        <v>0.12273631009539777</v>
      </c>
      <c r="X51" s="15">
        <f t="shared" si="2"/>
        <v>3.4191884196085966E-2</v>
      </c>
      <c r="Y51" s="15">
        <f t="shared" si="3"/>
        <v>2.6101010536622112E-2</v>
      </c>
      <c r="Z51" s="48"/>
      <c r="AA51" s="18">
        <f t="shared" si="11"/>
        <v>466.22672846792398</v>
      </c>
      <c r="AB51" s="48">
        <f>Q51</f>
        <v>22.505297991428794</v>
      </c>
      <c r="AC51" s="48">
        <f t="shared" si="12"/>
        <v>488.73202645935277</v>
      </c>
      <c r="AD51" s="18">
        <f t="shared" si="4"/>
        <v>103.93338175382029</v>
      </c>
    </row>
    <row r="52" spans="1:30" x14ac:dyDescent="0.2">
      <c r="F52" s="23"/>
      <c r="G52" s="47"/>
      <c r="K52" s="6"/>
      <c r="L52" s="6"/>
      <c r="M52" s="58" t="s">
        <v>71</v>
      </c>
      <c r="N52" s="58"/>
      <c r="O52" s="16"/>
      <c r="P52" s="6"/>
      <c r="Q52" s="6"/>
      <c r="R52" s="6"/>
      <c r="S52" s="6" t="s">
        <v>71</v>
      </c>
      <c r="V52" s="6"/>
      <c r="W52" s="6"/>
      <c r="X52" s="58" t="s">
        <v>71</v>
      </c>
      <c r="Y52" s="58"/>
      <c r="Z52" s="48"/>
      <c r="AA52" s="6"/>
      <c r="AB52" s="6"/>
      <c r="AC52" s="6"/>
      <c r="AD52" s="6" t="s">
        <v>71</v>
      </c>
    </row>
    <row r="53" spans="1:30" x14ac:dyDescent="0.2">
      <c r="K53" s="6" t="str">
        <f>K4</f>
        <v>Life years</v>
      </c>
      <c r="L53" s="6" t="str">
        <f>L4</f>
        <v>QALYs</v>
      </c>
      <c r="M53" s="6" t="str">
        <f>M4</f>
        <v>Life years</v>
      </c>
      <c r="N53" s="6" t="str">
        <f>N4</f>
        <v>QALYs</v>
      </c>
      <c r="O53" s="6"/>
      <c r="P53" s="6" t="str">
        <f>P4</f>
        <v>StateCost</v>
      </c>
      <c r="Q53" s="6" t="str">
        <f>Q4</f>
        <v>TransCost</v>
      </c>
      <c r="R53" s="6" t="str">
        <f>R4</f>
        <v>TotalCost</v>
      </c>
      <c r="S53" s="6" t="str">
        <f>S4</f>
        <v>Total cost</v>
      </c>
      <c r="V53" s="6" t="str">
        <f>V4</f>
        <v>Life years</v>
      </c>
      <c r="W53" s="6" t="str">
        <f>W4</f>
        <v>QALYs</v>
      </c>
      <c r="X53" s="6" t="str">
        <f>X4</f>
        <v>Life years</v>
      </c>
      <c r="Y53" s="6" t="str">
        <f>Y4</f>
        <v>QALYs</v>
      </c>
      <c r="Z53" s="48"/>
      <c r="AA53" s="6" t="str">
        <f>AA4</f>
        <v>StateCost</v>
      </c>
      <c r="AB53" s="6" t="str">
        <f>AB4</f>
        <v>TransCost</v>
      </c>
      <c r="AC53" s="6" t="str">
        <f>AC4</f>
        <v>TotalCost</v>
      </c>
      <c r="AD53" s="6" t="str">
        <f>AD4</f>
        <v>Total cost</v>
      </c>
    </row>
    <row r="54" spans="1:30" x14ac:dyDescent="0.2">
      <c r="J54" s="6" t="s">
        <v>64</v>
      </c>
      <c r="K54" s="23">
        <f>SUM(K6:K53)</f>
        <v>15860.229143787123</v>
      </c>
      <c r="L54" s="23">
        <f>SUM(L7:L51)</f>
        <v>14446.43932575804</v>
      </c>
      <c r="M54" s="23">
        <f>SUM(M6:M51)</f>
        <v>11413.171398684999</v>
      </c>
      <c r="N54" s="23">
        <f>SUM(N6:N51)</f>
        <v>10479.464893454904</v>
      </c>
      <c r="O54" s="6"/>
      <c r="P54" s="24">
        <f>SUM(P6:P53)</f>
        <v>28446181.421978574</v>
      </c>
      <c r="Q54" s="24">
        <f>SUM(Q6:Q50)</f>
        <v>465561.26533179835</v>
      </c>
      <c r="R54" s="24">
        <f>SUM(R6:R51)</f>
        <v>28911765.19260836</v>
      </c>
      <c r="S54" s="24">
        <f>SUM(S6:S51)</f>
        <v>20114902.564218171</v>
      </c>
      <c r="V54" s="23">
        <f>SUM(V6:V51)</f>
        <v>16360.229143787123</v>
      </c>
      <c r="W54" s="23">
        <f>SUM(W6:W51)</f>
        <v>14921.43932575804</v>
      </c>
      <c r="X54" s="23">
        <f>SUM(X6:X51)</f>
        <v>11913.171398684999</v>
      </c>
      <c r="Y54" s="23">
        <f>SUM(Y6:Y51)</f>
        <v>10954.464893454904</v>
      </c>
      <c r="Z54" s="48"/>
      <c r="AA54" s="24">
        <f>SUM(AA6:AA51)</f>
        <v>29196181.421978574</v>
      </c>
      <c r="AB54" s="24">
        <f>SUM(AB6:AB51)</f>
        <v>465583.7706297898</v>
      </c>
      <c r="AC54" s="24">
        <f>SUM(AC6:AC51)</f>
        <v>29661765.19260836</v>
      </c>
      <c r="AD54" s="24">
        <f>SUM(AD6:AD51)</f>
        <v>20864902.564218171</v>
      </c>
    </row>
    <row r="55" spans="1:30" x14ac:dyDescent="0.2">
      <c r="J55" s="6" t="s">
        <v>65</v>
      </c>
      <c r="K55" s="20">
        <f>K54/1000</f>
        <v>15.860229143787123</v>
      </c>
      <c r="L55" s="20">
        <f t="shared" ref="L55:S55" si="24">L54/1000</f>
        <v>14.446439325758039</v>
      </c>
      <c r="M55" s="20">
        <f t="shared" si="24"/>
        <v>11.413171398685</v>
      </c>
      <c r="N55" s="21">
        <f t="shared" si="24"/>
        <v>10.479464893454905</v>
      </c>
      <c r="O55" s="6"/>
      <c r="P55" s="24">
        <f t="shared" si="24"/>
        <v>28446.181421978574</v>
      </c>
      <c r="Q55" s="24">
        <f t="shared" si="24"/>
        <v>465.56126533179832</v>
      </c>
      <c r="R55" s="24">
        <f t="shared" si="24"/>
        <v>28911.76519260836</v>
      </c>
      <c r="S55" s="24">
        <f t="shared" si="24"/>
        <v>20114.90256421817</v>
      </c>
      <c r="V55" s="20">
        <f>V54/1000</f>
        <v>16.360229143787123</v>
      </c>
      <c r="W55" s="20">
        <f>W54/1000</f>
        <v>14.92143932575804</v>
      </c>
      <c r="X55" s="20">
        <f>X54/1000</f>
        <v>11.913171398685</v>
      </c>
      <c r="Y55" s="21">
        <f>Y54/1000</f>
        <v>10.954464893454904</v>
      </c>
      <c r="Z55" s="48"/>
      <c r="AA55" s="24">
        <f>AA54/1000</f>
        <v>29196.181421978574</v>
      </c>
      <c r="AB55" s="24">
        <f>AB54/1000</f>
        <v>465.5837706297898</v>
      </c>
      <c r="AC55" s="24">
        <f>AC54/1000</f>
        <v>29661.76519260836</v>
      </c>
      <c r="AD55" s="24">
        <f>AD54/1000</f>
        <v>20864.90256421817</v>
      </c>
    </row>
    <row r="56" spans="1:30" x14ac:dyDescent="0.2">
      <c r="Z56" s="48"/>
    </row>
    <row r="57" spans="1:30" x14ac:dyDescent="0.2">
      <c r="Z57" s="48"/>
    </row>
    <row r="58" spans="1:30" x14ac:dyDescent="0.2">
      <c r="Z58" s="48"/>
    </row>
    <row r="59" spans="1:30" x14ac:dyDescent="0.2">
      <c r="N59" s="12"/>
      <c r="Z59" s="48"/>
    </row>
    <row r="60" spans="1:30" x14ac:dyDescent="0.2">
      <c r="Z60" s="48"/>
    </row>
    <row r="61" spans="1:30" x14ac:dyDescent="0.2">
      <c r="Z61" s="48"/>
    </row>
    <row r="62" spans="1:30" x14ac:dyDescent="0.2">
      <c r="Z62" s="48"/>
    </row>
    <row r="63" spans="1:30" x14ac:dyDescent="0.2">
      <c r="Z63" s="48"/>
    </row>
    <row r="64" spans="1:30" x14ac:dyDescent="0.2">
      <c r="Z64" s="48"/>
    </row>
    <row r="65" spans="26:26" x14ac:dyDescent="0.2">
      <c r="Z65" s="48"/>
    </row>
    <row r="66" spans="26:26" x14ac:dyDescent="0.2">
      <c r="Z66" s="48"/>
    </row>
    <row r="67" spans="26:26" x14ac:dyDescent="0.2">
      <c r="Z67" s="48"/>
    </row>
    <row r="68" spans="26:26" x14ac:dyDescent="0.2">
      <c r="Z68" s="48"/>
    </row>
    <row r="69" spans="26:26" x14ac:dyDescent="0.2">
      <c r="Z69" s="48"/>
    </row>
    <row r="70" spans="26:26" x14ac:dyDescent="0.2">
      <c r="Z70" s="48"/>
    </row>
    <row r="71" spans="26:26" x14ac:dyDescent="0.2">
      <c r="Z71" s="48"/>
    </row>
    <row r="72" spans="26:26" x14ac:dyDescent="0.2">
      <c r="Z72" s="48"/>
    </row>
  </sheetData>
  <mergeCells count="5">
    <mergeCell ref="E3:H3"/>
    <mergeCell ref="M3:N3"/>
    <mergeCell ref="M52:N52"/>
    <mergeCell ref="V2:AD2"/>
    <mergeCell ref="X52:Y52"/>
  </mergeCells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1008"/>
  <sheetViews>
    <sheetView topLeftCell="P1" workbookViewId="0">
      <pane ySplit="4" topLeftCell="A41" activePane="bottomLeft" state="frozen"/>
      <selection pane="bottomLeft" activeCell="Z63" sqref="Z63:AA63"/>
    </sheetView>
  </sheetViews>
  <sheetFormatPr defaultRowHeight="12.75" x14ac:dyDescent="0.2"/>
  <cols>
    <col min="5" max="5" width="14.28515625" bestFit="1" customWidth="1"/>
    <col min="9" max="10" width="12" bestFit="1" customWidth="1"/>
    <col min="11" max="11" width="2.5703125" style="30" customWidth="1"/>
    <col min="18" max="18" width="2.28515625" style="30" customWidth="1"/>
    <col min="19" max="19" width="22" bestFit="1" customWidth="1"/>
    <col min="20" max="20" width="11.5703125" bestFit="1" customWidth="1"/>
    <col min="21" max="21" width="2.28515625" style="30" customWidth="1"/>
    <col min="22" max="22" width="14.28515625" bestFit="1" customWidth="1"/>
    <col min="23" max="23" width="11.5703125" bestFit="1" customWidth="1"/>
    <col min="24" max="24" width="2.28515625" style="30" customWidth="1"/>
    <col min="25" max="25" width="17.85546875" bestFit="1" customWidth="1"/>
    <col min="26" max="26" width="14.28515625" bestFit="1" customWidth="1"/>
    <col min="27" max="27" width="11.5703125" bestFit="1" customWidth="1"/>
  </cols>
  <sheetData>
    <row r="1" spans="1:27" x14ac:dyDescent="0.2">
      <c r="L1" t="s">
        <v>85</v>
      </c>
      <c r="S1" s="15" t="s">
        <v>102</v>
      </c>
      <c r="T1">
        <v>100000</v>
      </c>
    </row>
    <row r="2" spans="1:27" x14ac:dyDescent="0.2">
      <c r="B2" s="60" t="s">
        <v>2</v>
      </c>
      <c r="C2" s="60"/>
      <c r="D2" s="60"/>
      <c r="E2" t="s">
        <v>3</v>
      </c>
      <c r="F2" s="60" t="s">
        <v>4</v>
      </c>
      <c r="G2" s="60"/>
      <c r="H2" s="60" t="s">
        <v>5</v>
      </c>
      <c r="I2" s="60"/>
      <c r="J2" t="s">
        <v>84</v>
      </c>
      <c r="L2" t="s">
        <v>66</v>
      </c>
      <c r="O2" t="s">
        <v>73</v>
      </c>
      <c r="S2" s="15" t="s">
        <v>99</v>
      </c>
      <c r="T2" s="55"/>
      <c r="V2" t="s">
        <v>100</v>
      </c>
      <c r="Y2" t="s">
        <v>101</v>
      </c>
    </row>
    <row r="3" spans="1:27" x14ac:dyDescent="0.2">
      <c r="B3" t="str">
        <f>Parameters!A12</f>
        <v>cAsymp</v>
      </c>
      <c r="C3" t="str">
        <f>Parameters!A13</f>
        <v>cProg</v>
      </c>
      <c r="D3" t="str">
        <f>Parameters!A14</f>
        <v>cDrug</v>
      </c>
      <c r="E3" t="str">
        <f>Parameters!A15</f>
        <v>cDeath</v>
      </c>
      <c r="F3" t="str">
        <f>Parameters!A19</f>
        <v>uAsymp</v>
      </c>
      <c r="G3" t="str">
        <f>Parameters!A20</f>
        <v>uProg</v>
      </c>
      <c r="H3" t="str">
        <f>Parameters!A25</f>
        <v>tpProg</v>
      </c>
      <c r="I3" t="str">
        <f>Parameters!A26</f>
        <v>tpDcm</v>
      </c>
      <c r="J3" t="str">
        <f>Parameters!A33</f>
        <v>Eff</v>
      </c>
      <c r="L3" t="s">
        <v>86</v>
      </c>
      <c r="M3" t="s">
        <v>70</v>
      </c>
      <c r="N3" t="s">
        <v>60</v>
      </c>
      <c r="O3" t="s">
        <v>86</v>
      </c>
      <c r="P3" t="s">
        <v>70</v>
      </c>
      <c r="Q3" t="s">
        <v>60</v>
      </c>
      <c r="S3" t="s">
        <v>66</v>
      </c>
      <c r="T3" t="s">
        <v>73</v>
      </c>
      <c r="V3" t="s">
        <v>66</v>
      </c>
      <c r="W3" t="s">
        <v>73</v>
      </c>
      <c r="Y3" s="56" t="s">
        <v>103</v>
      </c>
      <c r="Z3" t="s">
        <v>66</v>
      </c>
      <c r="AA3" t="s">
        <v>73</v>
      </c>
    </row>
    <row r="4" spans="1:27" x14ac:dyDescent="0.2">
      <c r="B4" s="24">
        <f>cAsymp</f>
        <v>500</v>
      </c>
      <c r="C4" s="24">
        <f>cProg</f>
        <v>3000</v>
      </c>
      <c r="D4" s="24">
        <f>cDrug</f>
        <v>1000</v>
      </c>
      <c r="E4" s="24">
        <f>cDeath</f>
        <v>1000</v>
      </c>
      <c r="F4" s="22">
        <f>uAsymp</f>
        <v>0.95</v>
      </c>
      <c r="G4" s="22">
        <f>uProg</f>
        <v>0.75</v>
      </c>
      <c r="H4" s="22">
        <f>tpProg</f>
        <v>0.01</v>
      </c>
      <c r="I4" s="22">
        <f>tpDcm</f>
        <v>0.15</v>
      </c>
      <c r="J4" s="22">
        <f>Eff</f>
        <v>0.5</v>
      </c>
      <c r="L4" s="24">
        <f>'No drug'!$S$55</f>
        <v>11831.502756269565</v>
      </c>
      <c r="M4" s="20">
        <f>'No drug'!$M$55</f>
        <v>10.237721047153583</v>
      </c>
      <c r="N4" s="20">
        <f>'No drug'!$N$55</f>
        <v>9.2192204866681529</v>
      </c>
      <c r="O4" s="24">
        <f>Drug!$S$55</f>
        <v>20114.90256421817</v>
      </c>
      <c r="P4" s="20">
        <f>Drug!$M$55</f>
        <v>11.413171398685</v>
      </c>
      <c r="Q4" s="20">
        <f>Drug!$N$55</f>
        <v>10.479464893454905</v>
      </c>
      <c r="S4" s="24">
        <f>AVERAGE(S6:S1004)</f>
        <v>913058.21827707964</v>
      </c>
      <c r="T4" s="24">
        <f>AVERAGE(T6:T1004)</f>
        <v>1030187.5381678775</v>
      </c>
      <c r="V4" s="20">
        <f>AVERAGE(V6:V1005)</f>
        <v>0</v>
      </c>
      <c r="W4" s="20">
        <f>AVERAGE(W6:W1005)</f>
        <v>1</v>
      </c>
      <c r="Z4" s="56"/>
    </row>
    <row r="5" spans="1:27" x14ac:dyDescent="0.2">
      <c r="A5" t="s">
        <v>83</v>
      </c>
    </row>
    <row r="6" spans="1:27" x14ac:dyDescent="0.2">
      <c r="A6">
        <v>1</v>
      </c>
      <c r="B6">
        <v>452.82935559482161</v>
      </c>
      <c r="C6">
        <v>2516.4951542716103</v>
      </c>
      <c r="D6">
        <v>1133.1357443475149</v>
      </c>
      <c r="E6">
        <v>896.85291556680386</v>
      </c>
      <c r="F6">
        <v>0.9069551652208534</v>
      </c>
      <c r="G6">
        <v>0.65132650875616815</v>
      </c>
      <c r="H6">
        <v>9.4823919605699272E-3</v>
      </c>
      <c r="I6">
        <v>0.11283421529689562</v>
      </c>
      <c r="J6">
        <v>0.47840561182797992</v>
      </c>
      <c r="L6">
        <v>11224.057527099862</v>
      </c>
      <c r="M6">
        <v>10.783142694282418</v>
      </c>
      <c r="N6">
        <v>9.0310605592696191</v>
      </c>
      <c r="O6">
        <v>20889.265754848726</v>
      </c>
      <c r="P6">
        <v>11.860403302403359</v>
      </c>
      <c r="Q6">
        <v>10.241724469383801</v>
      </c>
      <c r="S6">
        <f>$T$1*N6-L6</f>
        <v>891881.99839986209</v>
      </c>
      <c r="T6">
        <f>$T$1*Q6-O6</f>
        <v>1003283.1811835314</v>
      </c>
      <c r="V6">
        <f t="shared" ref="V6:V69" si="0">IF(S6=MAX($S6:$T6),1,0)</f>
        <v>0</v>
      </c>
      <c r="W6">
        <f t="shared" ref="W6:W69" si="1">IF(T6=MAX($S6:$T6),1,0)</f>
        <v>1</v>
      </c>
      <c r="Y6">
        <v>0</v>
      </c>
      <c r="Z6">
        <v>1</v>
      </c>
      <c r="AA6">
        <v>0</v>
      </c>
    </row>
    <row r="7" spans="1:27" x14ac:dyDescent="0.2">
      <c r="A7">
        <v>2</v>
      </c>
      <c r="B7">
        <v>607.81702170701772</v>
      </c>
      <c r="C7">
        <v>3316.4759387983722</v>
      </c>
      <c r="D7">
        <v>1019.1148322193453</v>
      </c>
      <c r="E7">
        <v>1590.82115531166</v>
      </c>
      <c r="F7">
        <v>0.97326844024698389</v>
      </c>
      <c r="G7">
        <v>0.71449856984683369</v>
      </c>
      <c r="H7">
        <v>9.1513275283351004E-3</v>
      </c>
      <c r="I7">
        <v>8.5014932927905032E-2</v>
      </c>
      <c r="J7">
        <v>0.64518672340106586</v>
      </c>
      <c r="L7">
        <v>16311.348016837544</v>
      </c>
      <c r="M7">
        <v>11.27879459449667</v>
      </c>
      <c r="N7">
        <v>10.116891467581436</v>
      </c>
      <c r="O7">
        <v>24167.808881502482</v>
      </c>
      <c r="P7">
        <v>11.844893323648252</v>
      </c>
      <c r="Q7">
        <v>10.833829639107833</v>
      </c>
      <c r="S7">
        <f t="shared" ref="S7:S70" si="2">$T$1*N7-L7</f>
        <v>995377.79874130606</v>
      </c>
      <c r="T7">
        <f t="shared" ref="T7:T70" si="3">$T$1*Q7-O7</f>
        <v>1059215.155029281</v>
      </c>
      <c r="V7">
        <f t="shared" si="0"/>
        <v>0</v>
      </c>
      <c r="W7">
        <f t="shared" si="1"/>
        <v>1</v>
      </c>
      <c r="Y7">
        <v>100</v>
      </c>
      <c r="Z7">
        <v>1</v>
      </c>
      <c r="AA7">
        <v>0</v>
      </c>
    </row>
    <row r="8" spans="1:27" x14ac:dyDescent="0.2">
      <c r="A8">
        <v>3</v>
      </c>
      <c r="B8">
        <v>369.4474007955622</v>
      </c>
      <c r="C8">
        <v>1713.7681338875109</v>
      </c>
      <c r="D8">
        <v>775.91706291813705</v>
      </c>
      <c r="E8">
        <v>940.81991650333634</v>
      </c>
      <c r="F8">
        <v>0.93823071295517702</v>
      </c>
      <c r="G8">
        <v>0.80376674752829502</v>
      </c>
      <c r="H8">
        <v>1.060154031912406E-2</v>
      </c>
      <c r="I8">
        <v>0.13978061139855702</v>
      </c>
      <c r="J8">
        <v>0.47761989724754939</v>
      </c>
      <c r="L8">
        <v>7783.5559726681313</v>
      </c>
      <c r="M8">
        <v>10.248848250017723</v>
      </c>
      <c r="N8">
        <v>9.2516010812188796</v>
      </c>
      <c r="O8">
        <v>14474.458760232066</v>
      </c>
      <c r="P8">
        <v>11.472199174281197</v>
      </c>
      <c r="Q8">
        <v>10.507170416383937</v>
      </c>
      <c r="S8">
        <f t="shared" si="2"/>
        <v>917376.5521492199</v>
      </c>
      <c r="T8">
        <f t="shared" si="3"/>
        <v>1036242.5828781616</v>
      </c>
      <c r="V8">
        <f t="shared" si="0"/>
        <v>0</v>
      </c>
      <c r="W8">
        <f t="shared" si="1"/>
        <v>1</v>
      </c>
      <c r="Y8">
        <v>200</v>
      </c>
      <c r="Z8">
        <v>1</v>
      </c>
      <c r="AA8">
        <v>0</v>
      </c>
    </row>
    <row r="9" spans="1:27" x14ac:dyDescent="0.2">
      <c r="A9">
        <v>4</v>
      </c>
      <c r="B9">
        <v>362.2127637137674</v>
      </c>
      <c r="C9">
        <v>2706.377449562528</v>
      </c>
      <c r="D9">
        <v>1079.7751763263102</v>
      </c>
      <c r="E9">
        <v>1016.5553315214547</v>
      </c>
      <c r="F9">
        <v>0.9366662093754563</v>
      </c>
      <c r="G9">
        <v>0.79905070504769449</v>
      </c>
      <c r="H9">
        <v>1.2454557724996538E-2</v>
      </c>
      <c r="I9">
        <v>0.16106163683369079</v>
      </c>
      <c r="J9">
        <v>0.40114574011973075</v>
      </c>
      <c r="L9">
        <v>10112.606141676082</v>
      </c>
      <c r="M9">
        <v>9.7176608513576053</v>
      </c>
      <c r="N9">
        <v>8.7404410869109199</v>
      </c>
      <c r="O9">
        <v>18827.010542978449</v>
      </c>
      <c r="P9">
        <v>11.336468396395354</v>
      </c>
      <c r="Q9">
        <v>10.379514313428432</v>
      </c>
      <c r="S9">
        <f t="shared" si="2"/>
        <v>863931.50254941592</v>
      </c>
      <c r="T9">
        <f t="shared" si="3"/>
        <v>1019124.4207998648</v>
      </c>
      <c r="V9">
        <f t="shared" si="0"/>
        <v>0</v>
      </c>
      <c r="W9">
        <f t="shared" si="1"/>
        <v>1</v>
      </c>
      <c r="Y9">
        <v>300</v>
      </c>
      <c r="Z9">
        <v>1</v>
      </c>
      <c r="AA9">
        <v>0</v>
      </c>
    </row>
    <row r="10" spans="1:27" x14ac:dyDescent="0.2">
      <c r="A10">
        <v>5</v>
      </c>
      <c r="B10">
        <v>485.60119041761556</v>
      </c>
      <c r="C10">
        <v>1661.8675401588728</v>
      </c>
      <c r="D10">
        <v>1186.5932568828066</v>
      </c>
      <c r="E10">
        <v>1060.5839102752332</v>
      </c>
      <c r="F10">
        <v>0.93871495668786298</v>
      </c>
      <c r="G10">
        <v>0.80439328420449419</v>
      </c>
      <c r="H10">
        <v>1.1438256043083541E-2</v>
      </c>
      <c r="I10">
        <v>0.11774269841710591</v>
      </c>
      <c r="J10">
        <v>0.55914145601691501</v>
      </c>
      <c r="L10">
        <v>9069.6964917535697</v>
      </c>
      <c r="M10">
        <v>10.411871370441466</v>
      </c>
      <c r="N10">
        <v>9.359432620435534</v>
      </c>
      <c r="O10">
        <v>19215.034786976496</v>
      </c>
      <c r="P10">
        <v>11.327758483743068</v>
      </c>
      <c r="Q10">
        <v>10.313624323927337</v>
      </c>
      <c r="S10">
        <f t="shared" si="2"/>
        <v>926873.56555179984</v>
      </c>
      <c r="T10">
        <f t="shared" si="3"/>
        <v>1012147.3976057572</v>
      </c>
      <c r="V10">
        <f t="shared" si="0"/>
        <v>0</v>
      </c>
      <c r="W10">
        <f t="shared" si="1"/>
        <v>1</v>
      </c>
      <c r="Y10">
        <v>400</v>
      </c>
      <c r="Z10">
        <v>1</v>
      </c>
      <c r="AA10">
        <v>0</v>
      </c>
    </row>
    <row r="11" spans="1:27" x14ac:dyDescent="0.2">
      <c r="A11">
        <v>6</v>
      </c>
      <c r="B11">
        <v>473.38382026731051</v>
      </c>
      <c r="C11">
        <v>4130.395089643449</v>
      </c>
      <c r="D11">
        <v>992.67521342111388</v>
      </c>
      <c r="E11">
        <v>1438.1924040799713</v>
      </c>
      <c r="F11">
        <v>0.98173564285912085</v>
      </c>
      <c r="G11">
        <v>0.71566789147815457</v>
      </c>
      <c r="H11">
        <v>8.0768447200224008E-3</v>
      </c>
      <c r="I11">
        <v>0.20579595455458766</v>
      </c>
      <c r="J11">
        <v>0.45327736798068741</v>
      </c>
      <c r="L11">
        <v>12226.247223817514</v>
      </c>
      <c r="M11">
        <v>10.177459951809515</v>
      </c>
      <c r="N11">
        <v>9.4929300553503371</v>
      </c>
      <c r="O11">
        <v>20637.213344073567</v>
      </c>
      <c r="P11">
        <v>11.594093717765087</v>
      </c>
      <c r="Q11">
        <v>11.055214988149526</v>
      </c>
      <c r="S11">
        <f t="shared" si="2"/>
        <v>937066.75831121625</v>
      </c>
      <c r="T11">
        <f t="shared" si="3"/>
        <v>1084884.2854708789</v>
      </c>
      <c r="V11">
        <f t="shared" si="0"/>
        <v>0</v>
      </c>
      <c r="W11">
        <f t="shared" si="1"/>
        <v>1</v>
      </c>
      <c r="Y11">
        <v>500</v>
      </c>
      <c r="Z11">
        <v>1</v>
      </c>
      <c r="AA11">
        <v>0</v>
      </c>
    </row>
    <row r="12" spans="1:27" x14ac:dyDescent="0.2">
      <c r="A12">
        <v>7</v>
      </c>
      <c r="B12">
        <v>435.80062073458708</v>
      </c>
      <c r="C12">
        <v>2743.2496994873277</v>
      </c>
      <c r="D12">
        <v>1116.0937996792304</v>
      </c>
      <c r="E12">
        <v>959.40811812433537</v>
      </c>
      <c r="F12">
        <v>0.91177675891651544</v>
      </c>
      <c r="G12">
        <v>0.80732295659719355</v>
      </c>
      <c r="H12">
        <v>9.7633666159195262E-3</v>
      </c>
      <c r="I12">
        <v>0.16010585923526466</v>
      </c>
      <c r="J12">
        <v>0.47119067132421727</v>
      </c>
      <c r="L12">
        <v>10358.325225069859</v>
      </c>
      <c r="M12">
        <v>10.178471201885273</v>
      </c>
      <c r="N12">
        <v>9.0291249818640829</v>
      </c>
      <c r="O12">
        <v>20041.245302568932</v>
      </c>
      <c r="P12">
        <v>11.472925327273186</v>
      </c>
      <c r="Q12">
        <v>10.287055182986656</v>
      </c>
      <c r="S12">
        <f t="shared" si="2"/>
        <v>892554.17296133842</v>
      </c>
      <c r="T12">
        <f t="shared" si="3"/>
        <v>1008664.2729960966</v>
      </c>
      <c r="V12">
        <f t="shared" si="0"/>
        <v>0</v>
      </c>
      <c r="W12">
        <f t="shared" si="1"/>
        <v>1</v>
      </c>
      <c r="Y12">
        <v>600</v>
      </c>
      <c r="Z12">
        <v>1</v>
      </c>
      <c r="AA12">
        <v>0</v>
      </c>
    </row>
    <row r="13" spans="1:27" x14ac:dyDescent="0.2">
      <c r="A13">
        <v>8</v>
      </c>
      <c r="B13">
        <v>407.07820247006003</v>
      </c>
      <c r="C13">
        <v>3988.6932458545275</v>
      </c>
      <c r="D13">
        <v>882.90621736084904</v>
      </c>
      <c r="E13">
        <v>806.21924877435561</v>
      </c>
      <c r="F13">
        <v>0.92540035325900949</v>
      </c>
      <c r="G13">
        <v>0.86448307998567731</v>
      </c>
      <c r="H13">
        <v>9.8364143770497854E-3</v>
      </c>
      <c r="I13">
        <v>0.15051481068806927</v>
      </c>
      <c r="J13">
        <v>0.48799702566558317</v>
      </c>
      <c r="L13">
        <v>13474.980037443967</v>
      </c>
      <c r="M13">
        <v>10.261868405367574</v>
      </c>
      <c r="N13">
        <v>9.3433823063177996</v>
      </c>
      <c r="O13">
        <v>19790.889566435599</v>
      </c>
      <c r="P13">
        <v>11.472461567672806</v>
      </c>
      <c r="Q13">
        <v>10.508794417475524</v>
      </c>
      <c r="S13">
        <f t="shared" si="2"/>
        <v>920863.25059433607</v>
      </c>
      <c r="T13">
        <f t="shared" si="3"/>
        <v>1031088.5521811169</v>
      </c>
      <c r="V13">
        <f t="shared" si="0"/>
        <v>0</v>
      </c>
      <c r="W13">
        <f t="shared" si="1"/>
        <v>1</v>
      </c>
      <c r="Y13">
        <v>700</v>
      </c>
      <c r="Z13">
        <v>1</v>
      </c>
      <c r="AA13">
        <v>0</v>
      </c>
    </row>
    <row r="14" spans="1:27" x14ac:dyDescent="0.2">
      <c r="A14">
        <v>9</v>
      </c>
      <c r="B14">
        <v>339.61920311955919</v>
      </c>
      <c r="C14">
        <v>2389.739421917544</v>
      </c>
      <c r="D14">
        <v>1014.3528822689162</v>
      </c>
      <c r="E14">
        <v>707.426535196131</v>
      </c>
      <c r="F14">
        <v>0.93556777716290185</v>
      </c>
      <c r="G14">
        <v>0.79391183140778576</v>
      </c>
      <c r="H14">
        <v>9.9715908712153384E-3</v>
      </c>
      <c r="I14">
        <v>0.21836293773223925</v>
      </c>
      <c r="J14">
        <v>0.4963727968860131</v>
      </c>
      <c r="L14">
        <v>7605.7454627047464</v>
      </c>
      <c r="M14">
        <v>9.6725367182364046</v>
      </c>
      <c r="N14">
        <v>8.7716835615582074</v>
      </c>
      <c r="O14">
        <v>16617.577482327211</v>
      </c>
      <c r="P14">
        <v>11.033833966140607</v>
      </c>
      <c r="Q14">
        <v>10.123184680010551</v>
      </c>
      <c r="S14">
        <f t="shared" si="2"/>
        <v>869562.61069311597</v>
      </c>
      <c r="T14">
        <f t="shared" si="3"/>
        <v>995700.89051872783</v>
      </c>
      <c r="V14">
        <f t="shared" si="0"/>
        <v>0</v>
      </c>
      <c r="W14">
        <f t="shared" si="1"/>
        <v>1</v>
      </c>
      <c r="Y14">
        <v>800</v>
      </c>
      <c r="Z14">
        <v>1</v>
      </c>
      <c r="AA14">
        <v>0</v>
      </c>
    </row>
    <row r="15" spans="1:27" x14ac:dyDescent="0.2">
      <c r="A15">
        <v>10</v>
      </c>
      <c r="B15">
        <v>375.64975413994404</v>
      </c>
      <c r="C15">
        <v>2764.9900777571843</v>
      </c>
      <c r="D15">
        <v>1078.32009469027</v>
      </c>
      <c r="E15">
        <v>1114.9656385711028</v>
      </c>
      <c r="F15">
        <v>0.9823965451337503</v>
      </c>
      <c r="G15">
        <v>0.6769301010739659</v>
      </c>
      <c r="H15">
        <v>9.1162631574451137E-3</v>
      </c>
      <c r="I15">
        <v>0.11096117114694726</v>
      </c>
      <c r="J15">
        <v>0.39162080051901338</v>
      </c>
      <c r="L15">
        <v>11387.831007293962</v>
      </c>
      <c r="M15">
        <v>10.871060287578381</v>
      </c>
      <c r="N15">
        <v>9.7918640377096935</v>
      </c>
      <c r="O15">
        <v>20214.174610751354</v>
      </c>
      <c r="P15">
        <v>12.174470334227687</v>
      </c>
      <c r="Q15">
        <v>11.425150577101755</v>
      </c>
      <c r="S15">
        <f t="shared" si="2"/>
        <v>967798.57276367536</v>
      </c>
      <c r="T15">
        <f t="shared" si="3"/>
        <v>1122300.883099424</v>
      </c>
      <c r="V15">
        <f t="shared" si="0"/>
        <v>0</v>
      </c>
      <c r="W15">
        <f t="shared" si="1"/>
        <v>1</v>
      </c>
      <c r="Y15">
        <v>900</v>
      </c>
      <c r="Z15">
        <v>1</v>
      </c>
      <c r="AA15">
        <v>0</v>
      </c>
    </row>
    <row r="16" spans="1:27" x14ac:dyDescent="0.2">
      <c r="A16">
        <v>11</v>
      </c>
      <c r="B16">
        <v>466.52468359226776</v>
      </c>
      <c r="C16">
        <v>3679.9094931992331</v>
      </c>
      <c r="D16">
        <v>899.87480478838188</v>
      </c>
      <c r="E16">
        <v>1110.716451693354</v>
      </c>
      <c r="F16">
        <v>0.93971560486678629</v>
      </c>
      <c r="G16">
        <v>0.7308829719025477</v>
      </c>
      <c r="H16">
        <v>9.8584535793791381E-3</v>
      </c>
      <c r="I16">
        <v>0.1924363784261357</v>
      </c>
      <c r="J16">
        <v>0.55183357990088855</v>
      </c>
      <c r="L16">
        <v>11926.0406586673</v>
      </c>
      <c r="M16">
        <v>9.8797210981466836</v>
      </c>
      <c r="N16">
        <v>8.8382709876050178</v>
      </c>
      <c r="O16">
        <v>19122.152132591273</v>
      </c>
      <c r="P16">
        <v>10.998311786512367</v>
      </c>
      <c r="Q16">
        <v>9.9969832986564136</v>
      </c>
      <c r="S16">
        <f t="shared" si="2"/>
        <v>871901.0581018345</v>
      </c>
      <c r="T16">
        <f t="shared" si="3"/>
        <v>980576.17773305008</v>
      </c>
      <c r="V16">
        <f t="shared" si="0"/>
        <v>0</v>
      </c>
      <c r="W16">
        <f t="shared" si="1"/>
        <v>1</v>
      </c>
      <c r="Y16">
        <v>1000</v>
      </c>
      <c r="Z16">
        <v>1</v>
      </c>
      <c r="AA16">
        <v>0</v>
      </c>
    </row>
    <row r="17" spans="1:27" x14ac:dyDescent="0.2">
      <c r="A17">
        <v>12</v>
      </c>
      <c r="B17">
        <v>503.88918375442557</v>
      </c>
      <c r="C17">
        <v>3127.5506451785359</v>
      </c>
      <c r="D17">
        <v>857.67993834423373</v>
      </c>
      <c r="E17">
        <v>814.12290013108145</v>
      </c>
      <c r="F17">
        <v>0.94284696736258045</v>
      </c>
      <c r="G17">
        <v>0.86861600661405092</v>
      </c>
      <c r="H17">
        <v>1.0014903752142149E-2</v>
      </c>
      <c r="I17">
        <v>0.1243278310109403</v>
      </c>
      <c r="J17">
        <v>0.48599694351921952</v>
      </c>
      <c r="L17">
        <v>13043.353697994889</v>
      </c>
      <c r="M17">
        <v>10.538439619928955</v>
      </c>
      <c r="N17">
        <v>9.7254700133647383</v>
      </c>
      <c r="O17">
        <v>19597.729524773265</v>
      </c>
      <c r="P17">
        <v>11.660161928840914</v>
      </c>
      <c r="Q17">
        <v>10.845794711685087</v>
      </c>
      <c r="S17">
        <f t="shared" si="2"/>
        <v>959503.64763847901</v>
      </c>
      <c r="T17">
        <f t="shared" si="3"/>
        <v>1064981.7416437354</v>
      </c>
      <c r="V17">
        <f t="shared" si="0"/>
        <v>0</v>
      </c>
      <c r="W17">
        <f t="shared" si="1"/>
        <v>1</v>
      </c>
      <c r="Y17">
        <v>1500</v>
      </c>
      <c r="Z17">
        <v>1</v>
      </c>
      <c r="AA17">
        <v>0</v>
      </c>
    </row>
    <row r="18" spans="1:27" x14ac:dyDescent="0.2">
      <c r="A18">
        <v>13</v>
      </c>
      <c r="B18">
        <v>487.11152518433602</v>
      </c>
      <c r="C18">
        <v>2559.0260558020004</v>
      </c>
      <c r="D18">
        <v>970.70282987677263</v>
      </c>
      <c r="E18">
        <v>1515.1505979068393</v>
      </c>
      <c r="F18">
        <v>0.90375997197005542</v>
      </c>
      <c r="G18">
        <v>0.76677843828127001</v>
      </c>
      <c r="H18">
        <v>9.7211420616631575E-3</v>
      </c>
      <c r="I18">
        <v>0.15394327317726009</v>
      </c>
      <c r="J18">
        <v>0.58130275792648722</v>
      </c>
      <c r="L18">
        <v>10670.5355410457</v>
      </c>
      <c r="M18">
        <v>10.247656790719123</v>
      </c>
      <c r="N18">
        <v>8.9239669488839102</v>
      </c>
      <c r="O18">
        <v>18860.109912903772</v>
      </c>
      <c r="P18">
        <v>11.188482874971603</v>
      </c>
      <c r="Q18">
        <v>9.850010511589236</v>
      </c>
      <c r="S18">
        <f t="shared" si="2"/>
        <v>881726.15934734535</v>
      </c>
      <c r="T18">
        <f t="shared" si="3"/>
        <v>966140.94124601991</v>
      </c>
      <c r="V18">
        <f t="shared" si="0"/>
        <v>0</v>
      </c>
      <c r="W18">
        <f t="shared" si="1"/>
        <v>1</v>
      </c>
      <c r="Y18">
        <v>2000</v>
      </c>
      <c r="Z18">
        <v>1</v>
      </c>
      <c r="AA18">
        <v>0</v>
      </c>
    </row>
    <row r="19" spans="1:27" x14ac:dyDescent="0.2">
      <c r="A19">
        <v>14</v>
      </c>
      <c r="B19">
        <v>294.44853674767455</v>
      </c>
      <c r="C19">
        <v>2751.3082912360519</v>
      </c>
      <c r="D19">
        <v>876.98809065370858</v>
      </c>
      <c r="E19">
        <v>1236.2654935068767</v>
      </c>
      <c r="F19">
        <v>0.97907295178892428</v>
      </c>
      <c r="G19">
        <v>0.78559441756115411</v>
      </c>
      <c r="H19">
        <v>1.0606993374240372E-2</v>
      </c>
      <c r="I19">
        <v>9.5938452566791718E-2</v>
      </c>
      <c r="J19">
        <v>0.51708044966838795</v>
      </c>
      <c r="L19">
        <v>11802.670019349032</v>
      </c>
      <c r="M19">
        <v>10.878059604917816</v>
      </c>
      <c r="N19">
        <v>10.004376845614013</v>
      </c>
      <c r="O19">
        <v>17955.481619429742</v>
      </c>
      <c r="P19">
        <v>11.794094777712846</v>
      </c>
      <c r="Q19">
        <v>11.075742563639018</v>
      </c>
      <c r="S19">
        <f t="shared" si="2"/>
        <v>988635.01454205229</v>
      </c>
      <c r="T19">
        <f t="shared" si="3"/>
        <v>1089618.774744472</v>
      </c>
      <c r="V19">
        <f t="shared" si="0"/>
        <v>0</v>
      </c>
      <c r="W19">
        <f t="shared" si="1"/>
        <v>1</v>
      </c>
      <c r="Y19">
        <v>2500</v>
      </c>
      <c r="Z19">
        <v>1</v>
      </c>
      <c r="AA19">
        <v>0</v>
      </c>
    </row>
    <row r="20" spans="1:27" x14ac:dyDescent="0.2">
      <c r="A20">
        <v>15</v>
      </c>
      <c r="B20">
        <v>541.56049458600353</v>
      </c>
      <c r="C20">
        <v>2836.1623009618716</v>
      </c>
      <c r="D20">
        <v>1029.3917721533323</v>
      </c>
      <c r="E20">
        <v>1086.1321562022106</v>
      </c>
      <c r="F20">
        <v>0.94987412991647213</v>
      </c>
      <c r="G20">
        <v>0.67683489140151942</v>
      </c>
      <c r="H20">
        <v>1.144364228761139E-2</v>
      </c>
      <c r="I20">
        <v>0.19525500827916686</v>
      </c>
      <c r="J20">
        <v>0.42112019182144722</v>
      </c>
      <c r="L20">
        <v>10785.359288654734</v>
      </c>
      <c r="M20">
        <v>9.56251578962795</v>
      </c>
      <c r="N20">
        <v>8.4724795504548425</v>
      </c>
      <c r="O20">
        <v>19801.027498438809</v>
      </c>
      <c r="P20">
        <v>11.193157891380986</v>
      </c>
      <c r="Q20">
        <v>10.222312946985724</v>
      </c>
      <c r="S20">
        <f t="shared" si="2"/>
        <v>836462.59575682948</v>
      </c>
      <c r="T20">
        <f t="shared" si="3"/>
        <v>1002430.2672001335</v>
      </c>
      <c r="V20">
        <f t="shared" si="0"/>
        <v>0</v>
      </c>
      <c r="W20">
        <f t="shared" si="1"/>
        <v>1</v>
      </c>
      <c r="Y20">
        <v>3000</v>
      </c>
      <c r="Z20">
        <v>1</v>
      </c>
      <c r="AA20">
        <v>0</v>
      </c>
    </row>
    <row r="21" spans="1:27" x14ac:dyDescent="0.2">
      <c r="A21">
        <v>16</v>
      </c>
      <c r="B21">
        <v>515.92004961799762</v>
      </c>
      <c r="C21">
        <v>2987.6447934148887</v>
      </c>
      <c r="D21">
        <v>1095.5805328087602</v>
      </c>
      <c r="E21">
        <v>1180.5419254337244</v>
      </c>
      <c r="F21">
        <v>0.92523104458734728</v>
      </c>
      <c r="G21">
        <v>0.76761757648945872</v>
      </c>
      <c r="H21">
        <v>1.0581335605087625E-2</v>
      </c>
      <c r="I21">
        <v>0.14448527219092547</v>
      </c>
      <c r="J21">
        <v>0.51000542919381542</v>
      </c>
      <c r="L21">
        <v>12267.916522743328</v>
      </c>
      <c r="M21">
        <v>10.197580298783521</v>
      </c>
      <c r="N21">
        <v>9.0171620120392451</v>
      </c>
      <c r="O21">
        <v>21264.359931672941</v>
      </c>
      <c r="P21">
        <v>11.336380067986086</v>
      </c>
      <c r="Q21">
        <v>10.183494920757791</v>
      </c>
      <c r="S21">
        <f t="shared" si="2"/>
        <v>889448.28468118119</v>
      </c>
      <c r="T21">
        <f t="shared" si="3"/>
        <v>997085.1321441062</v>
      </c>
      <c r="V21">
        <f t="shared" si="0"/>
        <v>0</v>
      </c>
      <c r="W21">
        <f t="shared" si="1"/>
        <v>1</v>
      </c>
      <c r="Y21">
        <v>3500</v>
      </c>
      <c r="Z21">
        <v>0.998</v>
      </c>
      <c r="AA21">
        <v>2E-3</v>
      </c>
    </row>
    <row r="22" spans="1:27" x14ac:dyDescent="0.2">
      <c r="A22">
        <v>17</v>
      </c>
      <c r="B22">
        <v>510.9994725951907</v>
      </c>
      <c r="C22">
        <v>3194.3128456254171</v>
      </c>
      <c r="D22">
        <v>849.7485092755611</v>
      </c>
      <c r="E22">
        <v>1110.8517256362536</v>
      </c>
      <c r="F22">
        <v>0.92268232220062607</v>
      </c>
      <c r="G22">
        <v>0.85912511852956874</v>
      </c>
      <c r="H22">
        <v>9.8959313112017087E-3</v>
      </c>
      <c r="I22">
        <v>0.1228866905940065</v>
      </c>
      <c r="J22">
        <v>0.46803502161281996</v>
      </c>
      <c r="L22">
        <v>13421.852807576093</v>
      </c>
      <c r="M22">
        <v>10.577125816119793</v>
      </c>
      <c r="N22">
        <v>9.5786295437450786</v>
      </c>
      <c r="O22">
        <v>19817.695247024516</v>
      </c>
      <c r="P22">
        <v>11.742046865841628</v>
      </c>
      <c r="Q22">
        <v>10.710304307792212</v>
      </c>
      <c r="S22">
        <f t="shared" si="2"/>
        <v>944441.10156693181</v>
      </c>
      <c r="T22">
        <f t="shared" si="3"/>
        <v>1051212.7355321967</v>
      </c>
      <c r="V22">
        <f t="shared" si="0"/>
        <v>0</v>
      </c>
      <c r="W22">
        <f t="shared" si="1"/>
        <v>1</v>
      </c>
      <c r="Y22">
        <v>4000</v>
      </c>
      <c r="Z22">
        <v>0.98899999999999999</v>
      </c>
      <c r="AA22">
        <v>1.0999999999999999E-2</v>
      </c>
    </row>
    <row r="23" spans="1:27" x14ac:dyDescent="0.2">
      <c r="A23">
        <v>18</v>
      </c>
      <c r="B23">
        <v>598.50598083399245</v>
      </c>
      <c r="C23">
        <v>2824.2347422629969</v>
      </c>
      <c r="D23">
        <v>984.24747683619137</v>
      </c>
      <c r="E23">
        <v>976.63600298484641</v>
      </c>
      <c r="F23">
        <v>0.94923925880987403</v>
      </c>
      <c r="G23">
        <v>0.68580311626911972</v>
      </c>
      <c r="H23">
        <v>1.1166417034766717E-2</v>
      </c>
      <c r="I23">
        <v>0.14416903134882453</v>
      </c>
      <c r="J23">
        <v>0.48990005561049504</v>
      </c>
      <c r="L23">
        <v>12463.980341205393</v>
      </c>
      <c r="M23">
        <v>10.105640536276931</v>
      </c>
      <c r="N23">
        <v>8.8784917031665369</v>
      </c>
      <c r="O23">
        <v>20613.653550645449</v>
      </c>
      <c r="P23">
        <v>11.317586779017162</v>
      </c>
      <c r="Q23">
        <v>10.228395870644439</v>
      </c>
      <c r="S23">
        <f t="shared" si="2"/>
        <v>875385.1899754483</v>
      </c>
      <c r="T23">
        <f t="shared" si="3"/>
        <v>1002225.9335137984</v>
      </c>
      <c r="V23">
        <f t="shared" si="0"/>
        <v>0</v>
      </c>
      <c r="W23">
        <f t="shared" si="1"/>
        <v>1</v>
      </c>
      <c r="Y23">
        <v>4500</v>
      </c>
      <c r="Z23">
        <v>0.97199999999999998</v>
      </c>
      <c r="AA23">
        <v>2.8000000000000001E-2</v>
      </c>
    </row>
    <row r="24" spans="1:27" x14ac:dyDescent="0.2">
      <c r="A24">
        <v>19</v>
      </c>
      <c r="B24">
        <v>594.00287145316554</v>
      </c>
      <c r="C24">
        <v>3102.6363248932357</v>
      </c>
      <c r="D24">
        <v>1254.4042790016151</v>
      </c>
      <c r="E24">
        <v>896.00336512029901</v>
      </c>
      <c r="F24">
        <v>0.98082470460474314</v>
      </c>
      <c r="G24">
        <v>0.64565906541442308</v>
      </c>
      <c r="H24">
        <v>1.0759043392180815E-2</v>
      </c>
      <c r="I24">
        <v>0.19027834691334156</v>
      </c>
      <c r="J24">
        <v>0.54013897985799619</v>
      </c>
      <c r="L24">
        <v>11740.217735401167</v>
      </c>
      <c r="M24">
        <v>9.7249428871478134</v>
      </c>
      <c r="N24">
        <v>8.7924049325320084</v>
      </c>
      <c r="O24">
        <v>22544.146403241772</v>
      </c>
      <c r="P24">
        <v>10.893796172456341</v>
      </c>
      <c r="Q24">
        <v>10.118427387524065</v>
      </c>
      <c r="S24">
        <f t="shared" si="2"/>
        <v>867500.27551779966</v>
      </c>
      <c r="T24">
        <f t="shared" si="3"/>
        <v>989298.59234916465</v>
      </c>
      <c r="V24">
        <f t="shared" si="0"/>
        <v>0</v>
      </c>
      <c r="W24">
        <f t="shared" si="1"/>
        <v>1</v>
      </c>
      <c r="Y24">
        <v>5000</v>
      </c>
      <c r="Z24">
        <v>0.90800000000000003</v>
      </c>
      <c r="AA24">
        <v>9.1999999999999998E-2</v>
      </c>
    </row>
    <row r="25" spans="1:27" x14ac:dyDescent="0.2">
      <c r="A25">
        <v>20</v>
      </c>
      <c r="B25">
        <v>596.57353311143811</v>
      </c>
      <c r="C25">
        <v>2961.1283100288069</v>
      </c>
      <c r="D25">
        <v>1132.2119425095896</v>
      </c>
      <c r="E25">
        <v>898.8452307981139</v>
      </c>
      <c r="F25">
        <v>0.96108190224305368</v>
      </c>
      <c r="G25">
        <v>0.74160295395562892</v>
      </c>
      <c r="H25">
        <v>1.2398948910993406E-2</v>
      </c>
      <c r="I25">
        <v>0.14609293948589283</v>
      </c>
      <c r="J25">
        <v>0.46671770378454353</v>
      </c>
      <c r="L25">
        <v>12878.147114052566</v>
      </c>
      <c r="M25">
        <v>9.895805919307211</v>
      </c>
      <c r="N25">
        <v>8.8973580784965467</v>
      </c>
      <c r="O25">
        <v>22107.864580520425</v>
      </c>
      <c r="P25">
        <v>11.212458682704533</v>
      </c>
      <c r="Q25">
        <v>10.337678306181084</v>
      </c>
      <c r="S25">
        <f t="shared" si="2"/>
        <v>876857.66073560214</v>
      </c>
      <c r="T25">
        <f t="shared" si="3"/>
        <v>1011659.966037588</v>
      </c>
      <c r="V25">
        <f t="shared" si="0"/>
        <v>0</v>
      </c>
      <c r="W25">
        <f t="shared" si="1"/>
        <v>1</v>
      </c>
      <c r="Y25">
        <v>6000</v>
      </c>
      <c r="Z25">
        <v>0.68300000000000005</v>
      </c>
      <c r="AA25">
        <v>0.317</v>
      </c>
    </row>
    <row r="26" spans="1:27" x14ac:dyDescent="0.2">
      <c r="A26">
        <v>21</v>
      </c>
      <c r="B26">
        <v>593.50498545146331</v>
      </c>
      <c r="C26">
        <v>2635.8700084194165</v>
      </c>
      <c r="D26">
        <v>1026.3914772527576</v>
      </c>
      <c r="E26">
        <v>873.49680659600006</v>
      </c>
      <c r="F26">
        <v>0.97661041107586022</v>
      </c>
      <c r="G26">
        <v>0.77079290395722277</v>
      </c>
      <c r="H26">
        <v>1.029005888628043E-2</v>
      </c>
      <c r="I26">
        <v>0.14194457336653235</v>
      </c>
      <c r="J26">
        <v>0.47321250473813459</v>
      </c>
      <c r="L26">
        <v>11843.233552167745</v>
      </c>
      <c r="M26">
        <v>10.27592040147521</v>
      </c>
      <c r="N26">
        <v>9.4898135985778591</v>
      </c>
      <c r="O26">
        <v>20758.763919915324</v>
      </c>
      <c r="P26">
        <v>11.514172935080083</v>
      </c>
      <c r="Q26">
        <v>10.864447808522842</v>
      </c>
      <c r="S26">
        <f t="shared" si="2"/>
        <v>937138.12630561809</v>
      </c>
      <c r="T26">
        <f t="shared" si="3"/>
        <v>1065686.016932369</v>
      </c>
      <c r="V26">
        <f t="shared" si="0"/>
        <v>0</v>
      </c>
      <c r="W26">
        <f t="shared" si="1"/>
        <v>1</v>
      </c>
      <c r="Y26">
        <v>7000</v>
      </c>
      <c r="Z26">
        <v>0.38800000000000001</v>
      </c>
      <c r="AA26">
        <v>0.61199999999999999</v>
      </c>
    </row>
    <row r="27" spans="1:27" x14ac:dyDescent="0.2">
      <c r="A27">
        <v>22</v>
      </c>
      <c r="B27">
        <v>552.3711672960228</v>
      </c>
      <c r="C27">
        <v>3773.9854104058741</v>
      </c>
      <c r="D27">
        <v>1110.4398830747564</v>
      </c>
      <c r="E27">
        <v>1005.2668526934043</v>
      </c>
      <c r="F27">
        <v>0.96557108316482343</v>
      </c>
      <c r="G27">
        <v>0.84731371301705194</v>
      </c>
      <c r="H27">
        <v>1.0910534689339257E-2</v>
      </c>
      <c r="I27">
        <v>0.16057558004607253</v>
      </c>
      <c r="J27">
        <v>0.58660913536111736</v>
      </c>
      <c r="L27">
        <v>13994.625855464019</v>
      </c>
      <c r="M27">
        <v>9.9687607279912154</v>
      </c>
      <c r="N27">
        <v>9.3288346800890114</v>
      </c>
      <c r="O27">
        <v>22681.546275518907</v>
      </c>
      <c r="P27">
        <v>10.928452799964637</v>
      </c>
      <c r="Q27">
        <v>10.317535608960815</v>
      </c>
      <c r="S27">
        <f t="shared" si="2"/>
        <v>918888.84215343709</v>
      </c>
      <c r="T27">
        <f t="shared" si="3"/>
        <v>1009072.0146205625</v>
      </c>
      <c r="V27">
        <f t="shared" si="0"/>
        <v>0</v>
      </c>
      <c r="W27">
        <f t="shared" si="1"/>
        <v>1</v>
      </c>
      <c r="Y27">
        <v>8000</v>
      </c>
      <c r="Z27">
        <v>0.17699999999999999</v>
      </c>
      <c r="AA27">
        <v>0.82299999999999995</v>
      </c>
    </row>
    <row r="28" spans="1:27" x14ac:dyDescent="0.2">
      <c r="A28">
        <v>23</v>
      </c>
      <c r="B28">
        <v>410.83179277735553</v>
      </c>
      <c r="C28">
        <v>2809.2421231560011</v>
      </c>
      <c r="D28">
        <v>1082.1390487927015</v>
      </c>
      <c r="E28">
        <v>830.01744356929305</v>
      </c>
      <c r="F28">
        <v>0.94946862266767174</v>
      </c>
      <c r="G28">
        <v>0.77657269482876501</v>
      </c>
      <c r="H28">
        <v>1.0465328288594667E-2</v>
      </c>
      <c r="I28">
        <v>0.15266173977218134</v>
      </c>
      <c r="J28">
        <v>0.47598944731049614</v>
      </c>
      <c r="L28">
        <v>10601.319088068612</v>
      </c>
      <c r="M28">
        <v>10.127417748979477</v>
      </c>
      <c r="N28">
        <v>9.1746717473642008</v>
      </c>
      <c r="O28">
        <v>19605.359012363224</v>
      </c>
      <c r="P28">
        <v>11.399656422292212</v>
      </c>
      <c r="Q28">
        <v>10.513765192359928</v>
      </c>
      <c r="S28">
        <f t="shared" si="2"/>
        <v>906865.85564835148</v>
      </c>
      <c r="T28">
        <f t="shared" si="3"/>
        <v>1031771.1602236296</v>
      </c>
      <c r="V28">
        <f t="shared" si="0"/>
        <v>0</v>
      </c>
      <c r="W28">
        <f t="shared" si="1"/>
        <v>1</v>
      </c>
      <c r="Y28">
        <v>9000</v>
      </c>
      <c r="Z28">
        <v>7.1999999999999995E-2</v>
      </c>
      <c r="AA28">
        <v>0.92800000000000005</v>
      </c>
    </row>
    <row r="29" spans="1:27" x14ac:dyDescent="0.2">
      <c r="A29">
        <v>24</v>
      </c>
      <c r="B29">
        <v>365.99913396567081</v>
      </c>
      <c r="C29">
        <v>3593.0422252263138</v>
      </c>
      <c r="D29">
        <v>1068.1259407730902</v>
      </c>
      <c r="E29">
        <v>978.37648394365442</v>
      </c>
      <c r="F29">
        <v>0.96093837495699819</v>
      </c>
      <c r="G29">
        <v>0.62706748830207504</v>
      </c>
      <c r="H29">
        <v>1.0503469904633675E-2</v>
      </c>
      <c r="I29">
        <v>0.15801286946443249</v>
      </c>
      <c r="J29">
        <v>0.47986904076157111</v>
      </c>
      <c r="L29">
        <v>12132.805333942613</v>
      </c>
      <c r="M29">
        <v>10.065055332050413</v>
      </c>
      <c r="N29">
        <v>8.8377236427702659</v>
      </c>
      <c r="O29">
        <v>20353.482703174486</v>
      </c>
      <c r="P29">
        <v>11.343292375475125</v>
      </c>
      <c r="Q29">
        <v>10.310571880951658</v>
      </c>
      <c r="S29">
        <f t="shared" si="2"/>
        <v>871639.55894308398</v>
      </c>
      <c r="T29">
        <f t="shared" si="3"/>
        <v>1010703.7053919913</v>
      </c>
      <c r="V29">
        <f t="shared" si="0"/>
        <v>0</v>
      </c>
      <c r="W29">
        <f t="shared" si="1"/>
        <v>1</v>
      </c>
      <c r="Y29">
        <v>10000</v>
      </c>
      <c r="Z29">
        <v>2.3E-2</v>
      </c>
      <c r="AA29">
        <v>0.97699999999999998</v>
      </c>
    </row>
    <row r="30" spans="1:27" x14ac:dyDescent="0.2">
      <c r="A30">
        <v>25</v>
      </c>
      <c r="B30">
        <v>332.79296864264433</v>
      </c>
      <c r="C30">
        <v>2145.0069524808478</v>
      </c>
      <c r="D30">
        <v>831.90789748617169</v>
      </c>
      <c r="E30">
        <v>1435.9115997038223</v>
      </c>
      <c r="F30">
        <v>0.95675292657068067</v>
      </c>
      <c r="G30">
        <v>0.66597467884740946</v>
      </c>
      <c r="H30">
        <v>7.4381914655067419E-3</v>
      </c>
      <c r="I30">
        <v>0.17557959968397785</v>
      </c>
      <c r="J30">
        <v>0.48216909263559671</v>
      </c>
      <c r="L30">
        <v>7665.8159844157308</v>
      </c>
      <c r="M30">
        <v>10.545547685925847</v>
      </c>
      <c r="N30">
        <v>9.5040295182203742</v>
      </c>
      <c r="O30">
        <v>15359.205364417019</v>
      </c>
      <c r="P30">
        <v>11.760661938724509</v>
      </c>
      <c r="Q30">
        <v>10.860020564418271</v>
      </c>
      <c r="S30">
        <f t="shared" si="2"/>
        <v>942737.13583762175</v>
      </c>
      <c r="T30">
        <f t="shared" si="3"/>
        <v>1070642.8510774099</v>
      </c>
      <c r="V30">
        <f t="shared" si="0"/>
        <v>0</v>
      </c>
      <c r="W30">
        <f t="shared" si="1"/>
        <v>1</v>
      </c>
      <c r="Y30">
        <v>11000</v>
      </c>
      <c r="Z30">
        <v>7.0000000000000001E-3</v>
      </c>
      <c r="AA30">
        <v>0.99299999999999999</v>
      </c>
    </row>
    <row r="31" spans="1:27" x14ac:dyDescent="0.2">
      <c r="A31">
        <v>26</v>
      </c>
      <c r="B31">
        <v>518.17131054838057</v>
      </c>
      <c r="C31">
        <v>4076.1688352520573</v>
      </c>
      <c r="D31">
        <v>981.2063144864876</v>
      </c>
      <c r="E31">
        <v>710.39697329101637</v>
      </c>
      <c r="F31">
        <v>0.92223390984007947</v>
      </c>
      <c r="G31">
        <v>0.80387594368622772</v>
      </c>
      <c r="H31">
        <v>1.0841541100673233E-2</v>
      </c>
      <c r="I31">
        <v>0.1962273699408249</v>
      </c>
      <c r="J31">
        <v>0.43231225318545757</v>
      </c>
      <c r="L31">
        <v>13084.552655928821</v>
      </c>
      <c r="M31">
        <v>9.6622772321442625</v>
      </c>
      <c r="N31">
        <v>8.6522987430568961</v>
      </c>
      <c r="O31">
        <v>20845.32794266312</v>
      </c>
      <c r="P31">
        <v>11.235400098744019</v>
      </c>
      <c r="Q31">
        <v>10.187400985527979</v>
      </c>
      <c r="S31">
        <f t="shared" si="2"/>
        <v>852145.32164976082</v>
      </c>
      <c r="T31">
        <f t="shared" si="3"/>
        <v>997894.77061013482</v>
      </c>
      <c r="V31">
        <f t="shared" si="0"/>
        <v>0</v>
      </c>
      <c r="W31">
        <f t="shared" si="1"/>
        <v>1</v>
      </c>
      <c r="Y31">
        <v>12000</v>
      </c>
      <c r="Z31">
        <v>4.0000000000000001E-3</v>
      </c>
      <c r="AA31">
        <v>0.996</v>
      </c>
    </row>
    <row r="32" spans="1:27" x14ac:dyDescent="0.2">
      <c r="A32">
        <v>27</v>
      </c>
      <c r="B32">
        <v>388.76887605667514</v>
      </c>
      <c r="C32">
        <v>1973.5299252668231</v>
      </c>
      <c r="D32">
        <v>1127.3441326347547</v>
      </c>
      <c r="E32">
        <v>1110.7657737939755</v>
      </c>
      <c r="F32">
        <v>0.96346746810546091</v>
      </c>
      <c r="G32">
        <v>0.84685010980087028</v>
      </c>
      <c r="H32">
        <v>9.2472505677560993E-3</v>
      </c>
      <c r="I32">
        <v>0.19658677222822996</v>
      </c>
      <c r="J32">
        <v>0.54491600766726611</v>
      </c>
      <c r="L32">
        <v>7573.854116940478</v>
      </c>
      <c r="M32">
        <v>9.9743925957207527</v>
      </c>
      <c r="N32">
        <v>9.3709553849494327</v>
      </c>
      <c r="O32">
        <v>17878.15945121432</v>
      </c>
      <c r="P32">
        <v>11.109449415627077</v>
      </c>
      <c r="Q32">
        <v>10.524989564522995</v>
      </c>
      <c r="S32">
        <f t="shared" si="2"/>
        <v>929521.68437800277</v>
      </c>
      <c r="T32">
        <f t="shared" si="3"/>
        <v>1034620.7970010852</v>
      </c>
      <c r="V32">
        <f t="shared" si="0"/>
        <v>0</v>
      </c>
      <c r="W32">
        <f t="shared" si="1"/>
        <v>1</v>
      </c>
      <c r="Y32">
        <v>13000</v>
      </c>
      <c r="Z32">
        <v>0</v>
      </c>
      <c r="AA32">
        <v>1</v>
      </c>
    </row>
    <row r="33" spans="1:27" x14ac:dyDescent="0.2">
      <c r="A33">
        <v>28</v>
      </c>
      <c r="B33">
        <v>538.61132177311697</v>
      </c>
      <c r="C33">
        <v>2177.4481289521591</v>
      </c>
      <c r="D33">
        <v>893.94792336871694</v>
      </c>
      <c r="E33">
        <v>918.89609659600308</v>
      </c>
      <c r="F33">
        <v>0.93103499019768521</v>
      </c>
      <c r="G33">
        <v>0.87064342628460212</v>
      </c>
      <c r="H33">
        <v>1.1654267381258812E-2</v>
      </c>
      <c r="I33">
        <v>0.14053036224264401</v>
      </c>
      <c r="J33">
        <v>0.55793782455856511</v>
      </c>
      <c r="L33">
        <v>10373.948540862282</v>
      </c>
      <c r="M33">
        <v>10.073510194228145</v>
      </c>
      <c r="N33">
        <v>9.2097648971127697</v>
      </c>
      <c r="O33">
        <v>17759.333031881732</v>
      </c>
      <c r="P33">
        <v>11.07228107496756</v>
      </c>
      <c r="Q33">
        <v>10.177561803923059</v>
      </c>
      <c r="S33">
        <f t="shared" si="2"/>
        <v>910602.54117041465</v>
      </c>
      <c r="T33">
        <f t="shared" si="3"/>
        <v>999996.84736042412</v>
      </c>
      <c r="V33">
        <f t="shared" si="0"/>
        <v>0</v>
      </c>
      <c r="W33">
        <f t="shared" si="1"/>
        <v>1</v>
      </c>
      <c r="Y33">
        <v>14000</v>
      </c>
      <c r="Z33">
        <v>0</v>
      </c>
      <c r="AA33">
        <v>1</v>
      </c>
    </row>
    <row r="34" spans="1:27" x14ac:dyDescent="0.2">
      <c r="A34">
        <v>29</v>
      </c>
      <c r="B34">
        <v>486.93083346723898</v>
      </c>
      <c r="C34">
        <v>3091.0232129925021</v>
      </c>
      <c r="D34">
        <v>999.31966197509109</v>
      </c>
      <c r="E34">
        <v>986.01545287338638</v>
      </c>
      <c r="F34">
        <v>0.94566632706359122</v>
      </c>
      <c r="G34">
        <v>0.68159069246314985</v>
      </c>
      <c r="H34">
        <v>1.017904592217516E-2</v>
      </c>
      <c r="I34">
        <v>0.15997126428137287</v>
      </c>
      <c r="J34">
        <v>0.56216403089677847</v>
      </c>
      <c r="L34">
        <v>11681.358295675098</v>
      </c>
      <c r="M34">
        <v>10.1030852669168</v>
      </c>
      <c r="N34">
        <v>8.9076040174786666</v>
      </c>
      <c r="O34">
        <v>19840.107455402831</v>
      </c>
      <c r="P34">
        <v>11.122426130292892</v>
      </c>
      <c r="Q34">
        <v>10.022258489098954</v>
      </c>
      <c r="S34">
        <f t="shared" si="2"/>
        <v>879079.04345219152</v>
      </c>
      <c r="T34">
        <f t="shared" si="3"/>
        <v>982385.74145449256</v>
      </c>
      <c r="V34">
        <f t="shared" si="0"/>
        <v>0</v>
      </c>
      <c r="W34">
        <f t="shared" si="1"/>
        <v>1</v>
      </c>
      <c r="Y34">
        <v>15000</v>
      </c>
      <c r="Z34">
        <v>0</v>
      </c>
      <c r="AA34">
        <v>1</v>
      </c>
    </row>
    <row r="35" spans="1:27" x14ac:dyDescent="0.2">
      <c r="A35">
        <v>30</v>
      </c>
      <c r="B35">
        <v>695.7273769500548</v>
      </c>
      <c r="C35">
        <v>2751.3275756645135</v>
      </c>
      <c r="D35">
        <v>959.85819966124564</v>
      </c>
      <c r="E35">
        <v>975.27955291299475</v>
      </c>
      <c r="F35">
        <v>0.89015315417255148</v>
      </c>
      <c r="G35">
        <v>0.9050549887367707</v>
      </c>
      <c r="H35">
        <v>1.0369743836365191E-2</v>
      </c>
      <c r="I35">
        <v>0.14399662013435435</v>
      </c>
      <c r="J35">
        <v>0.426725574031312</v>
      </c>
      <c r="L35">
        <v>12912.98801600566</v>
      </c>
      <c r="M35">
        <v>10.238915899558307</v>
      </c>
      <c r="N35">
        <v>9.1534895404593009</v>
      </c>
      <c r="O35">
        <v>21415.333034935917</v>
      </c>
      <c r="P35">
        <v>11.640851907642443</v>
      </c>
      <c r="Q35">
        <v>10.387973256043352</v>
      </c>
      <c r="S35">
        <f t="shared" si="2"/>
        <v>902435.96602992446</v>
      </c>
      <c r="T35">
        <f t="shared" si="3"/>
        <v>1017381.9925693994</v>
      </c>
      <c r="V35">
        <f t="shared" si="0"/>
        <v>0</v>
      </c>
      <c r="W35">
        <f t="shared" si="1"/>
        <v>1</v>
      </c>
      <c r="Y35">
        <v>16000</v>
      </c>
      <c r="Z35">
        <v>0</v>
      </c>
      <c r="AA35">
        <v>1</v>
      </c>
    </row>
    <row r="36" spans="1:27" x14ac:dyDescent="0.2">
      <c r="A36">
        <v>31</v>
      </c>
      <c r="B36">
        <v>469.18137076369072</v>
      </c>
      <c r="C36">
        <v>3058.0402451645255</v>
      </c>
      <c r="D36">
        <v>836.18766746782444</v>
      </c>
      <c r="E36">
        <v>1084.0065221906993</v>
      </c>
      <c r="F36">
        <v>0.95532250421112064</v>
      </c>
      <c r="G36">
        <v>0.93732883901699271</v>
      </c>
      <c r="H36">
        <v>9.5771928850811108E-3</v>
      </c>
      <c r="I36">
        <v>0.16084878231441546</v>
      </c>
      <c r="J36">
        <v>0.40101287551341708</v>
      </c>
      <c r="L36">
        <v>11366.875985917051</v>
      </c>
      <c r="M36">
        <v>10.206666191442622</v>
      </c>
      <c r="N36">
        <v>9.707822337298559</v>
      </c>
      <c r="O36">
        <v>18190.608705437906</v>
      </c>
      <c r="P36">
        <v>11.739400409429509</v>
      </c>
      <c r="Q36">
        <v>11.188148769873028</v>
      </c>
      <c r="S36">
        <f t="shared" si="2"/>
        <v>959415.3577439388</v>
      </c>
      <c r="T36">
        <f t="shared" si="3"/>
        <v>1100624.2682818647</v>
      </c>
      <c r="V36">
        <f t="shared" si="0"/>
        <v>0</v>
      </c>
      <c r="W36">
        <f t="shared" si="1"/>
        <v>1</v>
      </c>
      <c r="Y36">
        <v>17000</v>
      </c>
      <c r="Z36">
        <v>0</v>
      </c>
      <c r="AA36">
        <v>1</v>
      </c>
    </row>
    <row r="37" spans="1:27" x14ac:dyDescent="0.2">
      <c r="A37">
        <v>32</v>
      </c>
      <c r="B37">
        <v>315.97690710699482</v>
      </c>
      <c r="C37">
        <v>3188.132362019574</v>
      </c>
      <c r="D37">
        <v>1113.5900928613787</v>
      </c>
      <c r="E37">
        <v>584.86580683815953</v>
      </c>
      <c r="F37">
        <v>0.96405556297935502</v>
      </c>
      <c r="G37">
        <v>0.77906859650729399</v>
      </c>
      <c r="H37">
        <v>1.3501799789506788E-2</v>
      </c>
      <c r="I37">
        <v>0.15615448196737691</v>
      </c>
      <c r="J37">
        <v>0.43057851019670279</v>
      </c>
      <c r="L37">
        <v>11215.494380283426</v>
      </c>
      <c r="M37">
        <v>9.6226062184626802</v>
      </c>
      <c r="N37">
        <v>8.7664280232317289</v>
      </c>
      <c r="O37">
        <v>19459.651521135362</v>
      </c>
      <c r="P37">
        <v>11.124866601708392</v>
      </c>
      <c r="Q37">
        <v>10.369403427501812</v>
      </c>
      <c r="S37">
        <f t="shared" si="2"/>
        <v>865427.30794288951</v>
      </c>
      <c r="T37">
        <f t="shared" si="3"/>
        <v>1017480.6912290459</v>
      </c>
      <c r="V37">
        <f t="shared" si="0"/>
        <v>0</v>
      </c>
      <c r="W37">
        <f t="shared" si="1"/>
        <v>1</v>
      </c>
      <c r="Y37">
        <v>18000</v>
      </c>
      <c r="Z37">
        <v>0</v>
      </c>
      <c r="AA37">
        <v>1</v>
      </c>
    </row>
    <row r="38" spans="1:27" x14ac:dyDescent="0.2">
      <c r="A38">
        <v>33</v>
      </c>
      <c r="B38">
        <v>427.30051838222005</v>
      </c>
      <c r="C38">
        <v>3269.7886683782185</v>
      </c>
      <c r="D38">
        <v>1103.5322153163054</v>
      </c>
      <c r="E38">
        <v>831.24674654783041</v>
      </c>
      <c r="F38">
        <v>0.9339748390002881</v>
      </c>
      <c r="G38">
        <v>0.82254262746059514</v>
      </c>
      <c r="H38">
        <v>8.7904668751372858E-3</v>
      </c>
      <c r="I38">
        <v>0.14590871848936884</v>
      </c>
      <c r="J38">
        <v>0.47538950767362198</v>
      </c>
      <c r="L38">
        <v>11729.470603387261</v>
      </c>
      <c r="M38">
        <v>10.509116324165218</v>
      </c>
      <c r="N38">
        <v>9.5430807713457515</v>
      </c>
      <c r="O38">
        <v>21018.605482209296</v>
      </c>
      <c r="P38">
        <v>11.710532371289768</v>
      </c>
      <c r="Q38">
        <v>10.752141240642787</v>
      </c>
      <c r="S38">
        <f t="shared" si="2"/>
        <v>942578.60653118789</v>
      </c>
      <c r="T38">
        <f t="shared" si="3"/>
        <v>1054195.5185820695</v>
      </c>
      <c r="V38">
        <f t="shared" si="0"/>
        <v>0</v>
      </c>
      <c r="W38">
        <f t="shared" si="1"/>
        <v>1</v>
      </c>
      <c r="Y38">
        <v>19000</v>
      </c>
      <c r="Z38">
        <v>0</v>
      </c>
      <c r="AA38">
        <v>1</v>
      </c>
    </row>
    <row r="39" spans="1:27" x14ac:dyDescent="0.2">
      <c r="A39">
        <v>34</v>
      </c>
      <c r="B39">
        <v>432.12857037786176</v>
      </c>
      <c r="C39">
        <v>3989.3949985378035</v>
      </c>
      <c r="D39">
        <v>913.45553033006797</v>
      </c>
      <c r="E39">
        <v>1336.7045364495762</v>
      </c>
      <c r="F39">
        <v>0.94185057194227972</v>
      </c>
      <c r="G39">
        <v>0.72683956977693198</v>
      </c>
      <c r="H39">
        <v>8.3157246979723536E-3</v>
      </c>
      <c r="I39">
        <v>0.13886631238835162</v>
      </c>
      <c r="J39">
        <v>0.53210983353960273</v>
      </c>
      <c r="L39">
        <v>13809.745144226201</v>
      </c>
      <c r="M39">
        <v>10.67869945366215</v>
      </c>
      <c r="N39">
        <v>9.5295206828294301</v>
      </c>
      <c r="O39">
        <v>20724.153176175612</v>
      </c>
      <c r="P39">
        <v>11.678182125114139</v>
      </c>
      <c r="Q39">
        <v>10.618375087143319</v>
      </c>
      <c r="S39">
        <f t="shared" si="2"/>
        <v>939142.32313871675</v>
      </c>
      <c r="T39">
        <f t="shared" si="3"/>
        <v>1041113.3555381561</v>
      </c>
      <c r="V39">
        <f t="shared" si="0"/>
        <v>0</v>
      </c>
      <c r="W39">
        <f t="shared" si="1"/>
        <v>1</v>
      </c>
      <c r="Y39">
        <v>20000</v>
      </c>
      <c r="Z39">
        <v>0</v>
      </c>
      <c r="AA39">
        <v>1</v>
      </c>
    </row>
    <row r="40" spans="1:27" x14ac:dyDescent="0.2">
      <c r="A40">
        <v>35</v>
      </c>
      <c r="B40">
        <v>428.20984180657706</v>
      </c>
      <c r="C40">
        <v>3066.3739122537004</v>
      </c>
      <c r="D40">
        <v>986.19425865082451</v>
      </c>
      <c r="E40">
        <v>1544.9213545770658</v>
      </c>
      <c r="F40">
        <v>0.97426172774187525</v>
      </c>
      <c r="G40">
        <v>0.7406961927423662</v>
      </c>
      <c r="H40">
        <v>1.0309291034568339E-2</v>
      </c>
      <c r="I40">
        <v>0.11340495900382505</v>
      </c>
      <c r="J40">
        <v>0.45444392920974164</v>
      </c>
      <c r="L40">
        <v>13064.414407451579</v>
      </c>
      <c r="M40">
        <v>10.642815274804603</v>
      </c>
      <c r="N40">
        <v>9.6626320818042117</v>
      </c>
      <c r="O40">
        <v>20450.422747429191</v>
      </c>
      <c r="P40">
        <v>11.812488728419169</v>
      </c>
      <c r="Q40">
        <v>11.030018496431238</v>
      </c>
      <c r="S40">
        <f t="shared" si="2"/>
        <v>953198.79377296963</v>
      </c>
      <c r="T40">
        <f t="shared" si="3"/>
        <v>1082551.4268956946</v>
      </c>
      <c r="V40">
        <f t="shared" si="0"/>
        <v>0</v>
      </c>
      <c r="W40">
        <f t="shared" si="1"/>
        <v>1</v>
      </c>
      <c r="Y40">
        <v>21000</v>
      </c>
      <c r="Z40">
        <v>0</v>
      </c>
      <c r="AA40">
        <v>1</v>
      </c>
    </row>
    <row r="41" spans="1:27" x14ac:dyDescent="0.2">
      <c r="A41">
        <v>36</v>
      </c>
      <c r="B41">
        <v>507.60507853644816</v>
      </c>
      <c r="C41">
        <v>3157.4393159419942</v>
      </c>
      <c r="D41">
        <v>1255.1944561344103</v>
      </c>
      <c r="E41">
        <v>1332.0953141606024</v>
      </c>
      <c r="F41">
        <v>0.97530120923992536</v>
      </c>
      <c r="G41">
        <v>0.82595108243310222</v>
      </c>
      <c r="H41">
        <v>9.6808797079197019E-3</v>
      </c>
      <c r="I41">
        <v>0.14730448716654912</v>
      </c>
      <c r="J41">
        <v>0.47533878352627834</v>
      </c>
      <c r="L41">
        <v>12437.022601744577</v>
      </c>
      <c r="M41">
        <v>10.324340875386078</v>
      </c>
      <c r="N41">
        <v>9.6917062801612719</v>
      </c>
      <c r="O41">
        <v>23160.875983972117</v>
      </c>
      <c r="P41">
        <v>11.559371347925033</v>
      </c>
      <c r="Q41">
        <v>11.012505136307928</v>
      </c>
      <c r="S41">
        <f t="shared" si="2"/>
        <v>956733.60541438253</v>
      </c>
      <c r="T41">
        <f t="shared" si="3"/>
        <v>1078089.6376468206</v>
      </c>
      <c r="V41">
        <f t="shared" si="0"/>
        <v>0</v>
      </c>
      <c r="W41">
        <f t="shared" si="1"/>
        <v>1</v>
      </c>
      <c r="Y41">
        <v>22000</v>
      </c>
      <c r="Z41">
        <v>0</v>
      </c>
      <c r="AA41">
        <v>1</v>
      </c>
    </row>
    <row r="42" spans="1:27" x14ac:dyDescent="0.2">
      <c r="A42">
        <v>37</v>
      </c>
      <c r="B42">
        <v>532.0149652288311</v>
      </c>
      <c r="C42">
        <v>2364.0084736715703</v>
      </c>
      <c r="D42">
        <v>997.81064741458897</v>
      </c>
      <c r="E42">
        <v>773.7309914372787</v>
      </c>
      <c r="F42">
        <v>0.96773826859600698</v>
      </c>
      <c r="G42">
        <v>0.69612450058145436</v>
      </c>
      <c r="H42">
        <v>9.0802162609160669E-3</v>
      </c>
      <c r="I42">
        <v>0.11760633823963154</v>
      </c>
      <c r="J42">
        <v>0.52636885761620755</v>
      </c>
      <c r="L42">
        <v>11143.454337021758</v>
      </c>
      <c r="M42">
        <v>10.786401773212877</v>
      </c>
      <c r="N42">
        <v>9.674991572727734</v>
      </c>
      <c r="O42">
        <v>19850.448465041794</v>
      </c>
      <c r="P42">
        <v>11.746235838776656</v>
      </c>
      <c r="Q42">
        <v>10.815129873043619</v>
      </c>
      <c r="S42">
        <f t="shared" si="2"/>
        <v>956355.70293575164</v>
      </c>
      <c r="T42">
        <f t="shared" si="3"/>
        <v>1061662.53883932</v>
      </c>
      <c r="V42">
        <f t="shared" si="0"/>
        <v>0</v>
      </c>
      <c r="W42">
        <f t="shared" si="1"/>
        <v>1</v>
      </c>
      <c r="Y42">
        <v>23000</v>
      </c>
      <c r="Z42">
        <v>0</v>
      </c>
      <c r="AA42">
        <v>1</v>
      </c>
    </row>
    <row r="43" spans="1:27" x14ac:dyDescent="0.2">
      <c r="A43">
        <v>38</v>
      </c>
      <c r="B43">
        <v>543.36105860698581</v>
      </c>
      <c r="C43">
        <v>2762.2427178056851</v>
      </c>
      <c r="D43">
        <v>959.58555455738167</v>
      </c>
      <c r="E43">
        <v>1374.0566072112078</v>
      </c>
      <c r="F43">
        <v>0.97644223074482528</v>
      </c>
      <c r="G43">
        <v>0.77132696409134671</v>
      </c>
      <c r="H43">
        <v>1.0023981309663874E-2</v>
      </c>
      <c r="I43">
        <v>0.15138969714458272</v>
      </c>
      <c r="J43">
        <v>0.50323558287849879</v>
      </c>
      <c r="L43">
        <v>11670.195852306528</v>
      </c>
      <c r="M43">
        <v>10.218719962514013</v>
      </c>
      <c r="N43">
        <v>9.4609340813316738</v>
      </c>
      <c r="O43">
        <v>19779.159040644317</v>
      </c>
      <c r="P43">
        <v>11.389193919280441</v>
      </c>
      <c r="Q43">
        <v>10.748796732082546</v>
      </c>
      <c r="S43">
        <f t="shared" si="2"/>
        <v>934423.21228086087</v>
      </c>
      <c r="T43">
        <f t="shared" si="3"/>
        <v>1055100.5141676103</v>
      </c>
      <c r="V43">
        <f t="shared" si="0"/>
        <v>0</v>
      </c>
      <c r="W43">
        <f t="shared" si="1"/>
        <v>1</v>
      </c>
      <c r="Y43">
        <v>24000</v>
      </c>
      <c r="Z43">
        <v>0</v>
      </c>
      <c r="AA43">
        <v>1</v>
      </c>
    </row>
    <row r="44" spans="1:27" x14ac:dyDescent="0.2">
      <c r="A44">
        <v>39</v>
      </c>
      <c r="B44">
        <v>728.00011426983383</v>
      </c>
      <c r="C44">
        <v>2341.5538489442292</v>
      </c>
      <c r="D44">
        <v>1062.0978153209112</v>
      </c>
      <c r="E44">
        <v>1079.6290785591127</v>
      </c>
      <c r="F44">
        <v>0.98739725694820502</v>
      </c>
      <c r="G44">
        <v>0.75743116009085099</v>
      </c>
      <c r="H44">
        <v>1.0634582747216396E-2</v>
      </c>
      <c r="I44">
        <v>0.18904197309305104</v>
      </c>
      <c r="J44">
        <v>0.45725170930847847</v>
      </c>
      <c r="L44">
        <v>11150.202004986877</v>
      </c>
      <c r="M44">
        <v>9.7578969909948938</v>
      </c>
      <c r="N44">
        <v>9.122969970293731</v>
      </c>
      <c r="O44">
        <v>21233.61061632149</v>
      </c>
      <c r="P44">
        <v>11.211023033214925</v>
      </c>
      <c r="Q44">
        <v>10.715210389447128</v>
      </c>
      <c r="S44">
        <f t="shared" si="2"/>
        <v>901146.79502438614</v>
      </c>
      <c r="T44">
        <f t="shared" si="3"/>
        <v>1050287.4283283914</v>
      </c>
      <c r="V44">
        <f t="shared" si="0"/>
        <v>0</v>
      </c>
      <c r="W44">
        <f t="shared" si="1"/>
        <v>1</v>
      </c>
      <c r="Y44">
        <v>25000</v>
      </c>
      <c r="Z44">
        <v>0</v>
      </c>
      <c r="AA44">
        <v>1</v>
      </c>
    </row>
    <row r="45" spans="1:27" x14ac:dyDescent="0.2">
      <c r="A45">
        <v>40</v>
      </c>
      <c r="B45">
        <v>542.41023498780771</v>
      </c>
      <c r="C45">
        <v>3347.0370657831195</v>
      </c>
      <c r="D45">
        <v>1174.002830668981</v>
      </c>
      <c r="E45">
        <v>1278.7205054943563</v>
      </c>
      <c r="F45">
        <v>0.98028549198743553</v>
      </c>
      <c r="G45">
        <v>0.81793738504990765</v>
      </c>
      <c r="H45">
        <v>9.7936947863876307E-3</v>
      </c>
      <c r="I45">
        <v>0.14169225896358412</v>
      </c>
      <c r="J45">
        <v>0.45439458994749243</v>
      </c>
      <c r="L45">
        <v>13392.08442916222</v>
      </c>
      <c r="M45">
        <v>10.365471958294266</v>
      </c>
      <c r="N45">
        <v>9.7386558734639515</v>
      </c>
      <c r="O45">
        <v>23176.232637235844</v>
      </c>
      <c r="P45">
        <v>11.649176953538911</v>
      </c>
      <c r="Q45">
        <v>11.134445127078491</v>
      </c>
      <c r="S45">
        <f t="shared" si="2"/>
        <v>960473.50291723292</v>
      </c>
      <c r="T45">
        <f t="shared" si="3"/>
        <v>1090268.2800706131</v>
      </c>
      <c r="V45">
        <f t="shared" si="0"/>
        <v>0</v>
      </c>
      <c r="W45">
        <f t="shared" si="1"/>
        <v>1</v>
      </c>
      <c r="Y45">
        <v>26000</v>
      </c>
      <c r="Z45">
        <v>0</v>
      </c>
      <c r="AA45">
        <v>1</v>
      </c>
    </row>
    <row r="46" spans="1:27" x14ac:dyDescent="0.2">
      <c r="A46">
        <v>41</v>
      </c>
      <c r="B46">
        <v>316.08383048878039</v>
      </c>
      <c r="C46">
        <v>3834.0112022419294</v>
      </c>
      <c r="D46">
        <v>1122.0192861929527</v>
      </c>
      <c r="E46">
        <v>920.54478852252726</v>
      </c>
      <c r="F46">
        <v>0.92292920117292909</v>
      </c>
      <c r="G46">
        <v>0.65303928041887149</v>
      </c>
      <c r="H46">
        <v>9.1528018800623133E-3</v>
      </c>
      <c r="I46">
        <v>0.13911884968857222</v>
      </c>
      <c r="J46">
        <v>0.52612489151884045</v>
      </c>
      <c r="L46">
        <v>12650.482117598563</v>
      </c>
      <c r="M46">
        <v>10.511761166530656</v>
      </c>
      <c r="N46">
        <v>9.0111266537078425</v>
      </c>
      <c r="O46">
        <v>21304.490124795946</v>
      </c>
      <c r="P46">
        <v>11.552676595842106</v>
      </c>
      <c r="Q46">
        <v>10.160739358730122</v>
      </c>
      <c r="S46">
        <f t="shared" si="2"/>
        <v>888462.18325318571</v>
      </c>
      <c r="T46">
        <f t="shared" si="3"/>
        <v>994769.44574821636</v>
      </c>
      <c r="V46">
        <f t="shared" si="0"/>
        <v>0</v>
      </c>
      <c r="W46">
        <f t="shared" si="1"/>
        <v>1</v>
      </c>
      <c r="Y46">
        <v>27000</v>
      </c>
      <c r="Z46">
        <v>0</v>
      </c>
      <c r="AA46">
        <v>1</v>
      </c>
    </row>
    <row r="47" spans="1:27" x14ac:dyDescent="0.2">
      <c r="A47">
        <v>42</v>
      </c>
      <c r="B47">
        <v>538.24411161849105</v>
      </c>
      <c r="C47">
        <v>3304.8860314277454</v>
      </c>
      <c r="D47">
        <v>985.19898979925347</v>
      </c>
      <c r="E47">
        <v>988.02488911204205</v>
      </c>
      <c r="F47">
        <v>0.90233611661433799</v>
      </c>
      <c r="G47">
        <v>0.74624023611925816</v>
      </c>
      <c r="H47">
        <v>8.9640561028358039E-3</v>
      </c>
      <c r="I47">
        <v>0.14643829124898966</v>
      </c>
      <c r="J47">
        <v>0.46449191389473926</v>
      </c>
      <c r="L47">
        <v>12789.712810577847</v>
      </c>
      <c r="M47">
        <v>10.469350605290909</v>
      </c>
      <c r="N47">
        <v>9.0632642511007475</v>
      </c>
      <c r="O47">
        <v>21030.177821175112</v>
      </c>
      <c r="P47">
        <v>11.712187723089299</v>
      </c>
      <c r="Q47">
        <v>10.310024933529016</v>
      </c>
      <c r="S47">
        <f t="shared" si="2"/>
        <v>893536.71229949698</v>
      </c>
      <c r="T47">
        <f t="shared" si="3"/>
        <v>1009972.3155317266</v>
      </c>
      <c r="V47">
        <f t="shared" si="0"/>
        <v>0</v>
      </c>
      <c r="W47">
        <f t="shared" si="1"/>
        <v>1</v>
      </c>
      <c r="Y47">
        <v>28000</v>
      </c>
      <c r="Z47">
        <v>0</v>
      </c>
      <c r="AA47">
        <v>1</v>
      </c>
    </row>
    <row r="48" spans="1:27" x14ac:dyDescent="0.2">
      <c r="A48">
        <v>43</v>
      </c>
      <c r="B48">
        <v>410.57337159193145</v>
      </c>
      <c r="C48">
        <v>2135.5057101275206</v>
      </c>
      <c r="D48">
        <v>1002.4415227533102</v>
      </c>
      <c r="E48">
        <v>1223.0194265564471</v>
      </c>
      <c r="F48">
        <v>0.93751969620816822</v>
      </c>
      <c r="G48">
        <v>0.77563325899707125</v>
      </c>
      <c r="H48">
        <v>1.0295116420889703E-2</v>
      </c>
      <c r="I48">
        <v>0.13397460849922124</v>
      </c>
      <c r="J48">
        <v>0.53645433006748633</v>
      </c>
      <c r="L48">
        <v>9445.4390686509341</v>
      </c>
      <c r="M48">
        <v>10.369598697026555</v>
      </c>
      <c r="N48">
        <v>9.2770469913576239</v>
      </c>
      <c r="O48">
        <v>17910.430543232298</v>
      </c>
      <c r="P48">
        <v>11.389128522958543</v>
      </c>
      <c r="Q48">
        <v>10.345589070684516</v>
      </c>
      <c r="S48">
        <f t="shared" si="2"/>
        <v>918259.26006711146</v>
      </c>
      <c r="T48">
        <f t="shared" si="3"/>
        <v>1016648.4765252194</v>
      </c>
      <c r="V48">
        <f t="shared" si="0"/>
        <v>0</v>
      </c>
      <c r="W48">
        <f t="shared" si="1"/>
        <v>1</v>
      </c>
      <c r="Y48">
        <v>29000</v>
      </c>
      <c r="Z48">
        <v>0</v>
      </c>
      <c r="AA48">
        <v>1</v>
      </c>
    </row>
    <row r="49" spans="1:27" x14ac:dyDescent="0.2">
      <c r="A49">
        <v>44</v>
      </c>
      <c r="B49">
        <v>507.7973356709258</v>
      </c>
      <c r="C49">
        <v>3182.6251087014889</v>
      </c>
      <c r="D49">
        <v>1002.0291315988767</v>
      </c>
      <c r="E49">
        <v>651.07285684601027</v>
      </c>
      <c r="F49">
        <v>0.94588419595507223</v>
      </c>
      <c r="G49">
        <v>0.72605698757955772</v>
      </c>
      <c r="H49">
        <v>1.0260660120006336E-2</v>
      </c>
      <c r="I49">
        <v>0.15020467587127939</v>
      </c>
      <c r="J49">
        <v>0.55039631255179589</v>
      </c>
      <c r="L49">
        <v>12263.725427261901</v>
      </c>
      <c r="M49">
        <v>10.189316011887037</v>
      </c>
      <c r="N49">
        <v>9.0758129441626103</v>
      </c>
      <c r="O49">
        <v>20371.022023466237</v>
      </c>
      <c r="P49">
        <v>11.218564490786225</v>
      </c>
      <c r="Q49">
        <v>10.185248073688143</v>
      </c>
      <c r="S49">
        <f t="shared" si="2"/>
        <v>895317.56898899912</v>
      </c>
      <c r="T49">
        <f t="shared" si="3"/>
        <v>998153.78534534818</v>
      </c>
      <c r="V49">
        <f t="shared" si="0"/>
        <v>0</v>
      </c>
      <c r="W49">
        <f t="shared" si="1"/>
        <v>1</v>
      </c>
      <c r="Y49">
        <v>30000</v>
      </c>
      <c r="Z49">
        <v>0</v>
      </c>
      <c r="AA49">
        <v>1</v>
      </c>
    </row>
    <row r="50" spans="1:27" x14ac:dyDescent="0.2">
      <c r="A50">
        <v>45</v>
      </c>
      <c r="B50">
        <v>297.24529442906373</v>
      </c>
      <c r="C50">
        <v>3239.0508090767512</v>
      </c>
      <c r="D50">
        <v>1117.8053107369046</v>
      </c>
      <c r="E50">
        <v>1033.8454125507649</v>
      </c>
      <c r="F50">
        <v>0.95063667923649675</v>
      </c>
      <c r="G50">
        <v>0.78070554572027784</v>
      </c>
      <c r="H50">
        <v>1.1204914843723912E-2</v>
      </c>
      <c r="I50">
        <v>0.15720875531930578</v>
      </c>
      <c r="J50">
        <v>0.47392130315853437</v>
      </c>
      <c r="L50">
        <v>10935.618037690821</v>
      </c>
      <c r="M50">
        <v>9.9544987346418257</v>
      </c>
      <c r="N50">
        <v>9.0264680343775705</v>
      </c>
      <c r="O50">
        <v>19563.325511206091</v>
      </c>
      <c r="P50">
        <v>11.265232236324097</v>
      </c>
      <c r="Q50">
        <v>10.399272275068375</v>
      </c>
      <c r="S50">
        <f t="shared" si="2"/>
        <v>891711.1854000662</v>
      </c>
      <c r="T50">
        <f t="shared" si="3"/>
        <v>1020363.9019956314</v>
      </c>
      <c r="V50">
        <f t="shared" si="0"/>
        <v>0</v>
      </c>
      <c r="W50">
        <f t="shared" si="1"/>
        <v>1</v>
      </c>
      <c r="Y50">
        <v>35000</v>
      </c>
      <c r="Z50">
        <v>0</v>
      </c>
      <c r="AA50">
        <v>1</v>
      </c>
    </row>
    <row r="51" spans="1:27" x14ac:dyDescent="0.2">
      <c r="A51">
        <v>46</v>
      </c>
      <c r="B51">
        <v>322.90450202983919</v>
      </c>
      <c r="C51">
        <v>3650.2642010945456</v>
      </c>
      <c r="D51">
        <v>1097.61011841343</v>
      </c>
      <c r="E51">
        <v>1132.2825362531194</v>
      </c>
      <c r="F51">
        <v>0.98298083219805243</v>
      </c>
      <c r="G51">
        <v>0.74712990476359686</v>
      </c>
      <c r="H51">
        <v>8.8372305646221127E-3</v>
      </c>
      <c r="I51">
        <v>0.15937370913951965</v>
      </c>
      <c r="J51">
        <v>0.50189521202846721</v>
      </c>
      <c r="L51">
        <v>11470.632184717249</v>
      </c>
      <c r="M51">
        <v>10.367448325064261</v>
      </c>
      <c r="N51">
        <v>9.6448505553854442</v>
      </c>
      <c r="O51">
        <v>20318.377539070392</v>
      </c>
      <c r="P51">
        <v>11.533904764724127</v>
      </c>
      <c r="Q51">
        <v>10.952616238428108</v>
      </c>
      <c r="S51">
        <f t="shared" si="2"/>
        <v>953014.42335382721</v>
      </c>
      <c r="T51">
        <f t="shared" si="3"/>
        <v>1074943.2463037404</v>
      </c>
      <c r="V51">
        <f t="shared" si="0"/>
        <v>0</v>
      </c>
      <c r="W51">
        <f t="shared" si="1"/>
        <v>1</v>
      </c>
      <c r="Y51">
        <v>40000</v>
      </c>
      <c r="Z51">
        <v>0</v>
      </c>
      <c r="AA51">
        <v>1</v>
      </c>
    </row>
    <row r="52" spans="1:27" x14ac:dyDescent="0.2">
      <c r="A52">
        <v>47</v>
      </c>
      <c r="B52">
        <v>450.55943981068344</v>
      </c>
      <c r="C52">
        <v>3091.5691002468593</v>
      </c>
      <c r="D52">
        <v>920.59181583941495</v>
      </c>
      <c r="E52">
        <v>1072.6531960641196</v>
      </c>
      <c r="F52">
        <v>0.96249702477672616</v>
      </c>
      <c r="G52">
        <v>0.75229960674313334</v>
      </c>
      <c r="H52">
        <v>1.1338499444897489E-2</v>
      </c>
      <c r="I52">
        <v>0.16432338602828733</v>
      </c>
      <c r="J52">
        <v>0.56912431755183657</v>
      </c>
      <c r="L52">
        <v>11506.340180817091</v>
      </c>
      <c r="M52">
        <v>9.8591694024036194</v>
      </c>
      <c r="N52">
        <v>8.9623594251331191</v>
      </c>
      <c r="O52">
        <v>18649.337276499315</v>
      </c>
      <c r="P52">
        <v>10.88525678127524</v>
      </c>
      <c r="Q52">
        <v>10.064318722679291</v>
      </c>
      <c r="S52">
        <f t="shared" si="2"/>
        <v>884729.6023324948</v>
      </c>
      <c r="T52">
        <f t="shared" si="3"/>
        <v>987782.53499142965</v>
      </c>
      <c r="V52">
        <f t="shared" si="0"/>
        <v>0</v>
      </c>
      <c r="W52">
        <f t="shared" si="1"/>
        <v>1</v>
      </c>
      <c r="Y52">
        <v>45000</v>
      </c>
      <c r="Z52">
        <v>0</v>
      </c>
      <c r="AA52">
        <v>1</v>
      </c>
    </row>
    <row r="53" spans="1:27" x14ac:dyDescent="0.2">
      <c r="A53">
        <v>48</v>
      </c>
      <c r="B53">
        <v>454.5504354287321</v>
      </c>
      <c r="C53">
        <v>3501.0488410909388</v>
      </c>
      <c r="D53">
        <v>1008.1396192336947</v>
      </c>
      <c r="E53">
        <v>1462.3719866541207</v>
      </c>
      <c r="F53">
        <v>0.9010195109061313</v>
      </c>
      <c r="G53">
        <v>0.80229924731091973</v>
      </c>
      <c r="H53">
        <v>1.0664039542365097E-2</v>
      </c>
      <c r="I53">
        <v>0.18173249213813192</v>
      </c>
      <c r="J53">
        <v>0.50130266956492131</v>
      </c>
      <c r="L53">
        <v>12045.802431787777</v>
      </c>
      <c r="M53">
        <v>9.8138714857013394</v>
      </c>
      <c r="N53">
        <v>8.6164253502300312</v>
      </c>
      <c r="O53">
        <v>20065.885913030957</v>
      </c>
      <c r="P53">
        <v>11.091722787544617</v>
      </c>
      <c r="Q53">
        <v>9.829241985344348</v>
      </c>
      <c r="S53">
        <f t="shared" si="2"/>
        <v>849596.73259121529</v>
      </c>
      <c r="T53">
        <f t="shared" si="3"/>
        <v>962858.31262140383</v>
      </c>
      <c r="V53">
        <f t="shared" si="0"/>
        <v>0</v>
      </c>
      <c r="W53">
        <f t="shared" si="1"/>
        <v>1</v>
      </c>
      <c r="Y53">
        <v>50000</v>
      </c>
      <c r="Z53">
        <v>0</v>
      </c>
      <c r="AA53">
        <v>1</v>
      </c>
    </row>
    <row r="54" spans="1:27" x14ac:dyDescent="0.2">
      <c r="A54">
        <v>49</v>
      </c>
      <c r="B54">
        <v>409.17785955682479</v>
      </c>
      <c r="C54">
        <v>2578.0904638852353</v>
      </c>
      <c r="D54">
        <v>885.12842661804552</v>
      </c>
      <c r="E54">
        <v>1161.7775827541982</v>
      </c>
      <c r="F54">
        <v>0.913238332373005</v>
      </c>
      <c r="G54">
        <v>0.80703077514538324</v>
      </c>
      <c r="H54">
        <v>9.885141186400501E-3</v>
      </c>
      <c r="I54">
        <v>0.17577095650138397</v>
      </c>
      <c r="J54">
        <v>0.48911246557876675</v>
      </c>
      <c r="L54">
        <v>9492.9365999277379</v>
      </c>
      <c r="M54">
        <v>10.01117207286401</v>
      </c>
      <c r="N54">
        <v>8.9010650370531081</v>
      </c>
      <c r="O54">
        <v>17019.827851827697</v>
      </c>
      <c r="P54">
        <v>11.296254876568836</v>
      </c>
      <c r="Q54">
        <v>10.14493977640771</v>
      </c>
      <c r="S54">
        <f t="shared" si="2"/>
        <v>880613.56710538315</v>
      </c>
      <c r="T54">
        <f t="shared" si="3"/>
        <v>997474.14978894335</v>
      </c>
      <c r="V54">
        <f t="shared" si="0"/>
        <v>0</v>
      </c>
      <c r="W54">
        <f t="shared" si="1"/>
        <v>1</v>
      </c>
      <c r="Y54">
        <v>55000</v>
      </c>
      <c r="Z54">
        <v>0</v>
      </c>
      <c r="AA54">
        <v>1</v>
      </c>
    </row>
    <row r="55" spans="1:27" x14ac:dyDescent="0.2">
      <c r="A55">
        <v>50</v>
      </c>
      <c r="B55">
        <v>247.19958789015601</v>
      </c>
      <c r="C55">
        <v>3091.8245860176366</v>
      </c>
      <c r="D55">
        <v>812.22337301507503</v>
      </c>
      <c r="E55">
        <v>1333.3001826194779</v>
      </c>
      <c r="F55">
        <v>0.96616443579209488</v>
      </c>
      <c r="G55">
        <v>0.88209112395924882</v>
      </c>
      <c r="H55">
        <v>9.8965195841820407E-3</v>
      </c>
      <c r="I55">
        <v>0.14163551193960408</v>
      </c>
      <c r="J55">
        <v>0.41621788097749823</v>
      </c>
      <c r="L55">
        <v>10487.307236248311</v>
      </c>
      <c r="M55">
        <v>10.347838216480188</v>
      </c>
      <c r="N55">
        <v>9.7779500291849377</v>
      </c>
      <c r="O55">
        <v>16183.336481248305</v>
      </c>
      <c r="P55">
        <v>11.760293345081946</v>
      </c>
      <c r="Q55">
        <v>11.221417086939544</v>
      </c>
      <c r="S55">
        <f t="shared" si="2"/>
        <v>967307.69568224554</v>
      </c>
      <c r="T55">
        <f t="shared" si="3"/>
        <v>1105958.3722127061</v>
      </c>
      <c r="V55">
        <f t="shared" si="0"/>
        <v>0</v>
      </c>
      <c r="W55">
        <f t="shared" si="1"/>
        <v>1</v>
      </c>
      <c r="Y55">
        <v>60000</v>
      </c>
      <c r="Z55">
        <v>0</v>
      </c>
      <c r="AA55">
        <v>1</v>
      </c>
    </row>
    <row r="56" spans="1:27" x14ac:dyDescent="0.2">
      <c r="A56">
        <v>51</v>
      </c>
      <c r="B56">
        <v>449.759126731322</v>
      </c>
      <c r="C56">
        <v>3292.374872669277</v>
      </c>
      <c r="D56">
        <v>1182.2626677117489</v>
      </c>
      <c r="E56">
        <v>743.73811638172731</v>
      </c>
      <c r="F56">
        <v>0.94171258835576244</v>
      </c>
      <c r="G56">
        <v>0.72533474268585552</v>
      </c>
      <c r="H56">
        <v>9.6730113063972951E-3</v>
      </c>
      <c r="I56">
        <v>0.13131377210182443</v>
      </c>
      <c r="J56">
        <v>0.54119902210907034</v>
      </c>
      <c r="L56">
        <v>12694.718153302207</v>
      </c>
      <c r="M56">
        <v>10.508231353277354</v>
      </c>
      <c r="N56">
        <v>9.3093211110752652</v>
      </c>
      <c r="O56">
        <v>22297.937430979535</v>
      </c>
      <c r="P56">
        <v>11.493112363316103</v>
      </c>
      <c r="Q56">
        <v>10.387388770207666</v>
      </c>
      <c r="S56">
        <f t="shared" si="2"/>
        <v>918237.39295422425</v>
      </c>
      <c r="T56">
        <f t="shared" si="3"/>
        <v>1016440.939589787</v>
      </c>
      <c r="V56">
        <f t="shared" si="0"/>
        <v>0</v>
      </c>
      <c r="W56">
        <f t="shared" si="1"/>
        <v>1</v>
      </c>
      <c r="Y56">
        <v>65000</v>
      </c>
      <c r="Z56">
        <v>0</v>
      </c>
      <c r="AA56">
        <v>1</v>
      </c>
    </row>
    <row r="57" spans="1:27" x14ac:dyDescent="0.2">
      <c r="A57">
        <v>52</v>
      </c>
      <c r="B57">
        <v>381.07227194638153</v>
      </c>
      <c r="C57">
        <v>3237.757165606025</v>
      </c>
      <c r="D57">
        <v>951.70565669259418</v>
      </c>
      <c r="E57">
        <v>988.49230506848915</v>
      </c>
      <c r="F57">
        <v>0.97697273373684468</v>
      </c>
      <c r="G57">
        <v>0.5277118198650752</v>
      </c>
      <c r="H57">
        <v>1.0070534066936011E-2</v>
      </c>
      <c r="I57">
        <v>0.12881801270398993</v>
      </c>
      <c r="J57">
        <v>0.55013422377011689</v>
      </c>
      <c r="L57">
        <v>12305.054517642588</v>
      </c>
      <c r="M57">
        <v>10.471307244623034</v>
      </c>
      <c r="N57">
        <v>8.9783527838057164</v>
      </c>
      <c r="O57">
        <v>19504.004061708049</v>
      </c>
      <c r="P57">
        <v>11.430991371423081</v>
      </c>
      <c r="Q57">
        <v>10.224060359987666</v>
      </c>
      <c r="S57">
        <f t="shared" si="2"/>
        <v>885530.22386292904</v>
      </c>
      <c r="T57">
        <f t="shared" si="3"/>
        <v>1002902.0319370587</v>
      </c>
      <c r="V57">
        <f t="shared" si="0"/>
        <v>0</v>
      </c>
      <c r="W57">
        <f t="shared" si="1"/>
        <v>1</v>
      </c>
      <c r="Y57">
        <v>70000</v>
      </c>
      <c r="Z57">
        <v>0</v>
      </c>
      <c r="AA57">
        <v>1</v>
      </c>
    </row>
    <row r="58" spans="1:27" x14ac:dyDescent="0.2">
      <c r="A58">
        <v>53</v>
      </c>
      <c r="B58">
        <v>669.10596849045385</v>
      </c>
      <c r="C58">
        <v>2930.0719275752863</v>
      </c>
      <c r="D58">
        <v>1090.6912663286387</v>
      </c>
      <c r="E58">
        <v>598.60996605175035</v>
      </c>
      <c r="F58">
        <v>0.95713799978144387</v>
      </c>
      <c r="G58">
        <v>0.84646258865448276</v>
      </c>
      <c r="H58">
        <v>1.0537294036194056E-2</v>
      </c>
      <c r="I58">
        <v>0.1519448433147611</v>
      </c>
      <c r="J58">
        <v>0.62906354760454153</v>
      </c>
      <c r="L58">
        <v>12806.105541954286</v>
      </c>
      <c r="M58">
        <v>10.122652409636476</v>
      </c>
      <c r="N58">
        <v>9.4048787637240867</v>
      </c>
      <c r="O58">
        <v>21887.259240012881</v>
      </c>
      <c r="P58">
        <v>10.939188319536509</v>
      </c>
      <c r="Q58">
        <v>10.238954326267249</v>
      </c>
      <c r="S58">
        <f t="shared" si="2"/>
        <v>927681.77083045442</v>
      </c>
      <c r="T58">
        <f t="shared" si="3"/>
        <v>1002008.1733867121</v>
      </c>
      <c r="V58">
        <f t="shared" si="0"/>
        <v>0</v>
      </c>
      <c r="W58">
        <f t="shared" si="1"/>
        <v>1</v>
      </c>
      <c r="Y58">
        <v>75000</v>
      </c>
      <c r="Z58">
        <v>0</v>
      </c>
      <c r="AA58">
        <v>1</v>
      </c>
    </row>
    <row r="59" spans="1:27" x14ac:dyDescent="0.2">
      <c r="A59">
        <v>54</v>
      </c>
      <c r="B59">
        <v>442.52757700980339</v>
      </c>
      <c r="C59">
        <v>2209.788932593015</v>
      </c>
      <c r="D59">
        <v>1067.5411556819038</v>
      </c>
      <c r="E59">
        <v>1119.3574043388935</v>
      </c>
      <c r="F59">
        <v>0.98584855866573418</v>
      </c>
      <c r="G59">
        <v>0.80013921840047819</v>
      </c>
      <c r="H59">
        <v>9.9621397142213523E-3</v>
      </c>
      <c r="I59">
        <v>0.13944005316260857</v>
      </c>
      <c r="J59">
        <v>0.50749230193880279</v>
      </c>
      <c r="L59">
        <v>9674.5075559001125</v>
      </c>
      <c r="M59">
        <v>10.361384602308181</v>
      </c>
      <c r="N59">
        <v>9.7233557123044676</v>
      </c>
      <c r="O59">
        <v>18964.239957075184</v>
      </c>
      <c r="P59">
        <v>11.477258833438722</v>
      </c>
      <c r="Q59">
        <v>10.960523611322138</v>
      </c>
      <c r="S59">
        <f t="shared" si="2"/>
        <v>962661.06367454666</v>
      </c>
      <c r="T59">
        <f t="shared" si="3"/>
        <v>1077088.1211751387</v>
      </c>
      <c r="V59">
        <f t="shared" si="0"/>
        <v>0</v>
      </c>
      <c r="W59">
        <f t="shared" si="1"/>
        <v>1</v>
      </c>
      <c r="Y59">
        <v>80000</v>
      </c>
      <c r="Z59">
        <v>0</v>
      </c>
      <c r="AA59">
        <v>1</v>
      </c>
    </row>
    <row r="60" spans="1:27" x14ac:dyDescent="0.2">
      <c r="A60">
        <v>55</v>
      </c>
      <c r="B60">
        <v>532.39137819139683</v>
      </c>
      <c r="C60">
        <v>1861.1620034950492</v>
      </c>
      <c r="D60">
        <v>1167.2718324398616</v>
      </c>
      <c r="E60">
        <v>1010.3019036604693</v>
      </c>
      <c r="F60">
        <v>0.97766818219379537</v>
      </c>
      <c r="G60">
        <v>0.80577770280348404</v>
      </c>
      <c r="H60">
        <v>1.0001676283559181E-2</v>
      </c>
      <c r="I60">
        <v>0.1505218692538024</v>
      </c>
      <c r="J60">
        <v>0.54321852035905371</v>
      </c>
      <c r="L60">
        <v>9190.5068722641481</v>
      </c>
      <c r="M60">
        <v>10.231885428113518</v>
      </c>
      <c r="N60">
        <v>9.568899864447749</v>
      </c>
      <c r="O60">
        <v>19763.946569066669</v>
      </c>
      <c r="P60">
        <v>11.278272295380766</v>
      </c>
      <c r="Q60">
        <v>10.700420938938651</v>
      </c>
      <c r="S60">
        <f t="shared" si="2"/>
        <v>947699.4795725107</v>
      </c>
      <c r="T60">
        <f t="shared" si="3"/>
        <v>1050278.1473247984</v>
      </c>
      <c r="V60">
        <f t="shared" si="0"/>
        <v>0</v>
      </c>
      <c r="W60">
        <f t="shared" si="1"/>
        <v>1</v>
      </c>
      <c r="Y60">
        <v>85000</v>
      </c>
      <c r="Z60">
        <v>0</v>
      </c>
      <c r="AA60">
        <v>1</v>
      </c>
    </row>
    <row r="61" spans="1:27" x14ac:dyDescent="0.2">
      <c r="A61">
        <v>56</v>
      </c>
      <c r="B61">
        <v>498.8751243562628</v>
      </c>
      <c r="C61">
        <v>3004.587392029131</v>
      </c>
      <c r="D61">
        <v>1220.9693334767071</v>
      </c>
      <c r="E61">
        <v>962.90174893204892</v>
      </c>
      <c r="F61">
        <v>0.98119135705779481</v>
      </c>
      <c r="G61">
        <v>0.80409094434920514</v>
      </c>
      <c r="H61">
        <v>9.8611679098753891E-3</v>
      </c>
      <c r="I61">
        <v>0.14969695130774607</v>
      </c>
      <c r="J61">
        <v>0.55024019806931213</v>
      </c>
      <c r="L61">
        <v>11804.484412542439</v>
      </c>
      <c r="M61">
        <v>10.265988472521641</v>
      </c>
      <c r="N61">
        <v>9.626245102908662</v>
      </c>
      <c r="O61">
        <v>22128.422232499317</v>
      </c>
      <c r="P61">
        <v>11.286717030470653</v>
      </c>
      <c r="Q61">
        <v>10.7376731333077</v>
      </c>
      <c r="S61">
        <f t="shared" si="2"/>
        <v>950820.02587832382</v>
      </c>
      <c r="T61">
        <f t="shared" si="3"/>
        <v>1051638.8910982707</v>
      </c>
      <c r="V61">
        <f t="shared" si="0"/>
        <v>0</v>
      </c>
      <c r="W61">
        <f t="shared" si="1"/>
        <v>1</v>
      </c>
      <c r="Y61">
        <v>90000</v>
      </c>
      <c r="Z61">
        <v>0</v>
      </c>
      <c r="AA61">
        <v>1</v>
      </c>
    </row>
    <row r="62" spans="1:27" x14ac:dyDescent="0.2">
      <c r="A62">
        <v>57</v>
      </c>
      <c r="B62">
        <v>671.34721067779026</v>
      </c>
      <c r="C62">
        <v>3109.0928888076483</v>
      </c>
      <c r="D62">
        <v>1207.6298750628996</v>
      </c>
      <c r="E62">
        <v>1147.2641495185471</v>
      </c>
      <c r="F62">
        <v>0.95158604556078319</v>
      </c>
      <c r="G62">
        <v>0.81478597568186806</v>
      </c>
      <c r="H62">
        <v>9.9435284711180474E-3</v>
      </c>
      <c r="I62">
        <v>0.10761229846659602</v>
      </c>
      <c r="J62">
        <v>0.45788776363354577</v>
      </c>
      <c r="L62">
        <v>15091.087012867712</v>
      </c>
      <c r="M62">
        <v>10.785609445685337</v>
      </c>
      <c r="N62">
        <v>9.844137692946628</v>
      </c>
      <c r="O62">
        <v>25171.26375384198</v>
      </c>
      <c r="P62">
        <v>11.905503065564616</v>
      </c>
      <c r="Q62">
        <v>11.046015801712167</v>
      </c>
      <c r="S62">
        <f t="shared" si="2"/>
        <v>969322.68228179507</v>
      </c>
      <c r="T62">
        <f t="shared" si="3"/>
        <v>1079430.3164173746</v>
      </c>
      <c r="V62">
        <f t="shared" si="0"/>
        <v>0</v>
      </c>
      <c r="W62">
        <f t="shared" si="1"/>
        <v>1</v>
      </c>
      <c r="Y62">
        <v>95000</v>
      </c>
      <c r="Z62">
        <v>0</v>
      </c>
      <c r="AA62">
        <v>1</v>
      </c>
    </row>
    <row r="63" spans="1:27" x14ac:dyDescent="0.2">
      <c r="A63">
        <v>58</v>
      </c>
      <c r="B63">
        <v>624.65143470499891</v>
      </c>
      <c r="C63">
        <v>2556.7995120652149</v>
      </c>
      <c r="D63">
        <v>1136.6804830412057</v>
      </c>
      <c r="E63">
        <v>699.78080961855278</v>
      </c>
      <c r="F63">
        <v>0.96228932804541667</v>
      </c>
      <c r="G63">
        <v>0.64749670422397732</v>
      </c>
      <c r="H63">
        <v>9.1159776712569224E-3</v>
      </c>
      <c r="I63">
        <v>0.12214909265651015</v>
      </c>
      <c r="J63">
        <v>0.51869829758349095</v>
      </c>
      <c r="L63">
        <v>12257.845666032548</v>
      </c>
      <c r="M63">
        <v>10.720901120700903</v>
      </c>
      <c r="N63">
        <v>9.4489711377675967</v>
      </c>
      <c r="O63">
        <v>22386.242479896253</v>
      </c>
      <c r="P63">
        <v>11.719913048008435</v>
      </c>
      <c r="Q63">
        <v>10.65490295683683</v>
      </c>
      <c r="S63">
        <f t="shared" si="2"/>
        <v>932639.26811072719</v>
      </c>
      <c r="T63">
        <f t="shared" si="3"/>
        <v>1043104.0532037866</v>
      </c>
      <c r="V63">
        <f t="shared" si="0"/>
        <v>0</v>
      </c>
      <c r="W63">
        <f t="shared" si="1"/>
        <v>1</v>
      </c>
      <c r="Y63">
        <v>100000</v>
      </c>
      <c r="Z63">
        <v>0</v>
      </c>
      <c r="AA63">
        <v>1</v>
      </c>
    </row>
    <row r="64" spans="1:27" x14ac:dyDescent="0.2">
      <c r="A64">
        <v>59</v>
      </c>
      <c r="B64">
        <v>484.99471831692648</v>
      </c>
      <c r="C64">
        <v>3940.4498007174539</v>
      </c>
      <c r="D64">
        <v>852.05195423794328</v>
      </c>
      <c r="E64">
        <v>1201.4804561491612</v>
      </c>
      <c r="F64">
        <v>0.98054737800377267</v>
      </c>
      <c r="G64">
        <v>0.79852919003758327</v>
      </c>
      <c r="H64">
        <v>9.4621234405356941E-3</v>
      </c>
      <c r="I64">
        <v>0.16044670496166968</v>
      </c>
      <c r="J64">
        <v>0.49176348794035313</v>
      </c>
      <c r="L64">
        <v>13618.803407848252</v>
      </c>
      <c r="M64">
        <v>10.23269482909822</v>
      </c>
      <c r="N64">
        <v>9.6017750979632517</v>
      </c>
      <c r="O64">
        <v>19987.383917583193</v>
      </c>
      <c r="P64">
        <v>11.452982028477702</v>
      </c>
      <c r="Q64">
        <v>10.925921861286984</v>
      </c>
      <c r="S64">
        <f t="shared" si="2"/>
        <v>946558.70638847689</v>
      </c>
      <c r="T64">
        <f t="shared" si="3"/>
        <v>1072604.8022111151</v>
      </c>
      <c r="V64">
        <f t="shared" si="0"/>
        <v>0</v>
      </c>
      <c r="W64">
        <f t="shared" si="1"/>
        <v>1</v>
      </c>
    </row>
    <row r="65" spans="1:23" x14ac:dyDescent="0.2">
      <c r="A65">
        <v>60</v>
      </c>
      <c r="B65">
        <v>476.86984622589301</v>
      </c>
      <c r="C65">
        <v>2392.2064514189965</v>
      </c>
      <c r="D65">
        <v>1209.6657766494855</v>
      </c>
      <c r="E65">
        <v>1387.0629067012683</v>
      </c>
      <c r="F65">
        <v>0.95606641083958421</v>
      </c>
      <c r="G65">
        <v>0.74483221686696466</v>
      </c>
      <c r="H65">
        <v>1.092066727916103E-2</v>
      </c>
      <c r="I65">
        <v>0.14164275890471154</v>
      </c>
      <c r="J65">
        <v>0.46923234458519203</v>
      </c>
      <c r="L65">
        <v>10591.094614699063</v>
      </c>
      <c r="M65">
        <v>10.174730034396561</v>
      </c>
      <c r="N65">
        <v>9.1536641730975639</v>
      </c>
      <c r="O65">
        <v>21010.899737407031</v>
      </c>
      <c r="P65">
        <v>11.439184118612113</v>
      </c>
      <c r="Q65">
        <v>10.534280644106625</v>
      </c>
      <c r="S65">
        <f t="shared" si="2"/>
        <v>904775.32269505737</v>
      </c>
      <c r="T65">
        <f t="shared" si="3"/>
        <v>1032417.1646732555</v>
      </c>
      <c r="V65">
        <f t="shared" si="0"/>
        <v>0</v>
      </c>
      <c r="W65">
        <f t="shared" si="1"/>
        <v>1</v>
      </c>
    </row>
    <row r="66" spans="1:23" x14ac:dyDescent="0.2">
      <c r="A66">
        <v>61</v>
      </c>
      <c r="B66">
        <v>583.86254943363633</v>
      </c>
      <c r="C66">
        <v>3631.7065960944774</v>
      </c>
      <c r="D66">
        <v>857.99487489020714</v>
      </c>
      <c r="E66">
        <v>950.39687193366331</v>
      </c>
      <c r="F66">
        <v>0.9202429552598187</v>
      </c>
      <c r="G66">
        <v>0.72247263885997004</v>
      </c>
      <c r="H66">
        <v>8.9392213646433735E-3</v>
      </c>
      <c r="I66">
        <v>0.14890828806404621</v>
      </c>
      <c r="J66">
        <v>0.43170424904230253</v>
      </c>
      <c r="L66">
        <v>13848.444905703069</v>
      </c>
      <c r="M66">
        <v>10.44885440153851</v>
      </c>
      <c r="N66">
        <v>9.1350521828836833</v>
      </c>
      <c r="O66">
        <v>20665.066699751565</v>
      </c>
      <c r="P66">
        <v>11.804087243645922</v>
      </c>
      <c r="Q66">
        <v>10.553400913753375</v>
      </c>
      <c r="S66">
        <f t="shared" si="2"/>
        <v>899656.77338266524</v>
      </c>
      <c r="T66">
        <f t="shared" si="3"/>
        <v>1034675.0246755859</v>
      </c>
      <c r="V66">
        <f t="shared" si="0"/>
        <v>0</v>
      </c>
      <c r="W66">
        <f t="shared" si="1"/>
        <v>1</v>
      </c>
    </row>
    <row r="67" spans="1:23" x14ac:dyDescent="0.2">
      <c r="A67">
        <v>62</v>
      </c>
      <c r="B67">
        <v>840.34261114141293</v>
      </c>
      <c r="C67">
        <v>2889.0303032317438</v>
      </c>
      <c r="D67">
        <v>1192.2342239143572</v>
      </c>
      <c r="E67">
        <v>769.75456031438398</v>
      </c>
      <c r="F67">
        <v>0.95419083930074489</v>
      </c>
      <c r="G67">
        <v>0.6275582005064102</v>
      </c>
      <c r="H67">
        <v>1.157857776108834E-2</v>
      </c>
      <c r="I67">
        <v>0.16102672844357313</v>
      </c>
      <c r="J67">
        <v>0.54475729278834983</v>
      </c>
      <c r="L67">
        <v>13844.32721346823</v>
      </c>
      <c r="M67">
        <v>9.8537830986690675</v>
      </c>
      <c r="N67">
        <v>8.5659366643130461</v>
      </c>
      <c r="O67">
        <v>24184.427583397475</v>
      </c>
      <c r="P67">
        <v>10.949959610046617</v>
      </c>
      <c r="Q67">
        <v>9.80608542563904</v>
      </c>
      <c r="S67">
        <f t="shared" si="2"/>
        <v>842749.33921783639</v>
      </c>
      <c r="T67">
        <f t="shared" si="3"/>
        <v>956424.11498050648</v>
      </c>
      <c r="V67">
        <f t="shared" si="0"/>
        <v>0</v>
      </c>
      <c r="W67">
        <f t="shared" si="1"/>
        <v>1</v>
      </c>
    </row>
    <row r="68" spans="1:23" x14ac:dyDescent="0.2">
      <c r="A68">
        <v>63</v>
      </c>
      <c r="B68">
        <v>491.45190887439122</v>
      </c>
      <c r="C68">
        <v>3055.9191719625424</v>
      </c>
      <c r="D68">
        <v>1002.4408010985363</v>
      </c>
      <c r="E68">
        <v>1422.934752619293</v>
      </c>
      <c r="F68">
        <v>0.96320510303148588</v>
      </c>
      <c r="G68">
        <v>0.77289193351657992</v>
      </c>
      <c r="H68">
        <v>1.0397919817373515E-2</v>
      </c>
      <c r="I68">
        <v>0.20560020085929565</v>
      </c>
      <c r="J68">
        <v>0.42168603771195151</v>
      </c>
      <c r="L68">
        <v>10698.5209992773</v>
      </c>
      <c r="M68">
        <v>9.6752917699995926</v>
      </c>
      <c r="N68">
        <v>8.923374220557271</v>
      </c>
      <c r="O68">
        <v>19429.788217711499</v>
      </c>
      <c r="P68">
        <v>11.302473621533869</v>
      </c>
      <c r="Q68">
        <v>10.62542712288259</v>
      </c>
      <c r="S68">
        <f t="shared" si="2"/>
        <v>881638.90105644986</v>
      </c>
      <c r="T68">
        <f t="shared" si="3"/>
        <v>1043112.9240705476</v>
      </c>
      <c r="V68">
        <f t="shared" si="0"/>
        <v>0</v>
      </c>
      <c r="W68">
        <f t="shared" si="1"/>
        <v>1</v>
      </c>
    </row>
    <row r="69" spans="1:23" x14ac:dyDescent="0.2">
      <c r="A69">
        <v>64</v>
      </c>
      <c r="B69">
        <v>437.78944309222385</v>
      </c>
      <c r="C69">
        <v>2973.2402726729447</v>
      </c>
      <c r="D69">
        <v>936.85835893728847</v>
      </c>
      <c r="E69">
        <v>989.06027230828806</v>
      </c>
      <c r="F69">
        <v>0.94708388840637114</v>
      </c>
      <c r="G69">
        <v>0.54721289573765342</v>
      </c>
      <c r="H69">
        <v>8.5983708852212966E-3</v>
      </c>
      <c r="I69">
        <v>0.1435327230162276</v>
      </c>
      <c r="J69">
        <v>0.52501898216982357</v>
      </c>
      <c r="L69">
        <v>11171.201851667791</v>
      </c>
      <c r="M69">
        <v>10.572228728593798</v>
      </c>
      <c r="N69">
        <v>9.0356232360385764</v>
      </c>
      <c r="O69">
        <v>19025.264639918882</v>
      </c>
      <c r="P69">
        <v>11.614906811614837</v>
      </c>
      <c r="Q69">
        <v>10.297556172212589</v>
      </c>
      <c r="S69">
        <f t="shared" si="2"/>
        <v>892391.12175218982</v>
      </c>
      <c r="T69">
        <f t="shared" si="3"/>
        <v>1010730.35258134</v>
      </c>
      <c r="V69">
        <f t="shared" si="0"/>
        <v>0</v>
      </c>
      <c r="W69">
        <f t="shared" si="1"/>
        <v>1</v>
      </c>
    </row>
    <row r="70" spans="1:23" x14ac:dyDescent="0.2">
      <c r="A70">
        <v>65</v>
      </c>
      <c r="B70">
        <v>832.58908232358419</v>
      </c>
      <c r="C70">
        <v>2827.3885096279428</v>
      </c>
      <c r="D70">
        <v>924.38658729082113</v>
      </c>
      <c r="E70">
        <v>1049.4127804285624</v>
      </c>
      <c r="F70">
        <v>0.95396340677758096</v>
      </c>
      <c r="G70">
        <v>0.60146632530490918</v>
      </c>
      <c r="H70">
        <v>9.3102930643134563E-3</v>
      </c>
      <c r="I70">
        <v>0.15612075984857599</v>
      </c>
      <c r="J70">
        <v>0.52325477639159312</v>
      </c>
      <c r="L70">
        <v>13756.675450896817</v>
      </c>
      <c r="M70">
        <v>10.304043484722966</v>
      </c>
      <c r="N70">
        <v>8.9841906403409819</v>
      </c>
      <c r="O70">
        <v>22201.794961013762</v>
      </c>
      <c r="P70">
        <v>11.410180637407937</v>
      </c>
      <c r="Q70">
        <v>10.269609600645799</v>
      </c>
      <c r="S70">
        <f t="shared" si="2"/>
        <v>884662.38858320133</v>
      </c>
      <c r="T70">
        <f t="shared" si="3"/>
        <v>1004759.1651035661</v>
      </c>
      <c r="V70">
        <f t="shared" ref="V70:V133" si="4">IF(S70=MAX($S70:$T70),1,0)</f>
        <v>0</v>
      </c>
      <c r="W70">
        <f t="shared" ref="W70:W133" si="5">IF(T70=MAX($S70:$T70),1,0)</f>
        <v>1</v>
      </c>
    </row>
    <row r="71" spans="1:23" x14ac:dyDescent="0.2">
      <c r="A71">
        <v>66</v>
      </c>
      <c r="B71">
        <v>583.06499233283932</v>
      </c>
      <c r="C71">
        <v>2388.9773268182134</v>
      </c>
      <c r="D71">
        <v>1071.382789490078</v>
      </c>
      <c r="E71">
        <v>1129.6890613830988</v>
      </c>
      <c r="F71">
        <v>0.93983230457821509</v>
      </c>
      <c r="G71">
        <v>0.87853240452970849</v>
      </c>
      <c r="H71">
        <v>1.0672958178716583E-2</v>
      </c>
      <c r="I71">
        <v>0.14609705929168706</v>
      </c>
      <c r="J71">
        <v>0.53344790157851973</v>
      </c>
      <c r="L71">
        <v>11134.313208054818</v>
      </c>
      <c r="M71">
        <v>10.163973761303479</v>
      </c>
      <c r="N71">
        <v>9.3904520202011206</v>
      </c>
      <c r="O71">
        <v>20374.969196144688</v>
      </c>
      <c r="P71">
        <v>11.238502699014999</v>
      </c>
      <c r="Q71">
        <v>10.440913835910758</v>
      </c>
      <c r="S71">
        <f t="shared" ref="S71:S134" si="6">$T$1*N71-L71</f>
        <v>927910.88881205721</v>
      </c>
      <c r="T71">
        <f t="shared" ref="T71:T134" si="7">$T$1*Q71-O71</f>
        <v>1023716.4143949311</v>
      </c>
      <c r="V71">
        <f t="shared" si="4"/>
        <v>0</v>
      </c>
      <c r="W71">
        <f t="shared" si="5"/>
        <v>1</v>
      </c>
    </row>
    <row r="72" spans="1:23" x14ac:dyDescent="0.2">
      <c r="A72">
        <v>67</v>
      </c>
      <c r="B72">
        <v>424.87694200609263</v>
      </c>
      <c r="C72">
        <v>3017.2332340300654</v>
      </c>
      <c r="D72">
        <v>886.53480950051016</v>
      </c>
      <c r="E72">
        <v>1381.6882242614265</v>
      </c>
      <c r="F72">
        <v>0.96873120806472701</v>
      </c>
      <c r="G72">
        <v>0.81555095949559586</v>
      </c>
      <c r="H72">
        <v>8.9637817185786364E-3</v>
      </c>
      <c r="I72">
        <v>0.18359463167615109</v>
      </c>
      <c r="J72">
        <v>0.55332410625024087</v>
      </c>
      <c r="L72">
        <v>10342.971073395523</v>
      </c>
      <c r="M72">
        <v>10.13331466572288</v>
      </c>
      <c r="N72">
        <v>9.4915016859916221</v>
      </c>
      <c r="O72">
        <v>17813.01350848503</v>
      </c>
      <c r="P72">
        <v>11.208125945821712</v>
      </c>
      <c r="Q72">
        <v>10.614186631104156</v>
      </c>
      <c r="S72">
        <f t="shared" si="6"/>
        <v>938807.19752576668</v>
      </c>
      <c r="T72">
        <f t="shared" si="7"/>
        <v>1043605.6496019306</v>
      </c>
      <c r="V72">
        <f t="shared" si="4"/>
        <v>0</v>
      </c>
      <c r="W72">
        <f t="shared" si="5"/>
        <v>1</v>
      </c>
    </row>
    <row r="73" spans="1:23" x14ac:dyDescent="0.2">
      <c r="A73">
        <v>68</v>
      </c>
      <c r="B73">
        <v>399.96364736503409</v>
      </c>
      <c r="C73">
        <v>3656.3165768321514</v>
      </c>
      <c r="D73">
        <v>1028.5312345163347</v>
      </c>
      <c r="E73">
        <v>906.84991576262041</v>
      </c>
      <c r="F73">
        <v>0.90865016471154603</v>
      </c>
      <c r="G73">
        <v>0.73364060572898271</v>
      </c>
      <c r="H73">
        <v>1.0793942770027324E-2</v>
      </c>
      <c r="I73">
        <v>0.15573371410235837</v>
      </c>
      <c r="J73">
        <v>0.52295215234727499</v>
      </c>
      <c r="L73">
        <v>12674.606546589172</v>
      </c>
      <c r="M73">
        <v>10.038633221270437</v>
      </c>
      <c r="N73">
        <v>8.6755534093261151</v>
      </c>
      <c r="O73">
        <v>20456.726520309741</v>
      </c>
      <c r="P73">
        <v>11.176648209802401</v>
      </c>
      <c r="Q73">
        <v>9.823902347755638</v>
      </c>
      <c r="S73">
        <f t="shared" si="6"/>
        <v>854880.73438602232</v>
      </c>
      <c r="T73">
        <f t="shared" si="7"/>
        <v>961933.50825525413</v>
      </c>
      <c r="V73">
        <f t="shared" si="4"/>
        <v>0</v>
      </c>
      <c r="W73">
        <f t="shared" si="5"/>
        <v>1</v>
      </c>
    </row>
    <row r="74" spans="1:23" x14ac:dyDescent="0.2">
      <c r="A74">
        <v>69</v>
      </c>
      <c r="B74">
        <v>495.50205062068187</v>
      </c>
      <c r="C74">
        <v>3371.4377439194272</v>
      </c>
      <c r="D74">
        <v>996.08651598770098</v>
      </c>
      <c r="E74">
        <v>806.74679282844397</v>
      </c>
      <c r="F74">
        <v>0.90741464285619367</v>
      </c>
      <c r="G74">
        <v>0.82508717264578779</v>
      </c>
      <c r="H74">
        <v>9.8140268932211602E-3</v>
      </c>
      <c r="I74">
        <v>0.13340593759083724</v>
      </c>
      <c r="J74">
        <v>0.47071300735896687</v>
      </c>
      <c r="L74">
        <v>13240.456847684565</v>
      </c>
      <c r="M74">
        <v>10.458331256047874</v>
      </c>
      <c r="N74">
        <v>9.2676837275262383</v>
      </c>
      <c r="O74">
        <v>21083.505147113268</v>
      </c>
      <c r="P74">
        <v>11.658293668336414</v>
      </c>
      <c r="Q74">
        <v>10.425883914649081</v>
      </c>
      <c r="S74">
        <f t="shared" si="6"/>
        <v>913527.91590493929</v>
      </c>
      <c r="T74">
        <f t="shared" si="7"/>
        <v>1021504.8863177948</v>
      </c>
      <c r="V74">
        <f t="shared" si="4"/>
        <v>0</v>
      </c>
      <c r="W74">
        <f t="shared" si="5"/>
        <v>1</v>
      </c>
    </row>
    <row r="75" spans="1:23" x14ac:dyDescent="0.2">
      <c r="A75">
        <v>70</v>
      </c>
      <c r="B75">
        <v>437.20873572902201</v>
      </c>
      <c r="C75">
        <v>2213.985623208137</v>
      </c>
      <c r="D75">
        <v>1047.7989670332499</v>
      </c>
      <c r="E75">
        <v>1201.9898849476419</v>
      </c>
      <c r="F75">
        <v>0.97663478186490704</v>
      </c>
      <c r="G75">
        <v>0.68287083849111663</v>
      </c>
      <c r="H75">
        <v>8.8544127781089825E-3</v>
      </c>
      <c r="I75">
        <v>0.11300538283933649</v>
      </c>
      <c r="J75">
        <v>0.56918136148923271</v>
      </c>
      <c r="L75">
        <v>10195.392638418065</v>
      </c>
      <c r="M75">
        <v>10.888031405809881</v>
      </c>
      <c r="N75">
        <v>9.7988424954401108</v>
      </c>
      <c r="O75">
        <v>19252.605789668247</v>
      </c>
      <c r="P75">
        <v>11.718072036639951</v>
      </c>
      <c r="Q75">
        <v>10.815456541465787</v>
      </c>
      <c r="S75">
        <f t="shared" si="6"/>
        <v>969688.85690559307</v>
      </c>
      <c r="T75">
        <f t="shared" si="7"/>
        <v>1062293.0483569105</v>
      </c>
      <c r="V75">
        <f t="shared" si="4"/>
        <v>0</v>
      </c>
      <c r="W75">
        <f t="shared" si="5"/>
        <v>1</v>
      </c>
    </row>
    <row r="76" spans="1:23" x14ac:dyDescent="0.2">
      <c r="A76">
        <v>71</v>
      </c>
      <c r="B76">
        <v>644.26970853608771</v>
      </c>
      <c r="C76">
        <v>4258.8532350640544</v>
      </c>
      <c r="D76">
        <v>985.1670569692061</v>
      </c>
      <c r="E76">
        <v>1273.0167996584273</v>
      </c>
      <c r="F76">
        <v>0.90937920208458689</v>
      </c>
      <c r="G76">
        <v>0.86539842768169628</v>
      </c>
      <c r="H76">
        <v>8.3574260630204338E-3</v>
      </c>
      <c r="I76">
        <v>0.15928097710768596</v>
      </c>
      <c r="J76">
        <v>0.42806962637031343</v>
      </c>
      <c r="L76">
        <v>15376.766380450501</v>
      </c>
      <c r="M76">
        <v>10.469213056860282</v>
      </c>
      <c r="N76">
        <v>9.4210355688535312</v>
      </c>
      <c r="O76">
        <v>23360.187862311217</v>
      </c>
      <c r="P76">
        <v>11.849166565501333</v>
      </c>
      <c r="Q76">
        <v>10.712451242450026</v>
      </c>
      <c r="S76">
        <f t="shared" si="6"/>
        <v>926726.79050490272</v>
      </c>
      <c r="T76">
        <f t="shared" si="7"/>
        <v>1047884.9363826914</v>
      </c>
      <c r="V76">
        <f t="shared" si="4"/>
        <v>0</v>
      </c>
      <c r="W76">
        <f t="shared" si="5"/>
        <v>1</v>
      </c>
    </row>
    <row r="77" spans="1:23" x14ac:dyDescent="0.2">
      <c r="A77">
        <v>72</v>
      </c>
      <c r="B77">
        <v>505.23143352451893</v>
      </c>
      <c r="C77">
        <v>2805.1555914165069</v>
      </c>
      <c r="D77">
        <v>1156.140565357721</v>
      </c>
      <c r="E77">
        <v>1235.5189593984244</v>
      </c>
      <c r="F77">
        <v>0.94719788354409828</v>
      </c>
      <c r="G77">
        <v>0.72259994715187603</v>
      </c>
      <c r="H77">
        <v>1.0306262534653009E-2</v>
      </c>
      <c r="I77">
        <v>0.12463385342693048</v>
      </c>
      <c r="J77">
        <v>0.52388130711996017</v>
      </c>
      <c r="L77">
        <v>12333.723769522927</v>
      </c>
      <c r="M77">
        <v>10.486867148400673</v>
      </c>
      <c r="N77">
        <v>9.289210212397057</v>
      </c>
      <c r="O77">
        <v>21857.564939224016</v>
      </c>
      <c r="P77">
        <v>11.508152432727673</v>
      </c>
      <c r="Q77">
        <v>10.4266053712887</v>
      </c>
      <c r="S77">
        <f t="shared" si="6"/>
        <v>916587.29747018276</v>
      </c>
      <c r="T77">
        <f t="shared" si="7"/>
        <v>1020802.972189646</v>
      </c>
      <c r="V77">
        <f t="shared" si="4"/>
        <v>0</v>
      </c>
      <c r="W77">
        <f t="shared" si="5"/>
        <v>1</v>
      </c>
    </row>
    <row r="78" spans="1:23" x14ac:dyDescent="0.2">
      <c r="A78">
        <v>73</v>
      </c>
      <c r="B78">
        <v>416.14115067456856</v>
      </c>
      <c r="C78">
        <v>2908.884774824784</v>
      </c>
      <c r="D78">
        <v>1139.6564157498501</v>
      </c>
      <c r="E78">
        <v>973.21644356709976</v>
      </c>
      <c r="F78">
        <v>0.93788586669677121</v>
      </c>
      <c r="G78">
        <v>0.80087634364946036</v>
      </c>
      <c r="H78">
        <v>9.1793260355437344E-3</v>
      </c>
      <c r="I78">
        <v>0.17120118131180062</v>
      </c>
      <c r="J78">
        <v>0.43864005490609048</v>
      </c>
      <c r="L78">
        <v>10212.706895416079</v>
      </c>
      <c r="M78">
        <v>10.19085149453737</v>
      </c>
      <c r="N78">
        <v>9.2501861412833524</v>
      </c>
      <c r="O78">
        <v>20302.799863717792</v>
      </c>
      <c r="P78">
        <v>11.611372397917153</v>
      </c>
      <c r="Q78">
        <v>10.688387224778745</v>
      </c>
      <c r="S78">
        <f t="shared" si="6"/>
        <v>914805.90723291924</v>
      </c>
      <c r="T78">
        <f t="shared" si="7"/>
        <v>1048535.9226141567</v>
      </c>
      <c r="V78">
        <f t="shared" si="4"/>
        <v>0</v>
      </c>
      <c r="W78">
        <f t="shared" si="5"/>
        <v>1</v>
      </c>
    </row>
    <row r="79" spans="1:23" x14ac:dyDescent="0.2">
      <c r="A79">
        <v>74</v>
      </c>
      <c r="B79">
        <v>353.26039449021113</v>
      </c>
      <c r="C79">
        <v>3453.9456728532277</v>
      </c>
      <c r="D79">
        <v>1126.5339317461392</v>
      </c>
      <c r="E79">
        <v>742.29366957648574</v>
      </c>
      <c r="F79">
        <v>0.96933775231943731</v>
      </c>
      <c r="G79">
        <v>0.69643650159260417</v>
      </c>
      <c r="H79">
        <v>8.7620308688535486E-3</v>
      </c>
      <c r="I79">
        <v>0.15630654254745002</v>
      </c>
      <c r="J79">
        <v>0.43075082241092888</v>
      </c>
      <c r="L79">
        <v>11192.487696093016</v>
      </c>
      <c r="M79">
        <v>10.411784478766522</v>
      </c>
      <c r="N79">
        <v>9.4550231241708715</v>
      </c>
      <c r="O79">
        <v>20577.739204762223</v>
      </c>
      <c r="P79">
        <v>11.79066065248858</v>
      </c>
      <c r="Q79">
        <v>11.020469811103707</v>
      </c>
      <c r="S79">
        <f t="shared" si="6"/>
        <v>934309.8247209941</v>
      </c>
      <c r="T79">
        <f t="shared" si="7"/>
        <v>1081469.2419056084</v>
      </c>
      <c r="V79">
        <f t="shared" si="4"/>
        <v>0</v>
      </c>
      <c r="W79">
        <f t="shared" si="5"/>
        <v>1</v>
      </c>
    </row>
    <row r="80" spans="1:23" x14ac:dyDescent="0.2">
      <c r="A80">
        <v>75</v>
      </c>
      <c r="B80">
        <v>427.87016538691654</v>
      </c>
      <c r="C80">
        <v>3399.7675963205065</v>
      </c>
      <c r="D80">
        <v>1101.5242573574787</v>
      </c>
      <c r="E80">
        <v>1032.3722096246859</v>
      </c>
      <c r="F80">
        <v>0.93987917501416507</v>
      </c>
      <c r="G80">
        <v>0.75569731529479434</v>
      </c>
      <c r="H80">
        <v>1.0675825300003204E-2</v>
      </c>
      <c r="I80">
        <v>0.14436640557531502</v>
      </c>
      <c r="J80">
        <v>0.54412993932625464</v>
      </c>
      <c r="L80">
        <v>12666.083467901715</v>
      </c>
      <c r="M80">
        <v>10.183163759641344</v>
      </c>
      <c r="N80">
        <v>9.0805879178096767</v>
      </c>
      <c r="O80">
        <v>21231.870743403193</v>
      </c>
      <c r="P80">
        <v>11.220677131792764</v>
      </c>
      <c r="Q80">
        <v>10.174779892564425</v>
      </c>
      <c r="S80">
        <f t="shared" si="6"/>
        <v>895392.70831306593</v>
      </c>
      <c r="T80">
        <f t="shared" si="7"/>
        <v>996246.11851303931</v>
      </c>
      <c r="V80">
        <f t="shared" si="4"/>
        <v>0</v>
      </c>
      <c r="W80">
        <f t="shared" si="5"/>
        <v>1</v>
      </c>
    </row>
    <row r="81" spans="1:23" x14ac:dyDescent="0.2">
      <c r="A81">
        <v>76</v>
      </c>
      <c r="B81">
        <v>565.09210175358089</v>
      </c>
      <c r="C81">
        <v>3372.8182012588113</v>
      </c>
      <c r="D81">
        <v>1047.9537942105114</v>
      </c>
      <c r="E81">
        <v>935.13258124732647</v>
      </c>
      <c r="F81">
        <v>0.94690965089280632</v>
      </c>
      <c r="G81">
        <v>0.83755206192141629</v>
      </c>
      <c r="H81">
        <v>9.8113922425840661E-3</v>
      </c>
      <c r="I81">
        <v>0.14183319803553118</v>
      </c>
      <c r="J81">
        <v>0.58460450422982624</v>
      </c>
      <c r="L81">
        <v>13507.209580996827</v>
      </c>
      <c r="M81">
        <v>10.360728874452404</v>
      </c>
      <c r="N81">
        <v>9.5260651087934445</v>
      </c>
      <c r="O81">
        <v>21996.287640469069</v>
      </c>
      <c r="P81">
        <v>11.262254202992354</v>
      </c>
      <c r="Q81">
        <v>10.443024786674009</v>
      </c>
      <c r="S81">
        <f t="shared" si="6"/>
        <v>939099.30129834765</v>
      </c>
      <c r="T81">
        <f t="shared" si="7"/>
        <v>1022306.1910269319</v>
      </c>
      <c r="V81">
        <f t="shared" si="4"/>
        <v>0</v>
      </c>
      <c r="W81">
        <f t="shared" si="5"/>
        <v>1</v>
      </c>
    </row>
    <row r="82" spans="1:23" x14ac:dyDescent="0.2">
      <c r="A82">
        <v>77</v>
      </c>
      <c r="B82">
        <v>392.46221068176681</v>
      </c>
      <c r="C82">
        <v>3007.7199148203495</v>
      </c>
      <c r="D82">
        <v>957.43025970552253</v>
      </c>
      <c r="E82">
        <v>918.46036354968442</v>
      </c>
      <c r="F82">
        <v>0.97828683473242761</v>
      </c>
      <c r="G82">
        <v>0.704438730974979</v>
      </c>
      <c r="H82">
        <v>9.2092149369770032E-3</v>
      </c>
      <c r="I82">
        <v>0.13270416800591539</v>
      </c>
      <c r="J82">
        <v>0.435312165978262</v>
      </c>
      <c r="L82">
        <v>11372.10932611783</v>
      </c>
      <c r="M82">
        <v>10.574627348921076</v>
      </c>
      <c r="N82">
        <v>9.6224684364814195</v>
      </c>
      <c r="O82">
        <v>19058.079311513888</v>
      </c>
      <c r="P82">
        <v>11.861238308291439</v>
      </c>
      <c r="Q82">
        <v>11.134893353077457</v>
      </c>
      <c r="S82">
        <f t="shared" si="6"/>
        <v>950874.73432202416</v>
      </c>
      <c r="T82">
        <f t="shared" si="7"/>
        <v>1094431.2559962319</v>
      </c>
      <c r="V82">
        <f t="shared" si="4"/>
        <v>0</v>
      </c>
      <c r="W82">
        <f t="shared" si="5"/>
        <v>1</v>
      </c>
    </row>
    <row r="83" spans="1:23" x14ac:dyDescent="0.2">
      <c r="A83">
        <v>78</v>
      </c>
      <c r="B83">
        <v>732.38191857869015</v>
      </c>
      <c r="C83">
        <v>3155.3548550430414</v>
      </c>
      <c r="D83">
        <v>959.32132415200863</v>
      </c>
      <c r="E83">
        <v>868.39073400894517</v>
      </c>
      <c r="F83">
        <v>0.98100924907329023</v>
      </c>
      <c r="G83">
        <v>0.8794849545209209</v>
      </c>
      <c r="H83">
        <v>1.1037389939289991E-2</v>
      </c>
      <c r="I83">
        <v>0.18101637599641851</v>
      </c>
      <c r="J83">
        <v>0.53558948982622145</v>
      </c>
      <c r="L83">
        <v>13145.269531364425</v>
      </c>
      <c r="M83">
        <v>9.7534662602523809</v>
      </c>
      <c r="N83">
        <v>9.3320738012136033</v>
      </c>
      <c r="O83">
        <v>21333.232680280904</v>
      </c>
      <c r="P83">
        <v>10.921203941089765</v>
      </c>
      <c r="Q83">
        <v>10.534799236683396</v>
      </c>
      <c r="S83">
        <f t="shared" si="6"/>
        <v>920062.11058999586</v>
      </c>
      <c r="T83">
        <f t="shared" si="7"/>
        <v>1032146.6909880587</v>
      </c>
      <c r="V83">
        <f t="shared" si="4"/>
        <v>0</v>
      </c>
      <c r="W83">
        <f t="shared" si="5"/>
        <v>1</v>
      </c>
    </row>
    <row r="84" spans="1:23" x14ac:dyDescent="0.2">
      <c r="A84">
        <v>79</v>
      </c>
      <c r="B84">
        <v>462.50420800155263</v>
      </c>
      <c r="C84">
        <v>2794.2484325089908</v>
      </c>
      <c r="D84">
        <v>723.57516258806527</v>
      </c>
      <c r="E84">
        <v>912.42774652792571</v>
      </c>
      <c r="F84">
        <v>0.95424085689377935</v>
      </c>
      <c r="G84">
        <v>0.77032149021463525</v>
      </c>
      <c r="H84">
        <v>1.0211152820773324E-2</v>
      </c>
      <c r="I84">
        <v>0.16765371955572683</v>
      </c>
      <c r="J84">
        <v>0.52136532881748432</v>
      </c>
      <c r="L84">
        <v>10542.565238686959</v>
      </c>
      <c r="M84">
        <v>10.02316234815321</v>
      </c>
      <c r="N84">
        <v>9.1272873029892612</v>
      </c>
      <c r="O84">
        <v>16358.441704860557</v>
      </c>
      <c r="P84">
        <v>11.188496782691416</v>
      </c>
      <c r="Q84">
        <v>10.354035295878747</v>
      </c>
      <c r="S84">
        <f t="shared" si="6"/>
        <v>902186.16506023915</v>
      </c>
      <c r="T84">
        <f t="shared" si="7"/>
        <v>1019045.0878830141</v>
      </c>
      <c r="V84">
        <f t="shared" si="4"/>
        <v>0</v>
      </c>
      <c r="W84">
        <f t="shared" si="5"/>
        <v>1</v>
      </c>
    </row>
    <row r="85" spans="1:23" x14ac:dyDescent="0.2">
      <c r="A85">
        <v>80</v>
      </c>
      <c r="B85">
        <v>406.26956311453722</v>
      </c>
      <c r="C85">
        <v>3068.6523554980895</v>
      </c>
      <c r="D85">
        <v>878.19484609289532</v>
      </c>
      <c r="E85">
        <v>1267.0370235907185</v>
      </c>
      <c r="F85">
        <v>0.96228587648786845</v>
      </c>
      <c r="G85">
        <v>0.70413133252002502</v>
      </c>
      <c r="H85">
        <v>8.6176902795644054E-3</v>
      </c>
      <c r="I85">
        <v>0.15956580775712259</v>
      </c>
      <c r="J85">
        <v>0.47460736835833184</v>
      </c>
      <c r="L85">
        <v>10786.759352906927</v>
      </c>
      <c r="M85">
        <v>10.411251171613964</v>
      </c>
      <c r="N85">
        <v>9.4276832794758842</v>
      </c>
      <c r="O85">
        <v>18056.63466646893</v>
      </c>
      <c r="P85">
        <v>11.654741052513861</v>
      </c>
      <c r="Q85">
        <v>10.814056242618404</v>
      </c>
      <c r="S85">
        <f t="shared" si="6"/>
        <v>931981.56859468145</v>
      </c>
      <c r="T85">
        <f t="shared" si="7"/>
        <v>1063348.9895953715</v>
      </c>
      <c r="V85">
        <f t="shared" si="4"/>
        <v>0</v>
      </c>
      <c r="W85">
        <f t="shared" si="5"/>
        <v>1</v>
      </c>
    </row>
    <row r="86" spans="1:23" x14ac:dyDescent="0.2">
      <c r="A86">
        <v>81</v>
      </c>
      <c r="B86">
        <v>447.95841735735274</v>
      </c>
      <c r="C86">
        <v>3180.6610644281031</v>
      </c>
      <c r="D86">
        <v>1033.6736833015236</v>
      </c>
      <c r="E86">
        <v>1229.7738462407915</v>
      </c>
      <c r="F86">
        <v>0.89892478498130413</v>
      </c>
      <c r="G86">
        <v>0.835881237726671</v>
      </c>
      <c r="H86">
        <v>1.1053899886089815E-2</v>
      </c>
      <c r="I86">
        <v>0.12280701982870328</v>
      </c>
      <c r="J86">
        <v>0.59023028790391308</v>
      </c>
      <c r="L86">
        <v>13228.408710752463</v>
      </c>
      <c r="M86">
        <v>10.395484474261671</v>
      </c>
      <c r="N86">
        <v>9.1573664254931355</v>
      </c>
      <c r="O86">
        <v>21006.611573681195</v>
      </c>
      <c r="P86">
        <v>11.242714503095453</v>
      </c>
      <c r="Q86">
        <v>9.9581540477213917</v>
      </c>
      <c r="S86">
        <f t="shared" si="6"/>
        <v>902508.23383856111</v>
      </c>
      <c r="T86">
        <f t="shared" si="7"/>
        <v>974808.79319845792</v>
      </c>
      <c r="V86">
        <f t="shared" si="4"/>
        <v>0</v>
      </c>
      <c r="W86">
        <f t="shared" si="5"/>
        <v>1</v>
      </c>
    </row>
    <row r="87" spans="1:23" x14ac:dyDescent="0.2">
      <c r="A87">
        <v>82</v>
      </c>
      <c r="B87">
        <v>305.79199287693336</v>
      </c>
      <c r="C87">
        <v>2597.0788828823579</v>
      </c>
      <c r="D87">
        <v>953.11723416683833</v>
      </c>
      <c r="E87">
        <v>1163.3802087499644</v>
      </c>
      <c r="F87">
        <v>0.95539988633062556</v>
      </c>
      <c r="G87">
        <v>0.79152512855417623</v>
      </c>
      <c r="H87">
        <v>1.0096315889552255E-2</v>
      </c>
      <c r="I87">
        <v>0.17719982103379994</v>
      </c>
      <c r="J87">
        <v>0.48510616704820136</v>
      </c>
      <c r="L87">
        <v>8741.1164245695127</v>
      </c>
      <c r="M87">
        <v>9.9584046574090728</v>
      </c>
      <c r="N87">
        <v>9.1405088641661916</v>
      </c>
      <c r="O87">
        <v>16678.324021602508</v>
      </c>
      <c r="P87">
        <v>11.266481490101443</v>
      </c>
      <c r="Q87">
        <v>10.499255795103416</v>
      </c>
      <c r="S87">
        <f t="shared" si="6"/>
        <v>905309.76999204967</v>
      </c>
      <c r="T87">
        <f t="shared" si="7"/>
        <v>1033247.2554887391</v>
      </c>
      <c r="V87">
        <f t="shared" si="4"/>
        <v>0</v>
      </c>
      <c r="W87">
        <f t="shared" si="5"/>
        <v>1</v>
      </c>
    </row>
    <row r="88" spans="1:23" x14ac:dyDescent="0.2">
      <c r="A88">
        <v>83</v>
      </c>
      <c r="B88">
        <v>430.62726024558577</v>
      </c>
      <c r="C88">
        <v>4215.5150232541573</v>
      </c>
      <c r="D88">
        <v>959.29249967692726</v>
      </c>
      <c r="E88">
        <v>829.53857113743595</v>
      </c>
      <c r="F88">
        <v>0.95610409698061471</v>
      </c>
      <c r="G88">
        <v>0.67389503410144536</v>
      </c>
      <c r="H88">
        <v>9.5692181828032474E-3</v>
      </c>
      <c r="I88">
        <v>0.18605739729940562</v>
      </c>
      <c r="J88">
        <v>0.46439709095291981</v>
      </c>
      <c r="L88">
        <v>12807.672621272357</v>
      </c>
      <c r="M88">
        <v>9.9878781973899553</v>
      </c>
      <c r="N88">
        <v>8.9400312684556127</v>
      </c>
      <c r="O88">
        <v>20221.646122181883</v>
      </c>
      <c r="P88">
        <v>11.376426934501135</v>
      </c>
      <c r="Q88">
        <v>10.459471920725974</v>
      </c>
      <c r="S88">
        <f t="shared" si="6"/>
        <v>881195.45422428893</v>
      </c>
      <c r="T88">
        <f t="shared" si="7"/>
        <v>1025725.5459504155</v>
      </c>
      <c r="V88">
        <f t="shared" si="4"/>
        <v>0</v>
      </c>
      <c r="W88">
        <f t="shared" si="5"/>
        <v>1</v>
      </c>
    </row>
    <row r="89" spans="1:23" x14ac:dyDescent="0.2">
      <c r="A89">
        <v>84</v>
      </c>
      <c r="B89">
        <v>434.4116450433076</v>
      </c>
      <c r="C89">
        <v>2509.11842640962</v>
      </c>
      <c r="D89">
        <v>1135.8531648830146</v>
      </c>
      <c r="E89">
        <v>829.05877908107743</v>
      </c>
      <c r="F89">
        <v>0.9462764872458741</v>
      </c>
      <c r="G89">
        <v>0.78548123811238613</v>
      </c>
      <c r="H89">
        <v>1.2968258824244096E-2</v>
      </c>
      <c r="I89">
        <v>0.16125102211034348</v>
      </c>
      <c r="J89">
        <v>0.4668418586559826</v>
      </c>
      <c r="L89">
        <v>10071.393278396374</v>
      </c>
      <c r="M89">
        <v>9.640309794912346</v>
      </c>
      <c r="N89">
        <v>8.694012965703644</v>
      </c>
      <c r="O89">
        <v>19364.912694981311</v>
      </c>
      <c r="P89">
        <v>11.018130055537421</v>
      </c>
      <c r="Q89">
        <v>10.116832822491768</v>
      </c>
      <c r="S89">
        <f t="shared" si="6"/>
        <v>859329.90329196805</v>
      </c>
      <c r="T89">
        <f t="shared" si="7"/>
        <v>992318.36955419544</v>
      </c>
      <c r="V89">
        <f t="shared" si="4"/>
        <v>0</v>
      </c>
      <c r="W89">
        <f t="shared" si="5"/>
        <v>1</v>
      </c>
    </row>
    <row r="90" spans="1:23" x14ac:dyDescent="0.2">
      <c r="A90">
        <v>85</v>
      </c>
      <c r="B90">
        <v>682.55389925981069</v>
      </c>
      <c r="C90">
        <v>2283.7803275144793</v>
      </c>
      <c r="D90">
        <v>777.64409668747555</v>
      </c>
      <c r="E90">
        <v>957.25560404928217</v>
      </c>
      <c r="F90">
        <v>0.96199144143834459</v>
      </c>
      <c r="G90">
        <v>0.66919674201128376</v>
      </c>
      <c r="H90">
        <v>9.3149448661518242E-3</v>
      </c>
      <c r="I90">
        <v>0.1259720688279046</v>
      </c>
      <c r="J90">
        <v>0.50994371972583885</v>
      </c>
      <c r="L90">
        <v>11966.368211725152</v>
      </c>
      <c r="M90">
        <v>10.637184097824601</v>
      </c>
      <c r="N90">
        <v>9.43263825044626</v>
      </c>
      <c r="O90">
        <v>18897.533686444593</v>
      </c>
      <c r="P90">
        <v>11.680179533347044</v>
      </c>
      <c r="Q90">
        <v>10.664964343642053</v>
      </c>
      <c r="S90">
        <f t="shared" si="6"/>
        <v>931297.45683290088</v>
      </c>
      <c r="T90">
        <f t="shared" si="7"/>
        <v>1047598.9006777606</v>
      </c>
      <c r="V90">
        <f t="shared" si="4"/>
        <v>0</v>
      </c>
      <c r="W90">
        <f t="shared" si="5"/>
        <v>1</v>
      </c>
    </row>
    <row r="91" spans="1:23" x14ac:dyDescent="0.2">
      <c r="A91">
        <v>86</v>
      </c>
      <c r="B91">
        <v>517.61006194383913</v>
      </c>
      <c r="C91">
        <v>3170.3345471279872</v>
      </c>
      <c r="D91">
        <v>929.28053364499328</v>
      </c>
      <c r="E91">
        <v>600.2263440486762</v>
      </c>
      <c r="F91">
        <v>0.98426918100970484</v>
      </c>
      <c r="G91">
        <v>0.83071267891456868</v>
      </c>
      <c r="H91">
        <v>9.9737753921083343E-3</v>
      </c>
      <c r="I91">
        <v>0.10488593362821831</v>
      </c>
      <c r="J91">
        <v>0.52216331884611356</v>
      </c>
      <c r="L91">
        <v>14049.837184806838</v>
      </c>
      <c r="M91">
        <v>10.822797971629058</v>
      </c>
      <c r="N91">
        <v>10.174867940070287</v>
      </c>
      <c r="O91">
        <v>21061.324749293854</v>
      </c>
      <c r="P91">
        <v>11.75850006772197</v>
      </c>
      <c r="Q91">
        <v>11.225563245647118</v>
      </c>
      <c r="S91">
        <f t="shared" si="6"/>
        <v>1003436.9568222219</v>
      </c>
      <c r="T91">
        <f t="shared" si="7"/>
        <v>1101494.9998154179</v>
      </c>
      <c r="V91">
        <f t="shared" si="4"/>
        <v>0</v>
      </c>
      <c r="W91">
        <f t="shared" si="5"/>
        <v>1</v>
      </c>
    </row>
    <row r="92" spans="1:23" x14ac:dyDescent="0.2">
      <c r="A92">
        <v>87</v>
      </c>
      <c r="B92">
        <v>461.5627399488298</v>
      </c>
      <c r="C92">
        <v>2389.2959825427947</v>
      </c>
      <c r="D92">
        <v>999.03771601061385</v>
      </c>
      <c r="E92">
        <v>1592.0392895079444</v>
      </c>
      <c r="F92">
        <v>0.93216408294454445</v>
      </c>
      <c r="G92">
        <v>0.75159363808853186</v>
      </c>
      <c r="H92">
        <v>8.770790200848139E-3</v>
      </c>
      <c r="I92">
        <v>0.18851105840705773</v>
      </c>
      <c r="J92">
        <v>0.48381158044001021</v>
      </c>
      <c r="L92">
        <v>9278.1423708445127</v>
      </c>
      <c r="M92">
        <v>10.137312093839641</v>
      </c>
      <c r="N92">
        <v>9.07687162342547</v>
      </c>
      <c r="O92">
        <v>18461.121199001202</v>
      </c>
      <c r="P92">
        <v>11.438461339465462</v>
      </c>
      <c r="Q92">
        <v>10.404763003560305</v>
      </c>
      <c r="S92">
        <f t="shared" si="6"/>
        <v>898409.01997170248</v>
      </c>
      <c r="T92">
        <f t="shared" si="7"/>
        <v>1022015.1791570293</v>
      </c>
      <c r="V92">
        <f t="shared" si="4"/>
        <v>0</v>
      </c>
      <c r="W92">
        <f t="shared" si="5"/>
        <v>1</v>
      </c>
    </row>
    <row r="93" spans="1:23" x14ac:dyDescent="0.2">
      <c r="A93">
        <v>88</v>
      </c>
      <c r="B93">
        <v>458.75285140839128</v>
      </c>
      <c r="C93">
        <v>2856.204103466227</v>
      </c>
      <c r="D93">
        <v>939.28967952290725</v>
      </c>
      <c r="E93">
        <v>739.40929399653169</v>
      </c>
      <c r="F93">
        <v>0.96529800986757874</v>
      </c>
      <c r="G93">
        <v>0.73967335543742818</v>
      </c>
      <c r="H93">
        <v>1.1526103842424411E-2</v>
      </c>
      <c r="I93">
        <v>0.11894830930035727</v>
      </c>
      <c r="J93">
        <v>0.45814633982068692</v>
      </c>
      <c r="L93">
        <v>12407.651238650842</v>
      </c>
      <c r="M93">
        <v>10.381656165566822</v>
      </c>
      <c r="N93">
        <v>9.3273762225462509</v>
      </c>
      <c r="O93">
        <v>19515.778728149799</v>
      </c>
      <c r="P93">
        <v>11.594608104137448</v>
      </c>
      <c r="Q93">
        <v>10.7098033195263</v>
      </c>
      <c r="S93">
        <f t="shared" si="6"/>
        <v>920329.97101597418</v>
      </c>
      <c r="T93">
        <f t="shared" si="7"/>
        <v>1051464.5532244802</v>
      </c>
      <c r="V93">
        <f t="shared" si="4"/>
        <v>0</v>
      </c>
      <c r="W93">
        <f t="shared" si="5"/>
        <v>1</v>
      </c>
    </row>
    <row r="94" spans="1:23" x14ac:dyDescent="0.2">
      <c r="A94">
        <v>89</v>
      </c>
      <c r="B94">
        <v>573.38257259917577</v>
      </c>
      <c r="C94">
        <v>3171.5377543038558</v>
      </c>
      <c r="D94">
        <v>923.34487530590445</v>
      </c>
      <c r="E94">
        <v>939.19410863881933</v>
      </c>
      <c r="F94">
        <v>0.96486848673964487</v>
      </c>
      <c r="G94">
        <v>0.79174357564740516</v>
      </c>
      <c r="H94">
        <v>9.0252777632886111E-3</v>
      </c>
      <c r="I94">
        <v>0.12995798804185102</v>
      </c>
      <c r="J94">
        <v>0.41545168459342313</v>
      </c>
      <c r="L94">
        <v>13305.208629199295</v>
      </c>
      <c r="M94">
        <v>10.641003965838841</v>
      </c>
      <c r="N94">
        <v>9.8086885649904669</v>
      </c>
      <c r="O94">
        <v>20900.259860113474</v>
      </c>
      <c r="P94">
        <v>11.9697596419722</v>
      </c>
      <c r="Q94">
        <v>11.261664366758957</v>
      </c>
      <c r="S94">
        <f t="shared" si="6"/>
        <v>967563.64786984737</v>
      </c>
      <c r="T94">
        <f t="shared" si="7"/>
        <v>1105266.1768157822</v>
      </c>
      <c r="V94">
        <f t="shared" si="4"/>
        <v>0</v>
      </c>
      <c r="W94">
        <f t="shared" si="5"/>
        <v>1</v>
      </c>
    </row>
    <row r="95" spans="1:23" x14ac:dyDescent="0.2">
      <c r="A95">
        <v>90</v>
      </c>
      <c r="B95">
        <v>430.39368217364154</v>
      </c>
      <c r="C95">
        <v>3419.9158368234239</v>
      </c>
      <c r="D95">
        <v>1164.8447146884321</v>
      </c>
      <c r="E95">
        <v>1030.5790325525334</v>
      </c>
      <c r="F95">
        <v>0.96240493735208921</v>
      </c>
      <c r="G95">
        <v>0.70490049602834226</v>
      </c>
      <c r="H95">
        <v>1.0973033931308449E-2</v>
      </c>
      <c r="I95">
        <v>0.17905941075963228</v>
      </c>
      <c r="J95">
        <v>0.50587480533695628</v>
      </c>
      <c r="L95">
        <v>11632.348302833421</v>
      </c>
      <c r="M95">
        <v>9.7820751732297104</v>
      </c>
      <c r="N95">
        <v>8.8121698705036984</v>
      </c>
      <c r="O95">
        <v>21069.338056786906</v>
      </c>
      <c r="P95">
        <v>11.043503084119951</v>
      </c>
      <c r="Q95">
        <v>10.185866317528289</v>
      </c>
      <c r="S95">
        <f t="shared" si="6"/>
        <v>869584.63874753646</v>
      </c>
      <c r="T95">
        <f t="shared" si="7"/>
        <v>997517.29369604192</v>
      </c>
      <c r="V95">
        <f t="shared" si="4"/>
        <v>0</v>
      </c>
      <c r="W95">
        <f t="shared" si="5"/>
        <v>1</v>
      </c>
    </row>
    <row r="96" spans="1:23" x14ac:dyDescent="0.2">
      <c r="A96">
        <v>91</v>
      </c>
      <c r="B96">
        <v>428.24746883107855</v>
      </c>
      <c r="C96">
        <v>3243.1118478692306</v>
      </c>
      <c r="D96">
        <v>729.73445419224913</v>
      </c>
      <c r="E96">
        <v>1047.1309226122469</v>
      </c>
      <c r="F96">
        <v>0.96918599442190667</v>
      </c>
      <c r="G96">
        <v>0.83493988164100408</v>
      </c>
      <c r="H96">
        <v>1.162811852966261E-2</v>
      </c>
      <c r="I96">
        <v>0.15450607409882444</v>
      </c>
      <c r="J96">
        <v>0.46377052720947581</v>
      </c>
      <c r="L96">
        <v>12088.41639110974</v>
      </c>
      <c r="M96">
        <v>9.915521457601157</v>
      </c>
      <c r="N96">
        <v>9.2563073446402857</v>
      </c>
      <c r="O96">
        <v>17215.514250968343</v>
      </c>
      <c r="P96">
        <v>11.260114818581048</v>
      </c>
      <c r="Q96">
        <v>10.663612868244559</v>
      </c>
      <c r="S96">
        <f t="shared" si="6"/>
        <v>913542.31807291892</v>
      </c>
      <c r="T96">
        <f t="shared" si="7"/>
        <v>1049145.7725734876</v>
      </c>
      <c r="V96">
        <f t="shared" si="4"/>
        <v>0</v>
      </c>
      <c r="W96">
        <f t="shared" si="5"/>
        <v>1</v>
      </c>
    </row>
    <row r="97" spans="1:23" x14ac:dyDescent="0.2">
      <c r="A97">
        <v>92</v>
      </c>
      <c r="B97">
        <v>864.59930953295509</v>
      </c>
      <c r="C97">
        <v>4184.554133958206</v>
      </c>
      <c r="D97">
        <v>820.52151784133309</v>
      </c>
      <c r="E97">
        <v>930.28056459196375</v>
      </c>
      <c r="F97">
        <v>0.96668600059617649</v>
      </c>
      <c r="G97">
        <v>0.61794230789965043</v>
      </c>
      <c r="H97">
        <v>1.0010065516118648E-2</v>
      </c>
      <c r="I97">
        <v>0.18019459881920796</v>
      </c>
      <c r="J97">
        <v>0.43244178411550632</v>
      </c>
      <c r="L97">
        <v>16439.758446298314</v>
      </c>
      <c r="M97">
        <v>9.9491439311002861</v>
      </c>
      <c r="N97">
        <v>8.8339581906982687</v>
      </c>
      <c r="O97">
        <v>23263.213544595241</v>
      </c>
      <c r="P97">
        <v>11.449942870238143</v>
      </c>
      <c r="Q97">
        <v>10.54955790004367</v>
      </c>
      <c r="S97">
        <f t="shared" si="6"/>
        <v>866956.06062352855</v>
      </c>
      <c r="T97">
        <f t="shared" si="7"/>
        <v>1031692.5764597717</v>
      </c>
      <c r="V97">
        <f t="shared" si="4"/>
        <v>0</v>
      </c>
      <c r="W97">
        <f t="shared" si="5"/>
        <v>1</v>
      </c>
    </row>
    <row r="98" spans="1:23" x14ac:dyDescent="0.2">
      <c r="A98">
        <v>93</v>
      </c>
      <c r="B98">
        <v>664.15350703807496</v>
      </c>
      <c r="C98">
        <v>2438.795082042393</v>
      </c>
      <c r="D98">
        <v>922.34339616527211</v>
      </c>
      <c r="E98">
        <v>1098.1222064090659</v>
      </c>
      <c r="F98">
        <v>0.90389587173219288</v>
      </c>
      <c r="G98">
        <v>0.68622312626710447</v>
      </c>
      <c r="H98">
        <v>9.7787122110348703E-3</v>
      </c>
      <c r="I98">
        <v>9.8133394508064478E-2</v>
      </c>
      <c r="J98">
        <v>0.45284395162310004</v>
      </c>
      <c r="L98">
        <v>13289.025850193064</v>
      </c>
      <c r="M98">
        <v>10.960168002840902</v>
      </c>
      <c r="N98">
        <v>9.2119052839393554</v>
      </c>
      <c r="O98">
        <v>21139.754285790979</v>
      </c>
      <c r="P98">
        <v>12.03573641707864</v>
      </c>
      <c r="Q98">
        <v>10.415371746203183</v>
      </c>
      <c r="S98">
        <f t="shared" si="6"/>
        <v>907901.50254374242</v>
      </c>
      <c r="T98">
        <f t="shared" si="7"/>
        <v>1020397.4203345274</v>
      </c>
      <c r="V98">
        <f t="shared" si="4"/>
        <v>0</v>
      </c>
      <c r="W98">
        <f t="shared" si="5"/>
        <v>1</v>
      </c>
    </row>
    <row r="99" spans="1:23" x14ac:dyDescent="0.2">
      <c r="A99">
        <v>94</v>
      </c>
      <c r="B99">
        <v>413.25065828551288</v>
      </c>
      <c r="C99">
        <v>3920.2825593823291</v>
      </c>
      <c r="D99">
        <v>894.77464798005678</v>
      </c>
      <c r="E99">
        <v>1485.9072517581849</v>
      </c>
      <c r="F99">
        <v>0.97296272642976844</v>
      </c>
      <c r="G99">
        <v>0.87616789029903797</v>
      </c>
      <c r="H99">
        <v>1.0986245967919655E-2</v>
      </c>
      <c r="I99">
        <v>0.16540413637321116</v>
      </c>
      <c r="J99">
        <v>0.49755775222930715</v>
      </c>
      <c r="L99">
        <v>13353.418078172246</v>
      </c>
      <c r="M99">
        <v>9.907549800114035</v>
      </c>
      <c r="N99">
        <v>9.4008595220491369</v>
      </c>
      <c r="O99">
        <v>19724.843828061497</v>
      </c>
      <c r="P99">
        <v>11.159839434845486</v>
      </c>
      <c r="Q99">
        <v>10.684451730131807</v>
      </c>
      <c r="S99">
        <f t="shared" si="6"/>
        <v>926732.53412674146</v>
      </c>
      <c r="T99">
        <f t="shared" si="7"/>
        <v>1048720.3291851191</v>
      </c>
      <c r="V99">
        <f t="shared" si="4"/>
        <v>0</v>
      </c>
      <c r="W99">
        <f t="shared" si="5"/>
        <v>1</v>
      </c>
    </row>
    <row r="100" spans="1:23" x14ac:dyDescent="0.2">
      <c r="A100">
        <v>95</v>
      </c>
      <c r="B100">
        <v>331.71848998616832</v>
      </c>
      <c r="C100">
        <v>2979.3931365666431</v>
      </c>
      <c r="D100">
        <v>1028.9952505698518</v>
      </c>
      <c r="E100">
        <v>968.27374102352962</v>
      </c>
      <c r="F100">
        <v>0.94588071428084097</v>
      </c>
      <c r="G100">
        <v>0.86667368110058163</v>
      </c>
      <c r="H100">
        <v>8.9627109581783531E-3</v>
      </c>
      <c r="I100">
        <v>0.13175814582296524</v>
      </c>
      <c r="J100">
        <v>0.48858528312674371</v>
      </c>
      <c r="L100">
        <v>10795.44215585589</v>
      </c>
      <c r="M100">
        <v>10.631402725762191</v>
      </c>
      <c r="N100">
        <v>9.8485835189639239</v>
      </c>
      <c r="O100">
        <v>19151.306896481085</v>
      </c>
      <c r="P100">
        <v>11.746949682383772</v>
      </c>
      <c r="Q100">
        <v>10.967560617101219</v>
      </c>
      <c r="S100">
        <f t="shared" si="6"/>
        <v>974062.90974053647</v>
      </c>
      <c r="T100">
        <f t="shared" si="7"/>
        <v>1077604.7548136406</v>
      </c>
      <c r="V100">
        <f t="shared" si="4"/>
        <v>0</v>
      </c>
      <c r="W100">
        <f t="shared" si="5"/>
        <v>1</v>
      </c>
    </row>
    <row r="101" spans="1:23" x14ac:dyDescent="0.2">
      <c r="A101">
        <v>96</v>
      </c>
      <c r="B101">
        <v>481.61991343580672</v>
      </c>
      <c r="C101">
        <v>3111.8226938199514</v>
      </c>
      <c r="D101">
        <v>1153.0965932988061</v>
      </c>
      <c r="E101">
        <v>996.7991749584711</v>
      </c>
      <c r="F101">
        <v>0.90827804005692925</v>
      </c>
      <c r="G101">
        <v>0.77749465526697326</v>
      </c>
      <c r="H101">
        <v>8.9929590023680121E-3</v>
      </c>
      <c r="I101">
        <v>0.18828788490219983</v>
      </c>
      <c r="J101">
        <v>0.46789047377461634</v>
      </c>
      <c r="L101">
        <v>10743.342736583671</v>
      </c>
      <c r="M101">
        <v>10.090698321723467</v>
      </c>
      <c r="N101">
        <v>8.8920973831516683</v>
      </c>
      <c r="O101">
        <v>21089.004038008974</v>
      </c>
      <c r="P101">
        <v>11.453131748073647</v>
      </c>
      <c r="Q101">
        <v>10.216728937768815</v>
      </c>
      <c r="S101">
        <f t="shared" si="6"/>
        <v>878466.39557858312</v>
      </c>
      <c r="T101">
        <f t="shared" si="7"/>
        <v>1000583.8897388725</v>
      </c>
      <c r="V101">
        <f t="shared" si="4"/>
        <v>0</v>
      </c>
      <c r="W101">
        <f t="shared" si="5"/>
        <v>1</v>
      </c>
    </row>
    <row r="102" spans="1:23" x14ac:dyDescent="0.2">
      <c r="A102">
        <v>97</v>
      </c>
      <c r="B102">
        <v>507.27389182749442</v>
      </c>
      <c r="C102">
        <v>2709.4239133280253</v>
      </c>
      <c r="D102">
        <v>996.26833837033894</v>
      </c>
      <c r="E102">
        <v>939.19124201107559</v>
      </c>
      <c r="F102">
        <v>0.94720673546632062</v>
      </c>
      <c r="G102">
        <v>0.82625136357850426</v>
      </c>
      <c r="H102">
        <v>1.0934425181455903E-2</v>
      </c>
      <c r="I102">
        <v>0.18438028222443126</v>
      </c>
      <c r="J102">
        <v>0.54227377398644727</v>
      </c>
      <c r="L102">
        <v>10379.05557199324</v>
      </c>
      <c r="M102">
        <v>9.7425071063328144</v>
      </c>
      <c r="N102">
        <v>8.9513100431341872</v>
      </c>
      <c r="O102">
        <v>18785.652936252969</v>
      </c>
      <c r="P102">
        <v>10.894321040146899</v>
      </c>
      <c r="Q102">
        <v>10.108182671604988</v>
      </c>
      <c r="S102">
        <f t="shared" si="6"/>
        <v>884751.94874142553</v>
      </c>
      <c r="T102">
        <f t="shared" si="7"/>
        <v>992032.61422424577</v>
      </c>
      <c r="V102">
        <f t="shared" si="4"/>
        <v>0</v>
      </c>
      <c r="W102">
        <f t="shared" si="5"/>
        <v>1</v>
      </c>
    </row>
    <row r="103" spans="1:23" x14ac:dyDescent="0.2">
      <c r="A103">
        <v>98</v>
      </c>
      <c r="B103">
        <v>621.90108713991083</v>
      </c>
      <c r="C103">
        <v>3203.1956268520203</v>
      </c>
      <c r="D103">
        <v>854.22358923385502</v>
      </c>
      <c r="E103">
        <v>1111.0070792707863</v>
      </c>
      <c r="F103">
        <v>0.96398767243625982</v>
      </c>
      <c r="G103">
        <v>0.81873395299772311</v>
      </c>
      <c r="H103">
        <v>1.0215561125491738E-2</v>
      </c>
      <c r="I103">
        <v>0.14783707643933813</v>
      </c>
      <c r="J103">
        <v>0.56574244588856692</v>
      </c>
      <c r="L103">
        <v>13436.006775800895</v>
      </c>
      <c r="M103">
        <v>10.222838315619555</v>
      </c>
      <c r="N103">
        <v>9.4802046645014038</v>
      </c>
      <c r="O103">
        <v>20281.277489416618</v>
      </c>
      <c r="P103">
        <v>11.200230232569059</v>
      </c>
      <c r="Q103">
        <v>10.509010429185004</v>
      </c>
      <c r="S103">
        <f t="shared" si="6"/>
        <v>934584.45967433951</v>
      </c>
      <c r="T103">
        <f t="shared" si="7"/>
        <v>1030619.7654290838</v>
      </c>
      <c r="V103">
        <f t="shared" si="4"/>
        <v>0</v>
      </c>
      <c r="W103">
        <f t="shared" si="5"/>
        <v>1</v>
      </c>
    </row>
    <row r="104" spans="1:23" x14ac:dyDescent="0.2">
      <c r="A104">
        <v>99</v>
      </c>
      <c r="B104">
        <v>635.82484271040653</v>
      </c>
      <c r="C104">
        <v>2859.1426043952965</v>
      </c>
      <c r="D104">
        <v>916.07784432871586</v>
      </c>
      <c r="E104">
        <v>829.70698472185029</v>
      </c>
      <c r="F104">
        <v>0.94222338479473833</v>
      </c>
      <c r="G104">
        <v>0.72238243190083706</v>
      </c>
      <c r="H104">
        <v>1.0529482460210985E-2</v>
      </c>
      <c r="I104">
        <v>0.16343369029490817</v>
      </c>
      <c r="J104">
        <v>0.43777625976388868</v>
      </c>
      <c r="L104">
        <v>12133.63771008305</v>
      </c>
      <c r="M104">
        <v>10.006245512680227</v>
      </c>
      <c r="N104">
        <v>8.8902477228005417</v>
      </c>
      <c r="O104">
        <v>20138.32128438041</v>
      </c>
      <c r="P104">
        <v>11.448549822057791</v>
      </c>
      <c r="Q104">
        <v>10.425786530935946</v>
      </c>
      <c r="S104">
        <f t="shared" si="6"/>
        <v>876891.13456997112</v>
      </c>
      <c r="T104">
        <f t="shared" si="7"/>
        <v>1022440.3318092142</v>
      </c>
      <c r="V104">
        <f t="shared" si="4"/>
        <v>0</v>
      </c>
      <c r="W104">
        <f t="shared" si="5"/>
        <v>1</v>
      </c>
    </row>
    <row r="105" spans="1:23" x14ac:dyDescent="0.2">
      <c r="A105">
        <v>100</v>
      </c>
      <c r="B105">
        <v>649.04877999659504</v>
      </c>
      <c r="C105">
        <v>3622.1217103132581</v>
      </c>
      <c r="D105">
        <v>931.74037978978288</v>
      </c>
      <c r="E105">
        <v>715.44525207845868</v>
      </c>
      <c r="F105">
        <v>0.97436468222874306</v>
      </c>
      <c r="G105">
        <v>0.86822071862114514</v>
      </c>
      <c r="H105">
        <v>9.1653803982082397E-3</v>
      </c>
      <c r="I105">
        <v>0.13972138311607668</v>
      </c>
      <c r="J105">
        <v>0.49362016920918494</v>
      </c>
      <c r="L105">
        <v>14662.820429624988</v>
      </c>
      <c r="M105">
        <v>10.502705327971603</v>
      </c>
      <c r="N105">
        <v>9.9624591655587711</v>
      </c>
      <c r="O105">
        <v>22227.988007142583</v>
      </c>
      <c r="P105">
        <v>11.639728827234709</v>
      </c>
      <c r="Q105">
        <v>11.151585292148877</v>
      </c>
      <c r="S105">
        <f t="shared" si="6"/>
        <v>981583.09612625209</v>
      </c>
      <c r="T105">
        <f t="shared" si="7"/>
        <v>1092930.541207745</v>
      </c>
      <c r="V105">
        <f t="shared" si="4"/>
        <v>0</v>
      </c>
      <c r="W105">
        <f t="shared" si="5"/>
        <v>1</v>
      </c>
    </row>
    <row r="106" spans="1:23" x14ac:dyDescent="0.2">
      <c r="A106">
        <v>101</v>
      </c>
      <c r="B106">
        <v>270.70556734692292</v>
      </c>
      <c r="C106">
        <v>2901.1318310042961</v>
      </c>
      <c r="D106">
        <v>869.03127135135355</v>
      </c>
      <c r="E106">
        <v>860.44820106416739</v>
      </c>
      <c r="F106">
        <v>0.95881970982607578</v>
      </c>
      <c r="G106">
        <v>0.73561744127723805</v>
      </c>
      <c r="H106">
        <v>1.233889111092658E-2</v>
      </c>
      <c r="I106">
        <v>0.12783450134118712</v>
      </c>
      <c r="J106">
        <v>0.46285940630898365</v>
      </c>
      <c r="L106">
        <v>11037.903098805666</v>
      </c>
      <c r="M106">
        <v>10.14098714221457</v>
      </c>
      <c r="N106">
        <v>9.0479547006650236</v>
      </c>
      <c r="O106">
        <v>17000.054204133718</v>
      </c>
      <c r="P106">
        <v>11.394498349404808</v>
      </c>
      <c r="Q106">
        <v>10.446596960916029</v>
      </c>
      <c r="S106">
        <f t="shared" si="6"/>
        <v>893757.56696769665</v>
      </c>
      <c r="T106">
        <f t="shared" si="7"/>
        <v>1027659.6418874692</v>
      </c>
      <c r="V106">
        <f t="shared" si="4"/>
        <v>0</v>
      </c>
      <c r="W106">
        <f t="shared" si="5"/>
        <v>1</v>
      </c>
    </row>
    <row r="107" spans="1:23" x14ac:dyDescent="0.2">
      <c r="A107">
        <v>102</v>
      </c>
      <c r="B107">
        <v>426.14108144835978</v>
      </c>
      <c r="C107">
        <v>2887.5023192333915</v>
      </c>
      <c r="D107">
        <v>1018.271949724549</v>
      </c>
      <c r="E107">
        <v>1221.3123186479136</v>
      </c>
      <c r="F107">
        <v>0.95406244431207587</v>
      </c>
      <c r="G107">
        <v>0.71739780311363222</v>
      </c>
      <c r="H107">
        <v>1.1440861608963196E-2</v>
      </c>
      <c r="I107">
        <v>0.13568343879728273</v>
      </c>
      <c r="J107">
        <v>0.44515860751807407</v>
      </c>
      <c r="L107">
        <v>11792.421407971646</v>
      </c>
      <c r="M107">
        <v>10.166226228577248</v>
      </c>
      <c r="N107">
        <v>9.0271512793398454</v>
      </c>
      <c r="O107">
        <v>19737.799497445591</v>
      </c>
      <c r="P107">
        <v>11.496877196714506</v>
      </c>
      <c r="Q107">
        <v>10.508066794899648</v>
      </c>
      <c r="S107">
        <f t="shared" si="6"/>
        <v>890922.70652601286</v>
      </c>
      <c r="T107">
        <f t="shared" si="7"/>
        <v>1031068.8799925193</v>
      </c>
      <c r="V107">
        <f t="shared" si="4"/>
        <v>0</v>
      </c>
      <c r="W107">
        <f t="shared" si="5"/>
        <v>1</v>
      </c>
    </row>
    <row r="108" spans="1:23" x14ac:dyDescent="0.2">
      <c r="A108">
        <v>103</v>
      </c>
      <c r="B108">
        <v>523.61074297328901</v>
      </c>
      <c r="C108">
        <v>3660.2949678688165</v>
      </c>
      <c r="D108">
        <v>944.80067240211815</v>
      </c>
      <c r="E108">
        <v>1549.8852733157421</v>
      </c>
      <c r="F108">
        <v>0.97614755857622626</v>
      </c>
      <c r="G108">
        <v>0.78314654951124762</v>
      </c>
      <c r="H108">
        <v>1.1613581015380108E-2</v>
      </c>
      <c r="I108">
        <v>0.18222233486928863</v>
      </c>
      <c r="J108">
        <v>0.49350928970935948</v>
      </c>
      <c r="L108">
        <v>13117.284559535557</v>
      </c>
      <c r="M108">
        <v>9.6440368011400093</v>
      </c>
      <c r="N108">
        <v>8.9586070437508383</v>
      </c>
      <c r="O108">
        <v>20379.43056790467</v>
      </c>
      <c r="P108">
        <v>10.9679003848607</v>
      </c>
      <c r="Q108">
        <v>10.372905319093537</v>
      </c>
      <c r="S108">
        <f t="shared" si="6"/>
        <v>882743.41981554823</v>
      </c>
      <c r="T108">
        <f t="shared" si="7"/>
        <v>1016911.101341449</v>
      </c>
      <c r="V108">
        <f t="shared" si="4"/>
        <v>0</v>
      </c>
      <c r="W108">
        <f t="shared" si="5"/>
        <v>1</v>
      </c>
    </row>
    <row r="109" spans="1:23" x14ac:dyDescent="0.2">
      <c r="A109">
        <v>104</v>
      </c>
      <c r="B109">
        <v>526.9116408593826</v>
      </c>
      <c r="C109">
        <v>2541.5197418405396</v>
      </c>
      <c r="D109">
        <v>1177.7147547977283</v>
      </c>
      <c r="E109">
        <v>863.95237685160112</v>
      </c>
      <c r="F109">
        <v>0.9663617668320581</v>
      </c>
      <c r="G109">
        <v>0.84760865254406026</v>
      </c>
      <c r="H109">
        <v>9.8272845097003014E-3</v>
      </c>
      <c r="I109">
        <v>0.17119526679805253</v>
      </c>
      <c r="J109">
        <v>0.43516695097165609</v>
      </c>
      <c r="L109">
        <v>10295.649472601732</v>
      </c>
      <c r="M109">
        <v>10.062734361562779</v>
      </c>
      <c r="N109">
        <v>9.4500278632573576</v>
      </c>
      <c r="O109">
        <v>21139.357825649819</v>
      </c>
      <c r="P109">
        <v>11.518947725040054</v>
      </c>
      <c r="Q109">
        <v>10.950126339492744</v>
      </c>
      <c r="S109">
        <f t="shared" si="6"/>
        <v>934707.13685313403</v>
      </c>
      <c r="T109">
        <f t="shared" si="7"/>
        <v>1073873.2761236245</v>
      </c>
      <c r="V109">
        <f t="shared" si="4"/>
        <v>0</v>
      </c>
      <c r="W109">
        <f t="shared" si="5"/>
        <v>1</v>
      </c>
    </row>
    <row r="110" spans="1:23" x14ac:dyDescent="0.2">
      <c r="A110">
        <v>105</v>
      </c>
      <c r="B110">
        <v>530.24218285888367</v>
      </c>
      <c r="C110">
        <v>3991.4687842767084</v>
      </c>
      <c r="D110">
        <v>1003.6077376945689</v>
      </c>
      <c r="E110">
        <v>928.76452159921212</v>
      </c>
      <c r="F110">
        <v>0.95569736144535034</v>
      </c>
      <c r="G110">
        <v>0.75336466965175797</v>
      </c>
      <c r="H110">
        <v>8.3601003003867524E-3</v>
      </c>
      <c r="I110">
        <v>0.13331929204844892</v>
      </c>
      <c r="J110">
        <v>0.49964265548948017</v>
      </c>
      <c r="L110">
        <v>14734.711092335065</v>
      </c>
      <c r="M110">
        <v>10.730141888885619</v>
      </c>
      <c r="N110">
        <v>9.7442795778269371</v>
      </c>
      <c r="O110">
        <v>22620.394274966107</v>
      </c>
      <c r="P110">
        <v>11.800582993289749</v>
      </c>
      <c r="Q110">
        <v>10.92350402357553</v>
      </c>
      <c r="S110">
        <f t="shared" si="6"/>
        <v>959693.24669035862</v>
      </c>
      <c r="T110">
        <f t="shared" si="7"/>
        <v>1069730.008082587</v>
      </c>
      <c r="V110">
        <f t="shared" si="4"/>
        <v>0</v>
      </c>
      <c r="W110">
        <f t="shared" si="5"/>
        <v>1</v>
      </c>
    </row>
    <row r="111" spans="1:23" x14ac:dyDescent="0.2">
      <c r="A111">
        <v>106</v>
      </c>
      <c r="B111">
        <v>456.80447775547054</v>
      </c>
      <c r="C111">
        <v>2035.0713987387994</v>
      </c>
      <c r="D111">
        <v>1022.375052770815</v>
      </c>
      <c r="E111">
        <v>1110.4656995068522</v>
      </c>
      <c r="F111">
        <v>0.91785294439980647</v>
      </c>
      <c r="G111">
        <v>0.77707245421037863</v>
      </c>
      <c r="H111">
        <v>9.7482902529170863E-3</v>
      </c>
      <c r="I111">
        <v>0.13213085268971639</v>
      </c>
      <c r="J111">
        <v>0.52553013280419747</v>
      </c>
      <c r="L111">
        <v>9462.4469550134545</v>
      </c>
      <c r="M111">
        <v>10.48517420465782</v>
      </c>
      <c r="N111">
        <v>9.242492888608199</v>
      </c>
      <c r="O111">
        <v>18430.619370882738</v>
      </c>
      <c r="P111">
        <v>11.518107948112045</v>
      </c>
      <c r="Q111">
        <v>10.292766173474494</v>
      </c>
      <c r="S111">
        <f t="shared" si="6"/>
        <v>914786.84190580645</v>
      </c>
      <c r="T111">
        <f t="shared" si="7"/>
        <v>1010845.9979765667</v>
      </c>
      <c r="V111">
        <f t="shared" si="4"/>
        <v>0</v>
      </c>
      <c r="W111">
        <f t="shared" si="5"/>
        <v>1</v>
      </c>
    </row>
    <row r="112" spans="1:23" x14ac:dyDescent="0.2">
      <c r="A112">
        <v>107</v>
      </c>
      <c r="B112">
        <v>468.10577154733971</v>
      </c>
      <c r="C112">
        <v>2710.382066859871</v>
      </c>
      <c r="D112">
        <v>1076.7911129089578</v>
      </c>
      <c r="E112">
        <v>772.53387304580531</v>
      </c>
      <c r="F112">
        <v>0.93996804883695284</v>
      </c>
      <c r="G112">
        <v>0.64298680242175754</v>
      </c>
      <c r="H112">
        <v>9.6923660523264028E-3</v>
      </c>
      <c r="I112">
        <v>0.14930603044646762</v>
      </c>
      <c r="J112">
        <v>0.51121104755154145</v>
      </c>
      <c r="L112">
        <v>10736.052250458599</v>
      </c>
      <c r="M112">
        <v>10.300985685151179</v>
      </c>
      <c r="N112">
        <v>8.9376185766822598</v>
      </c>
      <c r="O112">
        <v>19981.440728527548</v>
      </c>
      <c r="P112">
        <v>11.432333333505902</v>
      </c>
      <c r="Q112">
        <v>10.208175776875638</v>
      </c>
      <c r="S112">
        <f t="shared" si="6"/>
        <v>883025.80541776738</v>
      </c>
      <c r="T112">
        <f t="shared" si="7"/>
        <v>1000836.1369590363</v>
      </c>
      <c r="V112">
        <f t="shared" si="4"/>
        <v>0</v>
      </c>
      <c r="W112">
        <f t="shared" si="5"/>
        <v>1</v>
      </c>
    </row>
    <row r="113" spans="1:23" x14ac:dyDescent="0.2">
      <c r="A113">
        <v>108</v>
      </c>
      <c r="B113">
        <v>559.70034388332135</v>
      </c>
      <c r="C113">
        <v>2994.883147986895</v>
      </c>
      <c r="D113">
        <v>999.04847811979823</v>
      </c>
      <c r="E113">
        <v>907.54647750148126</v>
      </c>
      <c r="F113">
        <v>0.94169255733326263</v>
      </c>
      <c r="G113">
        <v>0.80419868800629224</v>
      </c>
      <c r="H113">
        <v>1.0681823852296012E-2</v>
      </c>
      <c r="I113">
        <v>0.17577579708676738</v>
      </c>
      <c r="J113">
        <v>0.52789612126140062</v>
      </c>
      <c r="L113">
        <v>11602.149750589089</v>
      </c>
      <c r="M113">
        <v>9.8631441074166943</v>
      </c>
      <c r="N113">
        <v>8.965777005119504</v>
      </c>
      <c r="O113">
        <v>20003.216805979442</v>
      </c>
      <c r="P113">
        <v>11.037523497699645</v>
      </c>
      <c r="Q113">
        <v>10.152814978037338</v>
      </c>
      <c r="S113">
        <f t="shared" si="6"/>
        <v>884975.55076136137</v>
      </c>
      <c r="T113">
        <f t="shared" si="7"/>
        <v>995278.28099775431</v>
      </c>
      <c r="V113">
        <f t="shared" si="4"/>
        <v>0</v>
      </c>
      <c r="W113">
        <f t="shared" si="5"/>
        <v>1</v>
      </c>
    </row>
    <row r="114" spans="1:23" x14ac:dyDescent="0.2">
      <c r="A114">
        <v>109</v>
      </c>
      <c r="B114">
        <v>418.88944209731011</v>
      </c>
      <c r="C114">
        <v>2057.3316117146596</v>
      </c>
      <c r="D114">
        <v>1183.9715710302362</v>
      </c>
      <c r="E114">
        <v>885.86463562299105</v>
      </c>
      <c r="F114">
        <v>0.97474126901349845</v>
      </c>
      <c r="G114">
        <v>0.76953131644719819</v>
      </c>
      <c r="H114">
        <v>1.0934709233340405E-2</v>
      </c>
      <c r="I114">
        <v>0.12511880031971012</v>
      </c>
      <c r="J114">
        <v>0.50156540419997597</v>
      </c>
      <c r="L114">
        <v>9471.1715618572398</v>
      </c>
      <c r="M114">
        <v>10.381770191319154</v>
      </c>
      <c r="N114">
        <v>9.5186306348031184</v>
      </c>
      <c r="O114">
        <v>19602.22924823685</v>
      </c>
      <c r="P114">
        <v>11.480578842337284</v>
      </c>
      <c r="Q114">
        <v>10.754822116137806</v>
      </c>
      <c r="S114">
        <f t="shared" si="6"/>
        <v>942391.89191845467</v>
      </c>
      <c r="T114">
        <f t="shared" si="7"/>
        <v>1055879.9823655437</v>
      </c>
      <c r="V114">
        <f t="shared" si="4"/>
        <v>0</v>
      </c>
      <c r="W114">
        <f t="shared" si="5"/>
        <v>1</v>
      </c>
    </row>
    <row r="115" spans="1:23" x14ac:dyDescent="0.2">
      <c r="A115">
        <v>110</v>
      </c>
      <c r="B115">
        <v>414.25422720096793</v>
      </c>
      <c r="C115">
        <v>3866.1311176083555</v>
      </c>
      <c r="D115">
        <v>1131.4812265245982</v>
      </c>
      <c r="E115">
        <v>1028.8189999740362</v>
      </c>
      <c r="F115">
        <v>0.97172761350613701</v>
      </c>
      <c r="G115">
        <v>0.58342596281689829</v>
      </c>
      <c r="H115">
        <v>1.0868760412672806E-2</v>
      </c>
      <c r="I115">
        <v>0.14101527018749602</v>
      </c>
      <c r="J115">
        <v>0.4730821052317255</v>
      </c>
      <c r="L115">
        <v>14005.37288093908</v>
      </c>
      <c r="M115">
        <v>10.190545641854362</v>
      </c>
      <c r="N115">
        <v>8.8462351359556735</v>
      </c>
      <c r="O115">
        <v>22398.946005622562</v>
      </c>
      <c r="P115">
        <v>11.438988539232806</v>
      </c>
      <c r="Q115">
        <v>10.372627290724182</v>
      </c>
      <c r="S115">
        <f t="shared" si="6"/>
        <v>870618.14071462827</v>
      </c>
      <c r="T115">
        <f t="shared" si="7"/>
        <v>1014863.7830667957</v>
      </c>
      <c r="V115">
        <f t="shared" si="4"/>
        <v>0</v>
      </c>
      <c r="W115">
        <f t="shared" si="5"/>
        <v>1</v>
      </c>
    </row>
    <row r="116" spans="1:23" x14ac:dyDescent="0.2">
      <c r="A116">
        <v>111</v>
      </c>
      <c r="B116">
        <v>290.16918717184012</v>
      </c>
      <c r="C116">
        <v>2547.1588483801374</v>
      </c>
      <c r="D116">
        <v>1087.3813185835115</v>
      </c>
      <c r="E116">
        <v>700.72458064626437</v>
      </c>
      <c r="F116">
        <v>0.89124121420142077</v>
      </c>
      <c r="G116">
        <v>0.69509211974640062</v>
      </c>
      <c r="H116">
        <v>8.1748207285673204E-3</v>
      </c>
      <c r="I116">
        <v>0.15463098287825627</v>
      </c>
      <c r="J116">
        <v>0.44220547211739658</v>
      </c>
      <c r="L116">
        <v>8458.8905737108307</v>
      </c>
      <c r="M116">
        <v>10.551477880285287</v>
      </c>
      <c r="N116">
        <v>8.9563442394530899</v>
      </c>
      <c r="O116">
        <v>18213.440745428357</v>
      </c>
      <c r="P116">
        <v>11.86088773594072</v>
      </c>
      <c r="Q116">
        <v>10.283207544067173</v>
      </c>
      <c r="S116">
        <f t="shared" si="6"/>
        <v>887175.53337159823</v>
      </c>
      <c r="T116">
        <f t="shared" si="7"/>
        <v>1010107.3136612889</v>
      </c>
      <c r="V116">
        <f t="shared" si="4"/>
        <v>0</v>
      </c>
      <c r="W116">
        <f t="shared" si="5"/>
        <v>1</v>
      </c>
    </row>
    <row r="117" spans="1:23" x14ac:dyDescent="0.2">
      <c r="A117">
        <v>112</v>
      </c>
      <c r="B117">
        <v>507.57033020396892</v>
      </c>
      <c r="C117">
        <v>3094.8254755696175</v>
      </c>
      <c r="D117">
        <v>990.32455967305111</v>
      </c>
      <c r="E117">
        <v>930.0989849322084</v>
      </c>
      <c r="F117">
        <v>0.95345339490580705</v>
      </c>
      <c r="G117">
        <v>0.84031933101205658</v>
      </c>
      <c r="H117">
        <v>1.1203972760428041E-2</v>
      </c>
      <c r="I117">
        <v>0.1444332824227611</v>
      </c>
      <c r="J117">
        <v>0.45932815599136517</v>
      </c>
      <c r="L117">
        <v>12503.990643561721</v>
      </c>
      <c r="M117">
        <v>10.096580256058287</v>
      </c>
      <c r="N117">
        <v>9.3198694966754569</v>
      </c>
      <c r="O117">
        <v>20359.270392323815</v>
      </c>
      <c r="P117">
        <v>11.410636448793481</v>
      </c>
      <c r="Q117">
        <v>10.665997723316231</v>
      </c>
      <c r="S117">
        <f t="shared" si="6"/>
        <v>919482.95902398403</v>
      </c>
      <c r="T117">
        <f t="shared" si="7"/>
        <v>1046240.5019392993</v>
      </c>
      <c r="V117">
        <f t="shared" si="4"/>
        <v>0</v>
      </c>
      <c r="W117">
        <f t="shared" si="5"/>
        <v>1</v>
      </c>
    </row>
    <row r="118" spans="1:23" x14ac:dyDescent="0.2">
      <c r="A118">
        <v>113</v>
      </c>
      <c r="B118">
        <v>454.83166971653048</v>
      </c>
      <c r="C118">
        <v>2341.784428713926</v>
      </c>
      <c r="D118">
        <v>1014.1985495845855</v>
      </c>
      <c r="E118">
        <v>837.51361374600822</v>
      </c>
      <c r="F118">
        <v>0.95298571564434653</v>
      </c>
      <c r="G118">
        <v>0.72504030674070719</v>
      </c>
      <c r="H118">
        <v>1.0344655221525657E-2</v>
      </c>
      <c r="I118">
        <v>0.13307050836456452</v>
      </c>
      <c r="J118">
        <v>0.52963872485064156</v>
      </c>
      <c r="L118">
        <v>10239.574574119277</v>
      </c>
      <c r="M118">
        <v>10.372511299659994</v>
      </c>
      <c r="N118">
        <v>9.2550139202207671</v>
      </c>
      <c r="O118">
        <v>18777.771708421489</v>
      </c>
      <c r="P118">
        <v>11.409276506253027</v>
      </c>
      <c r="Q118">
        <v>10.405685686919416</v>
      </c>
      <c r="S118">
        <f t="shared" si="6"/>
        <v>915261.81744795747</v>
      </c>
      <c r="T118">
        <f t="shared" si="7"/>
        <v>1021790.79698352</v>
      </c>
      <c r="V118">
        <f t="shared" si="4"/>
        <v>0</v>
      </c>
      <c r="W118">
        <f t="shared" si="5"/>
        <v>1</v>
      </c>
    </row>
    <row r="119" spans="1:23" x14ac:dyDescent="0.2">
      <c r="A119">
        <v>114</v>
      </c>
      <c r="B119">
        <v>359.19191610908138</v>
      </c>
      <c r="C119">
        <v>3132.6977824268079</v>
      </c>
      <c r="D119">
        <v>1049.9945771979581</v>
      </c>
      <c r="E119">
        <v>1085.7766946307192</v>
      </c>
      <c r="F119">
        <v>0.94684513207497067</v>
      </c>
      <c r="G119">
        <v>0.8205314466975091</v>
      </c>
      <c r="H119">
        <v>1.0358065028999648E-2</v>
      </c>
      <c r="I119">
        <v>0.18225596838710634</v>
      </c>
      <c r="J119">
        <v>0.46119822233954133</v>
      </c>
      <c r="L119">
        <v>10259.045959094612</v>
      </c>
      <c r="M119">
        <v>9.8657456242728454</v>
      </c>
      <c r="N119">
        <v>9.0558644237063941</v>
      </c>
      <c r="O119">
        <v>18898.051722257922</v>
      </c>
      <c r="P119">
        <v>11.278438271514702</v>
      </c>
      <c r="Q119">
        <v>10.481408805135207</v>
      </c>
      <c r="S119">
        <f t="shared" si="6"/>
        <v>895327.39641154476</v>
      </c>
      <c r="T119">
        <f t="shared" si="7"/>
        <v>1029242.8287912628</v>
      </c>
      <c r="V119">
        <f t="shared" si="4"/>
        <v>0</v>
      </c>
      <c r="W119">
        <f t="shared" si="5"/>
        <v>1</v>
      </c>
    </row>
    <row r="120" spans="1:23" x14ac:dyDescent="0.2">
      <c r="A120">
        <v>115</v>
      </c>
      <c r="B120">
        <v>442.56422913845716</v>
      </c>
      <c r="C120">
        <v>2662.473040264777</v>
      </c>
      <c r="D120">
        <v>856.1842714057334</v>
      </c>
      <c r="E120">
        <v>1273.7498726574247</v>
      </c>
      <c r="F120">
        <v>0.95592672264162593</v>
      </c>
      <c r="G120">
        <v>0.7033399673466062</v>
      </c>
      <c r="H120">
        <v>9.9702976357373425E-3</v>
      </c>
      <c r="I120">
        <v>0.15018036429962522</v>
      </c>
      <c r="J120">
        <v>0.38620153530568097</v>
      </c>
      <c r="L120">
        <v>10628.199697311675</v>
      </c>
      <c r="M120">
        <v>10.241143602634272</v>
      </c>
      <c r="N120">
        <v>9.1512100358946569</v>
      </c>
      <c r="O120">
        <v>17739.964350384133</v>
      </c>
      <c r="P120">
        <v>11.799271064029679</v>
      </c>
      <c r="Q120">
        <v>10.886851456286958</v>
      </c>
      <c r="S120">
        <f t="shared" si="6"/>
        <v>904492.80389215401</v>
      </c>
      <c r="T120">
        <f t="shared" si="7"/>
        <v>1070945.1812783116</v>
      </c>
      <c r="V120">
        <f t="shared" si="4"/>
        <v>0</v>
      </c>
      <c r="W120">
        <f t="shared" si="5"/>
        <v>1</v>
      </c>
    </row>
    <row r="121" spans="1:23" x14ac:dyDescent="0.2">
      <c r="A121">
        <v>116</v>
      </c>
      <c r="B121">
        <v>408.2543782676056</v>
      </c>
      <c r="C121">
        <v>2001.1407408116684</v>
      </c>
      <c r="D121">
        <v>895.3427370391629</v>
      </c>
      <c r="E121">
        <v>1225.3577851469527</v>
      </c>
      <c r="F121">
        <v>0.9758840365342385</v>
      </c>
      <c r="G121">
        <v>0.68061270098351911</v>
      </c>
      <c r="H121">
        <v>9.6055609544992409E-3</v>
      </c>
      <c r="I121">
        <v>0.1468303023492106</v>
      </c>
      <c r="J121">
        <v>0.48111464861467584</v>
      </c>
      <c r="L121">
        <v>8699.9092441816938</v>
      </c>
      <c r="M121">
        <v>10.34326579954147</v>
      </c>
      <c r="N121">
        <v>9.3481195384319768</v>
      </c>
      <c r="O121">
        <v>16607.207272741627</v>
      </c>
      <c r="P121">
        <v>11.556365757619279</v>
      </c>
      <c r="Q121">
        <v>10.758659293572121</v>
      </c>
      <c r="S121">
        <f t="shared" si="6"/>
        <v>926112.04459901596</v>
      </c>
      <c r="T121">
        <f t="shared" si="7"/>
        <v>1059258.7220844703</v>
      </c>
      <c r="V121">
        <f t="shared" si="4"/>
        <v>0</v>
      </c>
      <c r="W121">
        <f t="shared" si="5"/>
        <v>1</v>
      </c>
    </row>
    <row r="122" spans="1:23" x14ac:dyDescent="0.2">
      <c r="A122">
        <v>117</v>
      </c>
      <c r="B122">
        <v>778.2823618632392</v>
      </c>
      <c r="C122">
        <v>2861.8188630304235</v>
      </c>
      <c r="D122">
        <v>1030.947240792799</v>
      </c>
      <c r="E122">
        <v>955.79959342466657</v>
      </c>
      <c r="F122">
        <v>0.976867491696088</v>
      </c>
      <c r="G122">
        <v>0.8036666687380446</v>
      </c>
      <c r="H122">
        <v>1.0629216369851202E-2</v>
      </c>
      <c r="I122">
        <v>0.17212584348954629</v>
      </c>
      <c r="J122">
        <v>0.5302128874049914</v>
      </c>
      <c r="L122">
        <v>13043.523272417322</v>
      </c>
      <c r="M122">
        <v>9.9058290421149131</v>
      </c>
      <c r="N122">
        <v>9.2657262512043221</v>
      </c>
      <c r="O122">
        <v>22178.157188350327</v>
      </c>
      <c r="P122">
        <v>11.062623713131121</v>
      </c>
      <c r="Q122">
        <v>10.498863963855884</v>
      </c>
      <c r="S122">
        <f t="shared" si="6"/>
        <v>913529.10184801486</v>
      </c>
      <c r="T122">
        <f t="shared" si="7"/>
        <v>1027708.2391972381</v>
      </c>
      <c r="V122">
        <f t="shared" si="4"/>
        <v>0</v>
      </c>
      <c r="W122">
        <f t="shared" si="5"/>
        <v>1</v>
      </c>
    </row>
    <row r="123" spans="1:23" x14ac:dyDescent="0.2">
      <c r="A123">
        <v>118</v>
      </c>
      <c r="B123">
        <v>717.09097742238293</v>
      </c>
      <c r="C123">
        <v>2772.0205600321237</v>
      </c>
      <c r="D123">
        <v>1090.714747909672</v>
      </c>
      <c r="E123">
        <v>940.39755450119833</v>
      </c>
      <c r="F123">
        <v>0.94836533879423457</v>
      </c>
      <c r="G123">
        <v>0.56580752276384316</v>
      </c>
      <c r="H123">
        <v>9.1860821378639077E-3</v>
      </c>
      <c r="I123">
        <v>0.17816322449560262</v>
      </c>
      <c r="J123">
        <v>0.57466181469771127</v>
      </c>
      <c r="L123">
        <v>12125.458274192159</v>
      </c>
      <c r="M123">
        <v>10.130400199742587</v>
      </c>
      <c r="N123">
        <v>8.7705822330424468</v>
      </c>
      <c r="O123">
        <v>22029.135739876521</v>
      </c>
      <c r="P123">
        <v>11.135117786547852</v>
      </c>
      <c r="Q123">
        <v>9.9182567082004152</v>
      </c>
      <c r="S123">
        <f t="shared" si="6"/>
        <v>864932.76503005251</v>
      </c>
      <c r="T123">
        <f t="shared" si="7"/>
        <v>969796.53508016502</v>
      </c>
      <c r="V123">
        <f t="shared" si="4"/>
        <v>0</v>
      </c>
      <c r="W123">
        <f t="shared" si="5"/>
        <v>1</v>
      </c>
    </row>
    <row r="124" spans="1:23" x14ac:dyDescent="0.2">
      <c r="A124">
        <v>119</v>
      </c>
      <c r="B124">
        <v>591.53366881478837</v>
      </c>
      <c r="C124">
        <v>2206.5120533996565</v>
      </c>
      <c r="D124">
        <v>941.35826735967248</v>
      </c>
      <c r="E124">
        <v>750.28983836198131</v>
      </c>
      <c r="F124">
        <v>0.9573549650919928</v>
      </c>
      <c r="G124">
        <v>0.8351864643334751</v>
      </c>
      <c r="H124">
        <v>8.4719760996127443E-3</v>
      </c>
      <c r="I124">
        <v>0.19588180703130453</v>
      </c>
      <c r="J124">
        <v>0.42439618437478099</v>
      </c>
      <c r="L124">
        <v>9494.6915042716919</v>
      </c>
      <c r="M124">
        <v>10.150809966211117</v>
      </c>
      <c r="N124">
        <v>9.4759312696821816</v>
      </c>
      <c r="O124">
        <v>18910.250767255631</v>
      </c>
      <c r="P124">
        <v>11.663504972966729</v>
      </c>
      <c r="Q124">
        <v>11.012566661635823</v>
      </c>
      <c r="S124">
        <f t="shared" si="6"/>
        <v>938098.43546394643</v>
      </c>
      <c r="T124">
        <f t="shared" si="7"/>
        <v>1082346.4153963267</v>
      </c>
      <c r="V124">
        <f t="shared" si="4"/>
        <v>0</v>
      </c>
      <c r="W124">
        <f t="shared" si="5"/>
        <v>1</v>
      </c>
    </row>
    <row r="125" spans="1:23" x14ac:dyDescent="0.2">
      <c r="A125">
        <v>120</v>
      </c>
      <c r="B125">
        <v>599.303014657228</v>
      </c>
      <c r="C125">
        <v>3170.0211046521836</v>
      </c>
      <c r="D125">
        <v>1069.8420978443728</v>
      </c>
      <c r="E125">
        <v>1402.9670605951769</v>
      </c>
      <c r="F125">
        <v>0.93984994651111264</v>
      </c>
      <c r="G125">
        <v>0.65215896420251551</v>
      </c>
      <c r="H125">
        <v>1.1030097959236995E-2</v>
      </c>
      <c r="I125">
        <v>0.15816437925724225</v>
      </c>
      <c r="J125">
        <v>0.47304971832132137</v>
      </c>
      <c r="L125">
        <v>13082.447951276723</v>
      </c>
      <c r="M125">
        <v>9.9734402871490566</v>
      </c>
      <c r="N125">
        <v>8.6415570770031778</v>
      </c>
      <c r="O125">
        <v>21938.882759382421</v>
      </c>
      <c r="P125">
        <v>11.286757311172511</v>
      </c>
      <c r="Q125">
        <v>10.090239722511871</v>
      </c>
      <c r="S125">
        <f t="shared" si="6"/>
        <v>851073.25974904106</v>
      </c>
      <c r="T125">
        <f t="shared" si="7"/>
        <v>987085.08949180471</v>
      </c>
      <c r="V125">
        <f t="shared" si="4"/>
        <v>0</v>
      </c>
      <c r="W125">
        <f t="shared" si="5"/>
        <v>1</v>
      </c>
    </row>
    <row r="126" spans="1:23" x14ac:dyDescent="0.2">
      <c r="A126">
        <v>121</v>
      </c>
      <c r="B126">
        <v>389.55908884583909</v>
      </c>
      <c r="C126">
        <v>2890.4198990374039</v>
      </c>
      <c r="D126">
        <v>1029.1609676036735</v>
      </c>
      <c r="E126">
        <v>1059.0012563444593</v>
      </c>
      <c r="F126">
        <v>0.97983844703440603</v>
      </c>
      <c r="G126">
        <v>0.71085131289008585</v>
      </c>
      <c r="H126">
        <v>9.3801603554161516E-3</v>
      </c>
      <c r="I126">
        <v>9.8939972136189963E-2</v>
      </c>
      <c r="J126">
        <v>0.50976878103463952</v>
      </c>
      <c r="L126">
        <v>12427.71815576578</v>
      </c>
      <c r="M126">
        <v>11.008224945223391</v>
      </c>
      <c r="N126">
        <v>9.9460333472948683</v>
      </c>
      <c r="O126">
        <v>20430.712178416288</v>
      </c>
      <c r="P126">
        <v>11.933040581268482</v>
      </c>
      <c r="Q126">
        <v>11.095080688619444</v>
      </c>
      <c r="S126">
        <f t="shared" si="6"/>
        <v>982175.61657372105</v>
      </c>
      <c r="T126">
        <f t="shared" si="7"/>
        <v>1089077.3566835281</v>
      </c>
      <c r="V126">
        <f t="shared" si="4"/>
        <v>0</v>
      </c>
      <c r="W126">
        <f t="shared" si="5"/>
        <v>1</v>
      </c>
    </row>
    <row r="127" spans="1:23" x14ac:dyDescent="0.2">
      <c r="A127">
        <v>122</v>
      </c>
      <c r="B127">
        <v>484.61349403909645</v>
      </c>
      <c r="C127">
        <v>3676.9741928874778</v>
      </c>
      <c r="D127">
        <v>970.21468243261006</v>
      </c>
      <c r="E127">
        <v>1136.4566883427108</v>
      </c>
      <c r="F127">
        <v>0.9379030590997125</v>
      </c>
      <c r="G127">
        <v>0.70984906969765982</v>
      </c>
      <c r="H127">
        <v>9.0373647249599332E-3</v>
      </c>
      <c r="I127">
        <v>0.1235801276458597</v>
      </c>
      <c r="J127">
        <v>0.50567711064429188</v>
      </c>
      <c r="L127">
        <v>14284.999165529107</v>
      </c>
      <c r="M127">
        <v>10.716856223979104</v>
      </c>
      <c r="N127">
        <v>9.4292699476882706</v>
      </c>
      <c r="O127">
        <v>21655.381391790426</v>
      </c>
      <c r="P127">
        <v>11.754535632379582</v>
      </c>
      <c r="Q127">
        <v>10.584977104107031</v>
      </c>
      <c r="S127">
        <f t="shared" si="6"/>
        <v>928641.99560329795</v>
      </c>
      <c r="T127">
        <f t="shared" si="7"/>
        <v>1036842.3290189125</v>
      </c>
      <c r="V127">
        <f t="shared" si="4"/>
        <v>0</v>
      </c>
      <c r="W127">
        <f t="shared" si="5"/>
        <v>1</v>
      </c>
    </row>
    <row r="128" spans="1:23" x14ac:dyDescent="0.2">
      <c r="A128">
        <v>123</v>
      </c>
      <c r="B128">
        <v>702.60490547197344</v>
      </c>
      <c r="C128">
        <v>3052.7985180158139</v>
      </c>
      <c r="D128">
        <v>984.25180664608638</v>
      </c>
      <c r="E128">
        <v>1866.4096082571305</v>
      </c>
      <c r="F128">
        <v>0.92074827543750593</v>
      </c>
      <c r="G128">
        <v>0.82400503864709496</v>
      </c>
      <c r="H128">
        <v>9.7608508443801888E-3</v>
      </c>
      <c r="I128">
        <v>0.11388239399873201</v>
      </c>
      <c r="J128">
        <v>0.48123758744842476</v>
      </c>
      <c r="L128">
        <v>15093.738859977684</v>
      </c>
      <c r="M128">
        <v>10.722638202582266</v>
      </c>
      <c r="N128">
        <v>9.5874632382896188</v>
      </c>
      <c r="O128">
        <v>23143.699905168753</v>
      </c>
      <c r="P128">
        <v>11.804482392008724</v>
      </c>
      <c r="Q128">
        <v>10.670920066452121</v>
      </c>
      <c r="S128">
        <f t="shared" si="6"/>
        <v>943652.58496898424</v>
      </c>
      <c r="T128">
        <f t="shared" si="7"/>
        <v>1043948.3067400435</v>
      </c>
      <c r="V128">
        <f t="shared" si="4"/>
        <v>0</v>
      </c>
      <c r="W128">
        <f t="shared" si="5"/>
        <v>1</v>
      </c>
    </row>
    <row r="129" spans="1:23" x14ac:dyDescent="0.2">
      <c r="A129">
        <v>124</v>
      </c>
      <c r="B129">
        <v>451.79783672875556</v>
      </c>
      <c r="C129">
        <v>2486.8761566462981</v>
      </c>
      <c r="D129">
        <v>987.56644297166793</v>
      </c>
      <c r="E129">
        <v>1051.7842000673909</v>
      </c>
      <c r="F129">
        <v>0.93615027406635398</v>
      </c>
      <c r="G129">
        <v>0.6592085090023716</v>
      </c>
      <c r="H129">
        <v>8.6424760982615617E-3</v>
      </c>
      <c r="I129">
        <v>0.20211615035658237</v>
      </c>
      <c r="J129">
        <v>0.4513146509107695</v>
      </c>
      <c r="L129">
        <v>8941.8033157279697</v>
      </c>
      <c r="M129">
        <v>10.068607081625496</v>
      </c>
      <c r="N129">
        <v>8.8844742973259763</v>
      </c>
      <c r="O129">
        <v>18197.804775474528</v>
      </c>
      <c r="P129">
        <v>11.509641929880686</v>
      </c>
      <c r="Q129">
        <v>10.416243432629233</v>
      </c>
      <c r="S129">
        <f t="shared" si="6"/>
        <v>879505.62641686969</v>
      </c>
      <c r="T129">
        <f t="shared" si="7"/>
        <v>1023426.5384874488</v>
      </c>
      <c r="V129">
        <f t="shared" si="4"/>
        <v>0</v>
      </c>
      <c r="W129">
        <f t="shared" si="5"/>
        <v>1</v>
      </c>
    </row>
    <row r="130" spans="1:23" x14ac:dyDescent="0.2">
      <c r="A130">
        <v>125</v>
      </c>
      <c r="B130">
        <v>334.47111499940326</v>
      </c>
      <c r="C130">
        <v>2689.9864585435707</v>
      </c>
      <c r="D130">
        <v>951.20588743176995</v>
      </c>
      <c r="E130">
        <v>1061.6315041430862</v>
      </c>
      <c r="F130">
        <v>0.93437287919560574</v>
      </c>
      <c r="G130">
        <v>0.75415332378473687</v>
      </c>
      <c r="H130">
        <v>8.9776853255783516E-3</v>
      </c>
      <c r="I130">
        <v>0.16687526972167566</v>
      </c>
      <c r="J130">
        <v>0.49222457728274865</v>
      </c>
      <c r="L130">
        <v>9165.7034908635196</v>
      </c>
      <c r="M130">
        <v>10.27023737340974</v>
      </c>
      <c r="N130">
        <v>9.1884540876068588</v>
      </c>
      <c r="O130">
        <v>17279.339289345869</v>
      </c>
      <c r="P130">
        <v>11.493261097915594</v>
      </c>
      <c r="Q130">
        <v>10.453789193221814</v>
      </c>
      <c r="S130">
        <f t="shared" si="6"/>
        <v>909679.70526982227</v>
      </c>
      <c r="T130">
        <f t="shared" si="7"/>
        <v>1028099.5800328355</v>
      </c>
      <c r="V130">
        <f t="shared" si="4"/>
        <v>0</v>
      </c>
      <c r="W130">
        <f t="shared" si="5"/>
        <v>1</v>
      </c>
    </row>
    <row r="131" spans="1:23" x14ac:dyDescent="0.2">
      <c r="A131">
        <v>126</v>
      </c>
      <c r="B131">
        <v>468.5609600967253</v>
      </c>
      <c r="C131">
        <v>3897.366058377786</v>
      </c>
      <c r="D131">
        <v>901.29759888043156</v>
      </c>
      <c r="E131">
        <v>779.12258345521479</v>
      </c>
      <c r="F131">
        <v>0.90644960028872656</v>
      </c>
      <c r="G131">
        <v>0.71082973735219845</v>
      </c>
      <c r="H131">
        <v>1.0456708585736595E-2</v>
      </c>
      <c r="I131">
        <v>0.17325228777254342</v>
      </c>
      <c r="J131">
        <v>0.51375453979988561</v>
      </c>
      <c r="L131">
        <v>13017.231383382466</v>
      </c>
      <c r="M131">
        <v>9.9266072439980633</v>
      </c>
      <c r="N131">
        <v>8.5387507692620321</v>
      </c>
      <c r="O131">
        <v>19848.594709943995</v>
      </c>
      <c r="P131">
        <v>11.136509646607525</v>
      </c>
      <c r="Q131">
        <v>9.7572145560062982</v>
      </c>
      <c r="S131">
        <f t="shared" si="6"/>
        <v>840857.84554282075</v>
      </c>
      <c r="T131">
        <f t="shared" si="7"/>
        <v>955872.86089068581</v>
      </c>
      <c r="V131">
        <f t="shared" si="4"/>
        <v>0</v>
      </c>
      <c r="W131">
        <f t="shared" si="5"/>
        <v>1</v>
      </c>
    </row>
    <row r="132" spans="1:23" x14ac:dyDescent="0.2">
      <c r="A132">
        <v>127</v>
      </c>
      <c r="B132">
        <v>619.02825200982375</v>
      </c>
      <c r="C132">
        <v>2289.9112794253415</v>
      </c>
      <c r="D132">
        <v>902.15085004238904</v>
      </c>
      <c r="E132">
        <v>990.15884073119912</v>
      </c>
      <c r="F132">
        <v>0.94171794195292335</v>
      </c>
      <c r="G132">
        <v>0.74339883157984921</v>
      </c>
      <c r="H132">
        <v>1.0452260876390349E-2</v>
      </c>
      <c r="I132">
        <v>0.17464348533637319</v>
      </c>
      <c r="J132">
        <v>0.52240939862543878</v>
      </c>
      <c r="L132">
        <v>10442.010561188381</v>
      </c>
      <c r="M132">
        <v>9.9148399223661912</v>
      </c>
      <c r="N132">
        <v>8.8739985966646522</v>
      </c>
      <c r="O132">
        <v>18515.280759678553</v>
      </c>
      <c r="P132">
        <v>11.099934441356464</v>
      </c>
      <c r="Q132">
        <v>10.109657174834739</v>
      </c>
      <c r="S132">
        <f t="shared" si="6"/>
        <v>876957.84910527687</v>
      </c>
      <c r="T132">
        <f t="shared" si="7"/>
        <v>992450.43672379537</v>
      </c>
      <c r="V132">
        <f t="shared" si="4"/>
        <v>0</v>
      </c>
      <c r="W132">
        <f t="shared" si="5"/>
        <v>1</v>
      </c>
    </row>
    <row r="133" spans="1:23" x14ac:dyDescent="0.2">
      <c r="A133">
        <v>128</v>
      </c>
      <c r="B133">
        <v>446.16052605692397</v>
      </c>
      <c r="C133">
        <v>3170.3736804543255</v>
      </c>
      <c r="D133">
        <v>1238.3878304291648</v>
      </c>
      <c r="E133">
        <v>949.27677774800566</v>
      </c>
      <c r="F133">
        <v>0.98160823714628997</v>
      </c>
      <c r="G133">
        <v>0.61605048920496397</v>
      </c>
      <c r="H133">
        <v>1.0940043698743034E-2</v>
      </c>
      <c r="I133">
        <v>0.14735717993547665</v>
      </c>
      <c r="J133">
        <v>0.52076602751202239</v>
      </c>
      <c r="L133">
        <v>12108.380702282087</v>
      </c>
      <c r="M133">
        <v>10.105564437181943</v>
      </c>
      <c r="N133">
        <v>8.9497235551772185</v>
      </c>
      <c r="O133">
        <v>22116.632369042189</v>
      </c>
      <c r="P133">
        <v>11.227192864897306</v>
      </c>
      <c r="Q133">
        <v>10.300277815529787</v>
      </c>
      <c r="S133">
        <f t="shared" si="6"/>
        <v>882863.97481543978</v>
      </c>
      <c r="T133">
        <f t="shared" si="7"/>
        <v>1007911.1491839365</v>
      </c>
      <c r="V133">
        <f t="shared" si="4"/>
        <v>0</v>
      </c>
      <c r="W133">
        <f t="shared" si="5"/>
        <v>1</v>
      </c>
    </row>
    <row r="134" spans="1:23" x14ac:dyDescent="0.2">
      <c r="A134">
        <v>129</v>
      </c>
      <c r="B134">
        <v>283.50559684382677</v>
      </c>
      <c r="C134">
        <v>2686.1925058491529</v>
      </c>
      <c r="D134">
        <v>906.40427295682071</v>
      </c>
      <c r="E134">
        <v>1161.0206982493712</v>
      </c>
      <c r="F134">
        <v>0.97960398520486047</v>
      </c>
      <c r="G134">
        <v>0.79544760757447275</v>
      </c>
      <c r="H134">
        <v>1.0293597868093383E-2</v>
      </c>
      <c r="I134">
        <v>0.12368748063541615</v>
      </c>
      <c r="J134">
        <v>0.42771155965255059</v>
      </c>
      <c r="L134">
        <v>10305.988005091582</v>
      </c>
      <c r="M134">
        <v>10.501505028112161</v>
      </c>
      <c r="N134">
        <v>9.75727592671163</v>
      </c>
      <c r="O134">
        <v>17137.048732453033</v>
      </c>
      <c r="P134">
        <v>11.804608380315408</v>
      </c>
      <c r="Q134">
        <v>11.216769200333344</v>
      </c>
      <c r="S134">
        <f t="shared" si="6"/>
        <v>965421.60466607148</v>
      </c>
      <c r="T134">
        <f t="shared" si="7"/>
        <v>1104539.8713008813</v>
      </c>
      <c r="V134">
        <f t="shared" ref="V134:V197" si="8">IF(S134=MAX($S134:$T134),1,0)</f>
        <v>0</v>
      </c>
      <c r="W134">
        <f t="shared" ref="W134:W197" si="9">IF(T134=MAX($S134:$T134),1,0)</f>
        <v>1</v>
      </c>
    </row>
    <row r="135" spans="1:23" x14ac:dyDescent="0.2">
      <c r="A135">
        <v>130</v>
      </c>
      <c r="B135">
        <v>711.12922445611412</v>
      </c>
      <c r="C135">
        <v>3009.6696416710129</v>
      </c>
      <c r="D135">
        <v>1060.8386686093738</v>
      </c>
      <c r="E135">
        <v>1019.9762820956706</v>
      </c>
      <c r="F135">
        <v>0.97054396290203138</v>
      </c>
      <c r="G135">
        <v>0.76889047939290089</v>
      </c>
      <c r="H135">
        <v>1.0091337168840709E-2</v>
      </c>
      <c r="I135">
        <v>0.14410937068971022</v>
      </c>
      <c r="J135">
        <v>0.4243807582655123</v>
      </c>
      <c r="L135">
        <v>13689.167630380351</v>
      </c>
      <c r="M135">
        <v>10.285750712003917</v>
      </c>
      <c r="N135">
        <v>9.4571305091415407</v>
      </c>
      <c r="O135">
        <v>23062.887800684402</v>
      </c>
      <c r="P135">
        <v>11.687586399415657</v>
      </c>
      <c r="Q135">
        <v>11.000667565180835</v>
      </c>
      <c r="S135">
        <f t="shared" ref="S135:S198" si="10">$T$1*N135-L135</f>
        <v>932023.88328377367</v>
      </c>
      <c r="T135">
        <f t="shared" ref="T135:T198" si="11">$T$1*Q135-O135</f>
        <v>1077003.8687173992</v>
      </c>
      <c r="V135">
        <f t="shared" si="8"/>
        <v>0</v>
      </c>
      <c r="W135">
        <f t="shared" si="9"/>
        <v>1</v>
      </c>
    </row>
    <row r="136" spans="1:23" x14ac:dyDescent="0.2">
      <c r="A136">
        <v>131</v>
      </c>
      <c r="B136">
        <v>377.84423647632963</v>
      </c>
      <c r="C136">
        <v>3214.0747965094197</v>
      </c>
      <c r="D136">
        <v>1077.8631467892837</v>
      </c>
      <c r="E136">
        <v>1025.8935571778507</v>
      </c>
      <c r="F136">
        <v>0.98249396359440699</v>
      </c>
      <c r="G136">
        <v>0.77227935008670245</v>
      </c>
      <c r="H136">
        <v>1.20780237464414E-2</v>
      </c>
      <c r="I136">
        <v>0.15751340387949331</v>
      </c>
      <c r="J136">
        <v>0.4807845900572173</v>
      </c>
      <c r="L136">
        <v>11616.669737100836</v>
      </c>
      <c r="M136">
        <v>9.8128953939258423</v>
      </c>
      <c r="N136">
        <v>9.0865175052432949</v>
      </c>
      <c r="O136">
        <v>19850.709308935668</v>
      </c>
      <c r="P136">
        <v>11.11640370008589</v>
      </c>
      <c r="Q136">
        <v>10.520141162574701</v>
      </c>
      <c r="S136">
        <f t="shared" si="10"/>
        <v>897035.08078722865</v>
      </c>
      <c r="T136">
        <f t="shared" si="11"/>
        <v>1032163.4069485344</v>
      </c>
      <c r="V136">
        <f t="shared" si="8"/>
        <v>0</v>
      </c>
      <c r="W136">
        <f t="shared" si="9"/>
        <v>1</v>
      </c>
    </row>
    <row r="137" spans="1:23" x14ac:dyDescent="0.2">
      <c r="A137">
        <v>132</v>
      </c>
      <c r="B137">
        <v>372.6271407547855</v>
      </c>
      <c r="C137">
        <v>2702.162046486766</v>
      </c>
      <c r="D137">
        <v>1058.7792227381783</v>
      </c>
      <c r="E137">
        <v>1274.0466750891705</v>
      </c>
      <c r="F137">
        <v>0.93093761652026263</v>
      </c>
      <c r="G137">
        <v>0.79058725334425461</v>
      </c>
      <c r="H137">
        <v>9.3254250196908393E-3</v>
      </c>
      <c r="I137">
        <v>0.14493501843446469</v>
      </c>
      <c r="J137">
        <v>0.56353772692171911</v>
      </c>
      <c r="L137">
        <v>10204.039463018837</v>
      </c>
      <c r="M137">
        <v>10.415773221094094</v>
      </c>
      <c r="N137">
        <v>9.343473213226245</v>
      </c>
      <c r="O137">
        <v>19054.200473456782</v>
      </c>
      <c r="P137">
        <v>11.374243150678447</v>
      </c>
      <c r="Q137">
        <v>10.321296977883449</v>
      </c>
      <c r="S137">
        <f t="shared" si="10"/>
        <v>924143.28185960557</v>
      </c>
      <c r="T137">
        <f t="shared" si="11"/>
        <v>1013075.4973148882</v>
      </c>
      <c r="V137">
        <f t="shared" si="8"/>
        <v>0</v>
      </c>
      <c r="W137">
        <f t="shared" si="9"/>
        <v>1</v>
      </c>
    </row>
    <row r="138" spans="1:23" x14ac:dyDescent="0.2">
      <c r="A138">
        <v>133</v>
      </c>
      <c r="B138">
        <v>474.62600302252724</v>
      </c>
      <c r="C138">
        <v>2165.941334994212</v>
      </c>
      <c r="D138">
        <v>1020.493650525215</v>
      </c>
      <c r="E138">
        <v>1091.2960016981997</v>
      </c>
      <c r="F138">
        <v>0.97348525893722415</v>
      </c>
      <c r="G138">
        <v>0.88703193498245592</v>
      </c>
      <c r="H138">
        <v>8.88781772505314E-3</v>
      </c>
      <c r="I138">
        <v>0.13617831294315258</v>
      </c>
      <c r="J138">
        <v>0.550883842421107</v>
      </c>
      <c r="L138">
        <v>9737.266644638079</v>
      </c>
      <c r="M138">
        <v>10.594925581839531</v>
      </c>
      <c r="N138">
        <v>10.092757207557876</v>
      </c>
      <c r="O138">
        <v>18827.344017894473</v>
      </c>
      <c r="P138">
        <v>11.551423491926329</v>
      </c>
      <c r="Q138">
        <v>11.08091484217478</v>
      </c>
      <c r="S138">
        <f t="shared" si="10"/>
        <v>999538.45411114953</v>
      </c>
      <c r="T138">
        <f t="shared" si="11"/>
        <v>1089264.1401995835</v>
      </c>
      <c r="V138">
        <f t="shared" si="8"/>
        <v>0</v>
      </c>
      <c r="W138">
        <f t="shared" si="9"/>
        <v>1</v>
      </c>
    </row>
    <row r="139" spans="1:23" x14ac:dyDescent="0.2">
      <c r="A139">
        <v>134</v>
      </c>
      <c r="B139">
        <v>486.13325862931373</v>
      </c>
      <c r="C139">
        <v>2306.1085737694411</v>
      </c>
      <c r="D139">
        <v>903.61413670731542</v>
      </c>
      <c r="E139">
        <v>601.98489587163658</v>
      </c>
      <c r="F139">
        <v>0.94911334529793423</v>
      </c>
      <c r="G139">
        <v>0.68487375706635356</v>
      </c>
      <c r="H139">
        <v>1.0087645779526552E-2</v>
      </c>
      <c r="I139">
        <v>0.17747652087036081</v>
      </c>
      <c r="J139">
        <v>0.50351121842394175</v>
      </c>
      <c r="L139">
        <v>9229.1161987522009</v>
      </c>
      <c r="M139">
        <v>9.9576449982843425</v>
      </c>
      <c r="N139">
        <v>8.8491204080504655</v>
      </c>
      <c r="O139">
        <v>17256.306372844731</v>
      </c>
      <c r="P139">
        <v>11.204302503874992</v>
      </c>
      <c r="Q139">
        <v>10.198964168166146</v>
      </c>
      <c r="S139">
        <f t="shared" si="10"/>
        <v>875682.92460629437</v>
      </c>
      <c r="T139">
        <f t="shared" si="11"/>
        <v>1002640.1104437698</v>
      </c>
      <c r="V139">
        <f t="shared" si="8"/>
        <v>0</v>
      </c>
      <c r="W139">
        <f t="shared" si="9"/>
        <v>1</v>
      </c>
    </row>
    <row r="140" spans="1:23" x14ac:dyDescent="0.2">
      <c r="A140">
        <v>135</v>
      </c>
      <c r="B140">
        <v>417.83081190241541</v>
      </c>
      <c r="C140">
        <v>2214.5932703693193</v>
      </c>
      <c r="D140">
        <v>1038.2938148759638</v>
      </c>
      <c r="E140">
        <v>866.3550956533802</v>
      </c>
      <c r="F140">
        <v>0.97332997536659394</v>
      </c>
      <c r="G140">
        <v>0.81996426076415374</v>
      </c>
      <c r="H140">
        <v>9.1895715000206296E-3</v>
      </c>
      <c r="I140">
        <v>0.21771686018311931</v>
      </c>
      <c r="J140">
        <v>0.48787758893163563</v>
      </c>
      <c r="L140">
        <v>7887.3232640003816</v>
      </c>
      <c r="M140">
        <v>9.8432615337922371</v>
      </c>
      <c r="N140">
        <v>9.2891706461203434</v>
      </c>
      <c r="O140">
        <v>17589.275540575665</v>
      </c>
      <c r="P140">
        <v>11.210609341309127</v>
      </c>
      <c r="Q140">
        <v>10.706738373447651</v>
      </c>
      <c r="S140">
        <f t="shared" si="10"/>
        <v>921029.741348034</v>
      </c>
      <c r="T140">
        <f t="shared" si="11"/>
        <v>1053084.5618041896</v>
      </c>
      <c r="V140">
        <f t="shared" si="8"/>
        <v>0</v>
      </c>
      <c r="W140">
        <f t="shared" si="9"/>
        <v>1</v>
      </c>
    </row>
    <row r="141" spans="1:23" x14ac:dyDescent="0.2">
      <c r="A141">
        <v>136</v>
      </c>
      <c r="B141">
        <v>220.96984791274562</v>
      </c>
      <c r="C141">
        <v>3163.2949469382274</v>
      </c>
      <c r="D141">
        <v>1027.1799691609797</v>
      </c>
      <c r="E141">
        <v>1225.7132744736284</v>
      </c>
      <c r="F141">
        <v>0.95912781329549812</v>
      </c>
      <c r="G141">
        <v>0.71899606025597573</v>
      </c>
      <c r="H141">
        <v>1.045201958600365E-2</v>
      </c>
      <c r="I141">
        <v>0.12416530139472105</v>
      </c>
      <c r="J141">
        <v>0.49157027861248187</v>
      </c>
      <c r="L141">
        <v>11254.922855813102</v>
      </c>
      <c r="M141">
        <v>10.469801950569773</v>
      </c>
      <c r="N141">
        <v>9.3480324588142771</v>
      </c>
      <c r="O141">
        <v>18711.416197774815</v>
      </c>
      <c r="P141">
        <v>11.584489571804282</v>
      </c>
      <c r="Q141">
        <v>10.617086831670704</v>
      </c>
      <c r="S141">
        <f t="shared" si="10"/>
        <v>923548.32302561461</v>
      </c>
      <c r="T141">
        <f t="shared" si="11"/>
        <v>1042997.2669692956</v>
      </c>
      <c r="V141">
        <f t="shared" si="8"/>
        <v>0</v>
      </c>
      <c r="W141">
        <f t="shared" si="9"/>
        <v>1</v>
      </c>
    </row>
    <row r="142" spans="1:23" x14ac:dyDescent="0.2">
      <c r="A142">
        <v>137</v>
      </c>
      <c r="B142">
        <v>444.09906176514096</v>
      </c>
      <c r="C142">
        <v>2324.8405949054895</v>
      </c>
      <c r="D142">
        <v>1014.5807958424401</v>
      </c>
      <c r="E142">
        <v>910.13455029857812</v>
      </c>
      <c r="F142">
        <v>0.92766869770679361</v>
      </c>
      <c r="G142">
        <v>0.73255344960983082</v>
      </c>
      <c r="H142">
        <v>8.8940615641467467E-3</v>
      </c>
      <c r="I142">
        <v>9.9369581107095276E-2</v>
      </c>
      <c r="J142">
        <v>0.49648031111545554</v>
      </c>
      <c r="L142">
        <v>10923.782688334442</v>
      </c>
      <c r="M142">
        <v>11.079409683721856</v>
      </c>
      <c r="N142">
        <v>9.6837787794613046</v>
      </c>
      <c r="O142">
        <v>19564.585516612362</v>
      </c>
      <c r="P142">
        <v>12.026339871086741</v>
      </c>
      <c r="Q142">
        <v>10.744035896953443</v>
      </c>
      <c r="S142">
        <f t="shared" si="10"/>
        <v>957454.095257796</v>
      </c>
      <c r="T142">
        <f t="shared" si="11"/>
        <v>1054839.0041787319</v>
      </c>
      <c r="V142">
        <f t="shared" si="8"/>
        <v>0</v>
      </c>
      <c r="W142">
        <f t="shared" si="9"/>
        <v>1</v>
      </c>
    </row>
    <row r="143" spans="1:23" x14ac:dyDescent="0.2">
      <c r="A143">
        <v>138</v>
      </c>
      <c r="B143">
        <v>602.98206173165408</v>
      </c>
      <c r="C143">
        <v>2618.0803986445408</v>
      </c>
      <c r="D143">
        <v>904.9549051667002</v>
      </c>
      <c r="E143">
        <v>794.34607058552206</v>
      </c>
      <c r="F143">
        <v>0.96341274953010592</v>
      </c>
      <c r="G143">
        <v>0.80317625353763578</v>
      </c>
      <c r="H143">
        <v>1.0362641480301273E-2</v>
      </c>
      <c r="I143">
        <v>0.12873042640464979</v>
      </c>
      <c r="J143">
        <v>0.40584086137913644</v>
      </c>
      <c r="L143">
        <v>12256.100179019944</v>
      </c>
      <c r="M143">
        <v>10.424273369389665</v>
      </c>
      <c r="N143">
        <v>9.5910480572232846</v>
      </c>
      <c r="O143">
        <v>20007.334463739066</v>
      </c>
      <c r="P143">
        <v>11.826211693890022</v>
      </c>
      <c r="Q143">
        <v>11.106176850085204</v>
      </c>
      <c r="S143">
        <f t="shared" si="10"/>
        <v>946848.70554330852</v>
      </c>
      <c r="T143">
        <f t="shared" si="11"/>
        <v>1090610.3505447812</v>
      </c>
      <c r="V143">
        <f t="shared" si="8"/>
        <v>0</v>
      </c>
      <c r="W143">
        <f t="shared" si="9"/>
        <v>1</v>
      </c>
    </row>
    <row r="144" spans="1:23" x14ac:dyDescent="0.2">
      <c r="A144">
        <v>139</v>
      </c>
      <c r="B144">
        <v>594.53668883939565</v>
      </c>
      <c r="C144">
        <v>2474.5021685784027</v>
      </c>
      <c r="D144">
        <v>947.37353362101214</v>
      </c>
      <c r="E144">
        <v>1057.8568759928664</v>
      </c>
      <c r="F144">
        <v>0.93754373578472794</v>
      </c>
      <c r="G144">
        <v>0.59482019549148735</v>
      </c>
      <c r="H144">
        <v>1.0209097981326737E-2</v>
      </c>
      <c r="I144">
        <v>0.16759089580011877</v>
      </c>
      <c r="J144">
        <v>0.46502200197598043</v>
      </c>
      <c r="L144">
        <v>10851.156243046529</v>
      </c>
      <c r="M144">
        <v>10.02412878812013</v>
      </c>
      <c r="N144">
        <v>8.5831796752001939</v>
      </c>
      <c r="O144">
        <v>19366.426914451949</v>
      </c>
      <c r="P144">
        <v>11.375756778364522</v>
      </c>
      <c r="Q144">
        <v>10.101402795205379</v>
      </c>
      <c r="S144">
        <f t="shared" si="10"/>
        <v>847466.81127697288</v>
      </c>
      <c r="T144">
        <f t="shared" si="11"/>
        <v>990773.85260608594</v>
      </c>
      <c r="V144">
        <f t="shared" si="8"/>
        <v>0</v>
      </c>
      <c r="W144">
        <f t="shared" si="9"/>
        <v>1</v>
      </c>
    </row>
    <row r="145" spans="1:23" x14ac:dyDescent="0.2">
      <c r="A145">
        <v>140</v>
      </c>
      <c r="B145">
        <v>459.71627923297427</v>
      </c>
      <c r="C145">
        <v>2858.6925631061354</v>
      </c>
      <c r="D145">
        <v>905.48764278850183</v>
      </c>
      <c r="E145">
        <v>923.69986433633574</v>
      </c>
      <c r="F145">
        <v>0.96765697880954693</v>
      </c>
      <c r="G145">
        <v>0.87197149842039023</v>
      </c>
      <c r="H145">
        <v>8.10277272764931E-3</v>
      </c>
      <c r="I145">
        <v>0.13507996392881338</v>
      </c>
      <c r="J145">
        <v>0.48627925956200641</v>
      </c>
      <c r="L145">
        <v>11178.253835212194</v>
      </c>
      <c r="M145">
        <v>10.763063476090046</v>
      </c>
      <c r="N145">
        <v>10.17873786341182</v>
      </c>
      <c r="O145">
        <v>18914.940530924479</v>
      </c>
      <c r="P145">
        <v>11.867549509596962</v>
      </c>
      <c r="Q145">
        <v>11.323282706552645</v>
      </c>
      <c r="S145">
        <f t="shared" si="10"/>
        <v>1006695.5325059699</v>
      </c>
      <c r="T145">
        <f t="shared" si="11"/>
        <v>1113413.3301243398</v>
      </c>
      <c r="V145">
        <f t="shared" si="8"/>
        <v>0</v>
      </c>
      <c r="W145">
        <f t="shared" si="9"/>
        <v>1</v>
      </c>
    </row>
    <row r="146" spans="1:23" x14ac:dyDescent="0.2">
      <c r="A146">
        <v>141</v>
      </c>
      <c r="B146">
        <v>367.66724121735473</v>
      </c>
      <c r="C146">
        <v>2714.1713189975876</v>
      </c>
      <c r="D146">
        <v>994.51824633630451</v>
      </c>
      <c r="E146">
        <v>1477.9823851639558</v>
      </c>
      <c r="F146">
        <v>0.95981813750071221</v>
      </c>
      <c r="G146">
        <v>0.74477765748925073</v>
      </c>
      <c r="H146">
        <v>1.045319263592911E-2</v>
      </c>
      <c r="I146">
        <v>0.18195610223809544</v>
      </c>
      <c r="J146">
        <v>0.43669906704652173</v>
      </c>
      <c r="L146">
        <v>9560.237652222233</v>
      </c>
      <c r="M146">
        <v>9.8506073459853862</v>
      </c>
      <c r="N146">
        <v>8.9665295500244966</v>
      </c>
      <c r="O146">
        <v>17939.592248191031</v>
      </c>
      <c r="P146">
        <v>11.354785971955486</v>
      </c>
      <c r="Q146">
        <v>10.570543158070775</v>
      </c>
      <c r="S146">
        <f t="shared" si="10"/>
        <v>887092.71735022741</v>
      </c>
      <c r="T146">
        <f t="shared" si="11"/>
        <v>1039114.7235588866</v>
      </c>
      <c r="V146">
        <f t="shared" si="8"/>
        <v>0</v>
      </c>
      <c r="W146">
        <f t="shared" si="9"/>
        <v>1</v>
      </c>
    </row>
    <row r="147" spans="1:23" x14ac:dyDescent="0.2">
      <c r="A147">
        <v>142</v>
      </c>
      <c r="B147">
        <v>462.00516142883845</v>
      </c>
      <c r="C147">
        <v>2179.1199896600483</v>
      </c>
      <c r="D147">
        <v>802.77366156467815</v>
      </c>
      <c r="E147">
        <v>847.47827937204102</v>
      </c>
      <c r="F147">
        <v>0.93984989267554941</v>
      </c>
      <c r="G147">
        <v>0.79603658395919075</v>
      </c>
      <c r="H147">
        <v>9.2201267427288059E-3</v>
      </c>
      <c r="I147">
        <v>0.1257656651143155</v>
      </c>
      <c r="J147">
        <v>0.5571656684079288</v>
      </c>
      <c r="L147">
        <v>9890.9139745474022</v>
      </c>
      <c r="M147">
        <v>10.656648815582546</v>
      </c>
      <c r="N147">
        <v>9.6239238863665157</v>
      </c>
      <c r="O147">
        <v>16718.516140412623</v>
      </c>
      <c r="P147">
        <v>11.570133009198258</v>
      </c>
      <c r="Q147">
        <v>10.580503401160076</v>
      </c>
      <c r="S147">
        <f t="shared" si="10"/>
        <v>952501.47466210416</v>
      </c>
      <c r="T147">
        <f t="shared" si="11"/>
        <v>1041331.8239755951</v>
      </c>
      <c r="V147">
        <f t="shared" si="8"/>
        <v>0</v>
      </c>
      <c r="W147">
        <f t="shared" si="9"/>
        <v>1</v>
      </c>
    </row>
    <row r="148" spans="1:23" x14ac:dyDescent="0.2">
      <c r="A148">
        <v>143</v>
      </c>
      <c r="B148">
        <v>369.68812694535325</v>
      </c>
      <c r="C148">
        <v>2690.8336396210138</v>
      </c>
      <c r="D148">
        <v>1003.178009340675</v>
      </c>
      <c r="E148">
        <v>878.40021532196408</v>
      </c>
      <c r="F148">
        <v>0.97422035800529494</v>
      </c>
      <c r="G148">
        <v>0.84108726401091405</v>
      </c>
      <c r="H148">
        <v>1.155922344253677E-2</v>
      </c>
      <c r="I148">
        <v>0.1782176886998178</v>
      </c>
      <c r="J148">
        <v>0.52711061304890794</v>
      </c>
      <c r="L148">
        <v>9507.7146165815102</v>
      </c>
      <c r="M148">
        <v>9.6892612081198877</v>
      </c>
      <c r="N148">
        <v>9.1210711013404477</v>
      </c>
      <c r="O148">
        <v>17613.226082270758</v>
      </c>
      <c r="P148">
        <v>10.886267499225847</v>
      </c>
      <c r="Q148">
        <v>10.36474571571453</v>
      </c>
      <c r="S148">
        <f t="shared" si="10"/>
        <v>902599.39551746321</v>
      </c>
      <c r="T148">
        <f t="shared" si="11"/>
        <v>1018861.3454891823</v>
      </c>
      <c r="V148">
        <f t="shared" si="8"/>
        <v>0</v>
      </c>
      <c r="W148">
        <f t="shared" si="9"/>
        <v>1</v>
      </c>
    </row>
    <row r="149" spans="1:23" x14ac:dyDescent="0.2">
      <c r="A149">
        <v>144</v>
      </c>
      <c r="B149">
        <v>501.32594180839499</v>
      </c>
      <c r="C149">
        <v>3052.959860357425</v>
      </c>
      <c r="D149">
        <v>1002.9241277899403</v>
      </c>
      <c r="E149">
        <v>694.72866199153498</v>
      </c>
      <c r="F149">
        <v>0.94558602793063085</v>
      </c>
      <c r="G149">
        <v>0.79632880411626339</v>
      </c>
      <c r="H149">
        <v>8.6501245407218062E-3</v>
      </c>
      <c r="I149">
        <v>0.10858898236864387</v>
      </c>
      <c r="J149">
        <v>0.55915046190989082</v>
      </c>
      <c r="L149">
        <v>13055.697083872739</v>
      </c>
      <c r="M149">
        <v>10.985108757828977</v>
      </c>
      <c r="N149">
        <v>9.9584928745136718</v>
      </c>
      <c r="O149">
        <v>21242.650094638495</v>
      </c>
      <c r="P149">
        <v>11.817351835567454</v>
      </c>
      <c r="Q149">
        <v>10.855765375166168</v>
      </c>
      <c r="S149">
        <f t="shared" si="10"/>
        <v>982793.59036749438</v>
      </c>
      <c r="T149">
        <f t="shared" si="11"/>
        <v>1064333.8874219782</v>
      </c>
      <c r="V149">
        <f t="shared" si="8"/>
        <v>0</v>
      </c>
      <c r="W149">
        <f t="shared" si="9"/>
        <v>1</v>
      </c>
    </row>
    <row r="150" spans="1:23" x14ac:dyDescent="0.2">
      <c r="A150">
        <v>145</v>
      </c>
      <c r="B150">
        <v>554.06819498335733</v>
      </c>
      <c r="C150">
        <v>3112.538563620019</v>
      </c>
      <c r="D150">
        <v>1057.2382054300615</v>
      </c>
      <c r="E150">
        <v>1388.2599188651748</v>
      </c>
      <c r="F150">
        <v>0.96346861561600283</v>
      </c>
      <c r="G150">
        <v>0.7644678215861086</v>
      </c>
      <c r="H150">
        <v>1.025484458300919E-2</v>
      </c>
      <c r="I150">
        <v>0.11969585040055532</v>
      </c>
      <c r="J150">
        <v>0.47852305490938463</v>
      </c>
      <c r="L150">
        <v>13829.826593393311</v>
      </c>
      <c r="M150">
        <v>10.561922396989623</v>
      </c>
      <c r="N150">
        <v>9.593402233838372</v>
      </c>
      <c r="O150">
        <v>22246.192793292303</v>
      </c>
      <c r="P150">
        <v>11.690602652056059</v>
      </c>
      <c r="Q150">
        <v>10.856665860676818</v>
      </c>
      <c r="S150">
        <f t="shared" si="10"/>
        <v>945510.3967904438</v>
      </c>
      <c r="T150">
        <f t="shared" si="11"/>
        <v>1063420.3932743897</v>
      </c>
      <c r="V150">
        <f t="shared" si="8"/>
        <v>0</v>
      </c>
      <c r="W150">
        <f t="shared" si="9"/>
        <v>1</v>
      </c>
    </row>
    <row r="151" spans="1:23" x14ac:dyDescent="0.2">
      <c r="A151">
        <v>146</v>
      </c>
      <c r="B151">
        <v>717.85468091161431</v>
      </c>
      <c r="C151">
        <v>3104.9730752436981</v>
      </c>
      <c r="D151">
        <v>756.03238225965663</v>
      </c>
      <c r="E151">
        <v>1031.8692925491994</v>
      </c>
      <c r="F151">
        <v>0.96176412936454247</v>
      </c>
      <c r="G151">
        <v>0.63903047785157396</v>
      </c>
      <c r="H151">
        <v>9.9975427860553006E-3</v>
      </c>
      <c r="I151">
        <v>0.16924482843931288</v>
      </c>
      <c r="J151">
        <v>0.48085292529945944</v>
      </c>
      <c r="L151">
        <v>13214.673259879086</v>
      </c>
      <c r="M151">
        <v>10.048104383602977</v>
      </c>
      <c r="N151">
        <v>8.9078172603787475</v>
      </c>
      <c r="O151">
        <v>19695.191912127677</v>
      </c>
      <c r="P151">
        <v>11.345307601716058</v>
      </c>
      <c r="Q151">
        <v>10.380063814192614</v>
      </c>
      <c r="S151">
        <f t="shared" si="10"/>
        <v>877567.05277799559</v>
      </c>
      <c r="T151">
        <f t="shared" si="11"/>
        <v>1018311.1895071337</v>
      </c>
      <c r="V151">
        <f t="shared" si="8"/>
        <v>0</v>
      </c>
      <c r="W151">
        <f t="shared" si="9"/>
        <v>1</v>
      </c>
    </row>
    <row r="152" spans="1:23" x14ac:dyDescent="0.2">
      <c r="A152">
        <v>147</v>
      </c>
      <c r="B152">
        <v>369.15683029296719</v>
      </c>
      <c r="C152">
        <v>4097.4756878930812</v>
      </c>
      <c r="D152">
        <v>896.88968859724912</v>
      </c>
      <c r="E152">
        <v>1022.9833514069012</v>
      </c>
      <c r="F152">
        <v>0.94594205826069078</v>
      </c>
      <c r="G152">
        <v>0.82031778594757521</v>
      </c>
      <c r="H152">
        <v>9.9490205708434882E-3</v>
      </c>
      <c r="I152">
        <v>0.15045160122844192</v>
      </c>
      <c r="J152">
        <v>0.48365564927866422</v>
      </c>
      <c r="L152">
        <v>13576.159559824206</v>
      </c>
      <c r="M152">
        <v>10.242107747545818</v>
      </c>
      <c r="N152">
        <v>9.3714790082083947</v>
      </c>
      <c r="O152">
        <v>19813.378158665695</v>
      </c>
      <c r="P152">
        <v>11.469155650452269</v>
      </c>
      <c r="Q152">
        <v>10.626429574705268</v>
      </c>
      <c r="S152">
        <f t="shared" si="10"/>
        <v>923571.7412610153</v>
      </c>
      <c r="T152">
        <f t="shared" si="11"/>
        <v>1042829.5793118612</v>
      </c>
      <c r="V152">
        <f t="shared" si="8"/>
        <v>0</v>
      </c>
      <c r="W152">
        <f t="shared" si="9"/>
        <v>1</v>
      </c>
    </row>
    <row r="153" spans="1:23" x14ac:dyDescent="0.2">
      <c r="A153">
        <v>148</v>
      </c>
      <c r="B153">
        <v>440.238670726019</v>
      </c>
      <c r="C153">
        <v>2682.2301895641081</v>
      </c>
      <c r="D153">
        <v>970.69145847505104</v>
      </c>
      <c r="E153">
        <v>748.63744799042411</v>
      </c>
      <c r="F153">
        <v>0.96289393832028414</v>
      </c>
      <c r="G153">
        <v>0.74527543111129069</v>
      </c>
      <c r="H153">
        <v>1.0738634946804429E-2</v>
      </c>
      <c r="I153">
        <v>0.12860861205729038</v>
      </c>
      <c r="J153">
        <v>0.51178078166340013</v>
      </c>
      <c r="L153">
        <v>11254.047889997955</v>
      </c>
      <c r="M153">
        <v>10.365705523564225</v>
      </c>
      <c r="N153">
        <v>9.3583879476845304</v>
      </c>
      <c r="O153">
        <v>19010.838600376155</v>
      </c>
      <c r="P153">
        <v>11.444940821322948</v>
      </c>
      <c r="Q153">
        <v>10.564712361428281</v>
      </c>
      <c r="S153">
        <f t="shared" si="10"/>
        <v>924584.74687845504</v>
      </c>
      <c r="T153">
        <f t="shared" si="11"/>
        <v>1037460.397542452</v>
      </c>
      <c r="V153">
        <f t="shared" si="8"/>
        <v>0</v>
      </c>
      <c r="W153">
        <f t="shared" si="9"/>
        <v>1</v>
      </c>
    </row>
    <row r="154" spans="1:23" x14ac:dyDescent="0.2">
      <c r="A154">
        <v>149</v>
      </c>
      <c r="B154">
        <v>570.73578112905238</v>
      </c>
      <c r="C154">
        <v>3106.8137551500326</v>
      </c>
      <c r="D154">
        <v>971.30790939201984</v>
      </c>
      <c r="E154">
        <v>1103.8212297942923</v>
      </c>
      <c r="F154">
        <v>0.91931523397846537</v>
      </c>
      <c r="G154">
        <v>0.67117313777621546</v>
      </c>
      <c r="H154">
        <v>7.6332477460230074E-3</v>
      </c>
      <c r="I154">
        <v>0.15065668409859723</v>
      </c>
      <c r="J154">
        <v>0.5465772930334819</v>
      </c>
      <c r="L154">
        <v>12187.496800972305</v>
      </c>
      <c r="M154">
        <v>10.708695051675891</v>
      </c>
      <c r="N154">
        <v>9.2867769451104643</v>
      </c>
      <c r="O154">
        <v>20832.833321014074</v>
      </c>
      <c r="P154">
        <v>11.681340954220341</v>
      </c>
      <c r="Q154">
        <v>10.334642000971778</v>
      </c>
      <c r="S154">
        <f t="shared" si="10"/>
        <v>916490.19771007414</v>
      </c>
      <c r="T154">
        <f t="shared" si="11"/>
        <v>1012631.3667761637</v>
      </c>
      <c r="V154">
        <f t="shared" si="8"/>
        <v>0</v>
      </c>
      <c r="W154">
        <f t="shared" si="9"/>
        <v>1</v>
      </c>
    </row>
    <row r="155" spans="1:23" x14ac:dyDescent="0.2">
      <c r="A155">
        <v>150</v>
      </c>
      <c r="B155">
        <v>607.06838151114403</v>
      </c>
      <c r="C155">
        <v>2258.2988585748099</v>
      </c>
      <c r="D155">
        <v>1131.3792731159544</v>
      </c>
      <c r="E155">
        <v>951.75869979203515</v>
      </c>
      <c r="F155">
        <v>0.96140554558939972</v>
      </c>
      <c r="G155">
        <v>0.65127314752348231</v>
      </c>
      <c r="H155">
        <v>8.9064306098646292E-3</v>
      </c>
      <c r="I155">
        <v>0.1436387546615365</v>
      </c>
      <c r="J155">
        <v>0.55809807872694273</v>
      </c>
      <c r="L155">
        <v>10814.486166087028</v>
      </c>
      <c r="M155">
        <v>10.509980560455192</v>
      </c>
      <c r="N155">
        <v>9.3352047280705239</v>
      </c>
      <c r="O155">
        <v>21159.208240615666</v>
      </c>
      <c r="P155">
        <v>11.470012749905967</v>
      </c>
      <c r="Q155">
        <v>10.451437666071667</v>
      </c>
      <c r="S155">
        <f t="shared" si="10"/>
        <v>922705.98664096545</v>
      </c>
      <c r="T155">
        <f t="shared" si="11"/>
        <v>1023984.5583665511</v>
      </c>
      <c r="V155">
        <f t="shared" si="8"/>
        <v>0</v>
      </c>
      <c r="W155">
        <f t="shared" si="9"/>
        <v>1</v>
      </c>
    </row>
    <row r="156" spans="1:23" x14ac:dyDescent="0.2">
      <c r="A156">
        <v>151</v>
      </c>
      <c r="B156">
        <v>355.24346852269753</v>
      </c>
      <c r="C156">
        <v>3667.6611139672691</v>
      </c>
      <c r="D156">
        <v>947.21319393003012</v>
      </c>
      <c r="E156">
        <v>1100.7615271655104</v>
      </c>
      <c r="F156">
        <v>0.90982753341644906</v>
      </c>
      <c r="G156">
        <v>0.816987106226995</v>
      </c>
      <c r="H156">
        <v>9.4114479094030683E-3</v>
      </c>
      <c r="I156">
        <v>0.15278141040270521</v>
      </c>
      <c r="J156">
        <v>0.47611724391840926</v>
      </c>
      <c r="L156">
        <v>12167.312702654381</v>
      </c>
      <c r="M156">
        <v>10.317802569798058</v>
      </c>
      <c r="N156">
        <v>9.1606412878525525</v>
      </c>
      <c r="O156">
        <v>19328.045240743537</v>
      </c>
      <c r="P156">
        <v>11.561449227656059</v>
      </c>
      <c r="Q156">
        <v>10.362451598625622</v>
      </c>
      <c r="S156">
        <f t="shared" si="10"/>
        <v>903896.81608260085</v>
      </c>
      <c r="T156">
        <f t="shared" si="11"/>
        <v>1016917.1146218186</v>
      </c>
      <c r="V156">
        <f t="shared" si="8"/>
        <v>0</v>
      </c>
      <c r="W156">
        <f t="shared" si="9"/>
        <v>1</v>
      </c>
    </row>
    <row r="157" spans="1:23" x14ac:dyDescent="0.2">
      <c r="A157">
        <v>152</v>
      </c>
      <c r="B157">
        <v>470.51629766598796</v>
      </c>
      <c r="C157">
        <v>3267.8379022421855</v>
      </c>
      <c r="D157">
        <v>1163.4385313756102</v>
      </c>
      <c r="E157">
        <v>689.84911174263038</v>
      </c>
      <c r="F157">
        <v>0.96714548677385792</v>
      </c>
      <c r="G157">
        <v>0.80057060186809581</v>
      </c>
      <c r="H157">
        <v>1.0613470774378665E-2</v>
      </c>
      <c r="I157">
        <v>0.1490905927677677</v>
      </c>
      <c r="J157">
        <v>0.57403964701808607</v>
      </c>
      <c r="L157">
        <v>12321.515726257379</v>
      </c>
      <c r="M157">
        <v>10.140637107598344</v>
      </c>
      <c r="N157">
        <v>9.3738175984375474</v>
      </c>
      <c r="O157">
        <v>21663.227463611329</v>
      </c>
      <c r="P157">
        <v>11.103914887761153</v>
      </c>
      <c r="Q157">
        <v>10.401494722374192</v>
      </c>
      <c r="S157">
        <f t="shared" si="10"/>
        <v>925060.24411749735</v>
      </c>
      <c r="T157">
        <f t="shared" si="11"/>
        <v>1018486.2447738079</v>
      </c>
      <c r="V157">
        <f t="shared" si="8"/>
        <v>0</v>
      </c>
      <c r="W157">
        <f t="shared" si="9"/>
        <v>1</v>
      </c>
    </row>
    <row r="158" spans="1:23" x14ac:dyDescent="0.2">
      <c r="A158">
        <v>153</v>
      </c>
      <c r="B158">
        <v>475.93118021885385</v>
      </c>
      <c r="C158">
        <v>2785.6965685010341</v>
      </c>
      <c r="D158">
        <v>1032.890642205454</v>
      </c>
      <c r="E158">
        <v>786.22059468000748</v>
      </c>
      <c r="F158">
        <v>0.98482027571968556</v>
      </c>
      <c r="G158">
        <v>0.77086704834651654</v>
      </c>
      <c r="H158">
        <v>1.0279209822452765E-2</v>
      </c>
      <c r="I158">
        <v>0.12740330407914727</v>
      </c>
      <c r="J158">
        <v>0.459579176830681</v>
      </c>
      <c r="L158">
        <v>11790.514068604145</v>
      </c>
      <c r="M158">
        <v>10.454971695009739</v>
      </c>
      <c r="N158">
        <v>9.6912636040238151</v>
      </c>
      <c r="O158">
        <v>20277.963823565628</v>
      </c>
      <c r="P158">
        <v>11.675709297490675</v>
      </c>
      <c r="Q158">
        <v>11.084969390740275</v>
      </c>
      <c r="S158">
        <f t="shared" si="10"/>
        <v>957335.84633377742</v>
      </c>
      <c r="T158">
        <f t="shared" si="11"/>
        <v>1088218.9752504621</v>
      </c>
      <c r="V158">
        <f t="shared" si="8"/>
        <v>0</v>
      </c>
      <c r="W158">
        <f t="shared" si="9"/>
        <v>1</v>
      </c>
    </row>
    <row r="159" spans="1:23" x14ac:dyDescent="0.2">
      <c r="A159">
        <v>154</v>
      </c>
      <c r="B159">
        <v>656.35572465757548</v>
      </c>
      <c r="C159">
        <v>2894.5566864817552</v>
      </c>
      <c r="D159">
        <v>936.66751671269299</v>
      </c>
      <c r="E159">
        <v>1217.4166225204833</v>
      </c>
      <c r="F159">
        <v>0.95495027445432212</v>
      </c>
      <c r="G159">
        <v>0.65088778747336962</v>
      </c>
      <c r="H159">
        <v>1.1472611220575087E-2</v>
      </c>
      <c r="I159">
        <v>0.11690773990907771</v>
      </c>
      <c r="J159">
        <v>0.48192821211085046</v>
      </c>
      <c r="L159">
        <v>14219.975003581778</v>
      </c>
      <c r="M159">
        <v>10.419368548704412</v>
      </c>
      <c r="N159">
        <v>9.0071895913812927</v>
      </c>
      <c r="O159">
        <v>21594.852012018539</v>
      </c>
      <c r="P159">
        <v>11.549458342451706</v>
      </c>
      <c r="Q159">
        <v>10.356049797550794</v>
      </c>
      <c r="S159">
        <f t="shared" si="10"/>
        <v>886498.98413454753</v>
      </c>
      <c r="T159">
        <f t="shared" si="11"/>
        <v>1014010.1277430608</v>
      </c>
      <c r="V159">
        <f t="shared" si="8"/>
        <v>0</v>
      </c>
      <c r="W159">
        <f t="shared" si="9"/>
        <v>1</v>
      </c>
    </row>
    <row r="160" spans="1:23" x14ac:dyDescent="0.2">
      <c r="A160">
        <v>155</v>
      </c>
      <c r="B160">
        <v>516.25076481021222</v>
      </c>
      <c r="C160">
        <v>3150.1008518679755</v>
      </c>
      <c r="D160">
        <v>1003.3714813236483</v>
      </c>
      <c r="E160">
        <v>658.18433733745167</v>
      </c>
      <c r="F160">
        <v>0.98600170289886546</v>
      </c>
      <c r="G160">
        <v>0.54406797666913731</v>
      </c>
      <c r="H160">
        <v>9.6280345769334408E-3</v>
      </c>
      <c r="I160">
        <v>0.15479033629270655</v>
      </c>
      <c r="J160">
        <v>0.44986170900282596</v>
      </c>
      <c r="L160">
        <v>11984.616620131905</v>
      </c>
      <c r="M160">
        <v>10.256499587015057</v>
      </c>
      <c r="N160">
        <v>9.0322641162427661</v>
      </c>
      <c r="O160">
        <v>20465.313664016736</v>
      </c>
      <c r="P160">
        <v>11.599216470055506</v>
      </c>
      <c r="Q160">
        <v>10.712632718599046</v>
      </c>
      <c r="S160">
        <f t="shared" si="10"/>
        <v>891241.79500414478</v>
      </c>
      <c r="T160">
        <f t="shared" si="11"/>
        <v>1050797.9581958877</v>
      </c>
      <c r="V160">
        <f t="shared" si="8"/>
        <v>0</v>
      </c>
      <c r="W160">
        <f t="shared" si="9"/>
        <v>1</v>
      </c>
    </row>
    <row r="161" spans="1:23" x14ac:dyDescent="0.2">
      <c r="A161">
        <v>156</v>
      </c>
      <c r="B161">
        <v>549.19552488345732</v>
      </c>
      <c r="C161">
        <v>2838.4291244745577</v>
      </c>
      <c r="D161">
        <v>1026.5863651807979</v>
      </c>
      <c r="E161">
        <v>1202.1904408720291</v>
      </c>
      <c r="F161">
        <v>0.97745535441478271</v>
      </c>
      <c r="G161">
        <v>0.76604638256739799</v>
      </c>
      <c r="H161">
        <v>1.1714556951987561E-2</v>
      </c>
      <c r="I161">
        <v>0.14001312837286026</v>
      </c>
      <c r="J161">
        <v>0.43841000525463503</v>
      </c>
      <c r="L161">
        <v>12437.944978778894</v>
      </c>
      <c r="M161">
        <v>10.07078585372177</v>
      </c>
      <c r="N161">
        <v>9.2495654621484125</v>
      </c>
      <c r="O161">
        <v>20788.521653539399</v>
      </c>
      <c r="P161">
        <v>11.44883175619942</v>
      </c>
      <c r="Q161">
        <v>10.784787405128451</v>
      </c>
      <c r="S161">
        <f t="shared" si="10"/>
        <v>912518.60123606224</v>
      </c>
      <c r="T161">
        <f t="shared" si="11"/>
        <v>1057690.2188593056</v>
      </c>
      <c r="V161">
        <f t="shared" si="8"/>
        <v>0</v>
      </c>
      <c r="W161">
        <f t="shared" si="9"/>
        <v>1</v>
      </c>
    </row>
    <row r="162" spans="1:23" x14ac:dyDescent="0.2">
      <c r="A162">
        <v>157</v>
      </c>
      <c r="B162">
        <v>531.29272166142948</v>
      </c>
      <c r="C162">
        <v>2797.399069895856</v>
      </c>
      <c r="D162">
        <v>1066.7232593991091</v>
      </c>
      <c r="E162">
        <v>751.39674770782437</v>
      </c>
      <c r="F162">
        <v>0.95971697940830425</v>
      </c>
      <c r="G162">
        <v>0.54806524817042801</v>
      </c>
      <c r="H162">
        <v>9.8611508737189608E-3</v>
      </c>
      <c r="I162">
        <v>0.16539989719184933</v>
      </c>
      <c r="J162">
        <v>0.63022222746398471</v>
      </c>
      <c r="L162">
        <v>11025.60495601736</v>
      </c>
      <c r="M162">
        <v>10.109476754738086</v>
      </c>
      <c r="N162">
        <v>8.7284653012530757</v>
      </c>
      <c r="O162">
        <v>20025.4452801757</v>
      </c>
      <c r="P162">
        <v>10.942254966174721</v>
      </c>
      <c r="Q162">
        <v>9.7116837074054541</v>
      </c>
      <c r="S162">
        <f t="shared" si="10"/>
        <v>861820.92516929028</v>
      </c>
      <c r="T162">
        <f t="shared" si="11"/>
        <v>951142.92546036979</v>
      </c>
      <c r="V162">
        <f t="shared" si="8"/>
        <v>0</v>
      </c>
      <c r="W162">
        <f t="shared" si="9"/>
        <v>1</v>
      </c>
    </row>
    <row r="163" spans="1:23" x14ac:dyDescent="0.2">
      <c r="A163">
        <v>158</v>
      </c>
      <c r="B163">
        <v>590.47376934178192</v>
      </c>
      <c r="C163">
        <v>2569.5128258463988</v>
      </c>
      <c r="D163">
        <v>970.91541265453338</v>
      </c>
      <c r="E163">
        <v>961.11476829197829</v>
      </c>
      <c r="F163">
        <v>0.9754475922417899</v>
      </c>
      <c r="G163">
        <v>0.73360542513274363</v>
      </c>
      <c r="H163">
        <v>9.3348679921109647E-3</v>
      </c>
      <c r="I163">
        <v>0.10628743075339221</v>
      </c>
      <c r="J163">
        <v>0.53776319365486547</v>
      </c>
      <c r="L163">
        <v>12689.948630494688</v>
      </c>
      <c r="M163">
        <v>10.902314634109521</v>
      </c>
      <c r="N163">
        <v>9.9080831223065573</v>
      </c>
      <c r="O163">
        <v>20859.531393758589</v>
      </c>
      <c r="P163">
        <v>11.792079766396579</v>
      </c>
      <c r="Q163">
        <v>10.969437058176824</v>
      </c>
      <c r="S163">
        <f t="shared" si="10"/>
        <v>978118.36360016104</v>
      </c>
      <c r="T163">
        <f t="shared" si="11"/>
        <v>1076084.1744239239</v>
      </c>
      <c r="V163">
        <f t="shared" si="8"/>
        <v>0</v>
      </c>
      <c r="W163">
        <f t="shared" si="9"/>
        <v>1</v>
      </c>
    </row>
    <row r="164" spans="1:23" x14ac:dyDescent="0.2">
      <c r="A164">
        <v>159</v>
      </c>
      <c r="B164">
        <v>409.78404441219158</v>
      </c>
      <c r="C164">
        <v>3007.5034273920564</v>
      </c>
      <c r="D164">
        <v>1233.9005078779967</v>
      </c>
      <c r="E164">
        <v>894.93684643401468</v>
      </c>
      <c r="F164">
        <v>0.8709882543561458</v>
      </c>
      <c r="G164">
        <v>0.84638521344368101</v>
      </c>
      <c r="H164">
        <v>1.2455474504010829E-2</v>
      </c>
      <c r="I164">
        <v>0.15193737601233093</v>
      </c>
      <c r="J164">
        <v>0.46452768212627754</v>
      </c>
      <c r="L164">
        <v>11487.059610198199</v>
      </c>
      <c r="M164">
        <v>9.8188305212894633</v>
      </c>
      <c r="N164">
        <v>8.4849154733211947</v>
      </c>
      <c r="O164">
        <v>21277.452374012308</v>
      </c>
      <c r="P164">
        <v>11.165524723190622</v>
      </c>
      <c r="Q164">
        <v>9.6770607736443033</v>
      </c>
      <c r="S164">
        <f t="shared" si="10"/>
        <v>837004.48772192118</v>
      </c>
      <c r="T164">
        <f t="shared" si="11"/>
        <v>946428.62499041797</v>
      </c>
      <c r="V164">
        <f t="shared" si="8"/>
        <v>0</v>
      </c>
      <c r="W164">
        <f t="shared" si="9"/>
        <v>1</v>
      </c>
    </row>
    <row r="165" spans="1:23" x14ac:dyDescent="0.2">
      <c r="A165">
        <v>160</v>
      </c>
      <c r="B165">
        <v>398.76079535868877</v>
      </c>
      <c r="C165">
        <v>2994.1168483750839</v>
      </c>
      <c r="D165">
        <v>965.7553136018671</v>
      </c>
      <c r="E165">
        <v>725.84178077697436</v>
      </c>
      <c r="F165">
        <v>0.93762389121403988</v>
      </c>
      <c r="G165">
        <v>0.80602654913066607</v>
      </c>
      <c r="H165">
        <v>9.2916635749909736E-3</v>
      </c>
      <c r="I165">
        <v>0.1428509270209653</v>
      </c>
      <c r="J165">
        <v>0.55188311286619662</v>
      </c>
      <c r="L165">
        <v>11002.968125651681</v>
      </c>
      <c r="M165">
        <v>10.444610629267784</v>
      </c>
      <c r="N165">
        <v>9.4597126013067339</v>
      </c>
      <c r="O165">
        <v>18880.553789289228</v>
      </c>
      <c r="P165">
        <v>11.42855075587862</v>
      </c>
      <c r="Q165">
        <v>10.46618898368428</v>
      </c>
      <c r="S165">
        <f t="shared" si="10"/>
        <v>934968.29200502171</v>
      </c>
      <c r="T165">
        <f t="shared" si="11"/>
        <v>1027738.3445791388</v>
      </c>
      <c r="V165">
        <f t="shared" si="8"/>
        <v>0</v>
      </c>
      <c r="W165">
        <f t="shared" si="9"/>
        <v>1</v>
      </c>
    </row>
    <row r="166" spans="1:23" x14ac:dyDescent="0.2">
      <c r="A166">
        <v>161</v>
      </c>
      <c r="B166">
        <v>584.76248151584718</v>
      </c>
      <c r="C166">
        <v>3929.8708637763998</v>
      </c>
      <c r="D166">
        <v>1015.8344506309447</v>
      </c>
      <c r="E166">
        <v>836.49140792924561</v>
      </c>
      <c r="F166">
        <v>0.97949828297891606</v>
      </c>
      <c r="G166">
        <v>0.76459161668225883</v>
      </c>
      <c r="H166">
        <v>9.9079620673666116E-3</v>
      </c>
      <c r="I166">
        <v>0.14904704042425432</v>
      </c>
      <c r="J166">
        <v>0.45064103831673313</v>
      </c>
      <c r="L166">
        <v>14793.925540107914</v>
      </c>
      <c r="M166">
        <v>10.264423310359193</v>
      </c>
      <c r="N166">
        <v>9.5094585363926623</v>
      </c>
      <c r="O166">
        <v>22743.938419939881</v>
      </c>
      <c r="P166">
        <v>11.592222549938763</v>
      </c>
      <c r="Q166">
        <v>10.987666567825302</v>
      </c>
      <c r="S166">
        <f t="shared" si="10"/>
        <v>936151.92809915834</v>
      </c>
      <c r="T166">
        <f t="shared" si="11"/>
        <v>1076022.7183625903</v>
      </c>
      <c r="V166">
        <f t="shared" si="8"/>
        <v>0</v>
      </c>
      <c r="W166">
        <f t="shared" si="9"/>
        <v>1</v>
      </c>
    </row>
    <row r="167" spans="1:23" x14ac:dyDescent="0.2">
      <c r="A167">
        <v>162</v>
      </c>
      <c r="B167">
        <v>368.55864185871707</v>
      </c>
      <c r="C167">
        <v>3073.4743001246843</v>
      </c>
      <c r="D167">
        <v>979.95163766045243</v>
      </c>
      <c r="E167">
        <v>993.3827438865319</v>
      </c>
      <c r="F167">
        <v>0.96525853079300328</v>
      </c>
      <c r="G167">
        <v>0.74539047268841441</v>
      </c>
      <c r="H167">
        <v>1.1883145597517604E-2</v>
      </c>
      <c r="I167">
        <v>0.15235662987606913</v>
      </c>
      <c r="J167">
        <v>0.4674375229185323</v>
      </c>
      <c r="L167">
        <v>11302.171679250716</v>
      </c>
      <c r="M167">
        <v>9.8997600375505925</v>
      </c>
      <c r="N167">
        <v>8.9666782892719965</v>
      </c>
      <c r="O167">
        <v>18716.38278914215</v>
      </c>
      <c r="P167">
        <v>11.228595035293505</v>
      </c>
      <c r="Q167">
        <v>10.419633062206199</v>
      </c>
      <c r="S167">
        <f t="shared" si="10"/>
        <v>885365.65724794904</v>
      </c>
      <c r="T167">
        <f t="shared" si="11"/>
        <v>1023246.9234314776</v>
      </c>
      <c r="V167">
        <f t="shared" si="8"/>
        <v>0</v>
      </c>
      <c r="W167">
        <f t="shared" si="9"/>
        <v>1</v>
      </c>
    </row>
    <row r="168" spans="1:23" x14ac:dyDescent="0.2">
      <c r="A168">
        <v>163</v>
      </c>
      <c r="B168">
        <v>947.69780480444206</v>
      </c>
      <c r="C168">
        <v>2445.5864407509193</v>
      </c>
      <c r="D168">
        <v>1032.2835664962274</v>
      </c>
      <c r="E168">
        <v>675.88427259886248</v>
      </c>
      <c r="F168">
        <v>0.85171399608687015</v>
      </c>
      <c r="G168">
        <v>0.86076354949925116</v>
      </c>
      <c r="H168">
        <v>1.1560006689552111E-2</v>
      </c>
      <c r="I168">
        <v>0.10289955880229409</v>
      </c>
      <c r="J168">
        <v>0.55946006250971136</v>
      </c>
      <c r="L168">
        <v>15297.435585484753</v>
      </c>
      <c r="M168">
        <v>10.629936623986547</v>
      </c>
      <c r="N168">
        <v>9.083823348854084</v>
      </c>
      <c r="O168">
        <v>24119.114120458431</v>
      </c>
      <c r="P168">
        <v>11.486633481401828</v>
      </c>
      <c r="Q168">
        <v>9.8065914645860275</v>
      </c>
      <c r="S168">
        <f t="shared" si="10"/>
        <v>893084.89929992368</v>
      </c>
      <c r="T168">
        <f t="shared" si="11"/>
        <v>956540.03233814426</v>
      </c>
      <c r="V168">
        <f t="shared" si="8"/>
        <v>0</v>
      </c>
      <c r="W168">
        <f t="shared" si="9"/>
        <v>1</v>
      </c>
    </row>
    <row r="169" spans="1:23" x14ac:dyDescent="0.2">
      <c r="A169">
        <v>164</v>
      </c>
      <c r="B169">
        <v>473.11833034544657</v>
      </c>
      <c r="C169">
        <v>4023.0847533926349</v>
      </c>
      <c r="D169">
        <v>1045.9782878577312</v>
      </c>
      <c r="E169">
        <v>1173.8302900222361</v>
      </c>
      <c r="F169">
        <v>0.92863314570419742</v>
      </c>
      <c r="G169">
        <v>0.83063632897722539</v>
      </c>
      <c r="H169">
        <v>9.8163151566629716E-3</v>
      </c>
      <c r="I169">
        <v>0.15207622997103776</v>
      </c>
      <c r="J169">
        <v>0.45861609338883869</v>
      </c>
      <c r="L169">
        <v>14142.284623817462</v>
      </c>
      <c r="M169">
        <v>10.249249875524814</v>
      </c>
      <c r="N169">
        <v>9.2735375342017843</v>
      </c>
      <c r="O169">
        <v>22105.772660908566</v>
      </c>
      <c r="P169">
        <v>11.559170331542257</v>
      </c>
      <c r="Q169">
        <v>10.568144600203965</v>
      </c>
      <c r="S169">
        <f t="shared" si="10"/>
        <v>913211.468796361</v>
      </c>
      <c r="T169">
        <f t="shared" si="11"/>
        <v>1034708.6873594879</v>
      </c>
      <c r="V169">
        <f t="shared" si="8"/>
        <v>0</v>
      </c>
      <c r="W169">
        <f t="shared" si="9"/>
        <v>1</v>
      </c>
    </row>
    <row r="170" spans="1:23" x14ac:dyDescent="0.2">
      <c r="A170">
        <v>165</v>
      </c>
      <c r="B170">
        <v>542.66784052674336</v>
      </c>
      <c r="C170">
        <v>2663.5793065481189</v>
      </c>
      <c r="D170">
        <v>994.20854205161618</v>
      </c>
      <c r="E170">
        <v>892.68939296744873</v>
      </c>
      <c r="F170">
        <v>0.92993379437090296</v>
      </c>
      <c r="G170">
        <v>0.75883056417912864</v>
      </c>
      <c r="H170">
        <v>9.2804131045814454E-3</v>
      </c>
      <c r="I170">
        <v>0.13436987741212889</v>
      </c>
      <c r="J170">
        <v>0.49525405251966342</v>
      </c>
      <c r="L170">
        <v>11608.93354550965</v>
      </c>
      <c r="M170">
        <v>10.542092844695713</v>
      </c>
      <c r="N170">
        <v>9.3538583372733175</v>
      </c>
      <c r="O170">
        <v>20217.628727722258</v>
      </c>
      <c r="P170">
        <v>11.657961681578524</v>
      </c>
      <c r="Q170">
        <v>10.525350036860239</v>
      </c>
      <c r="S170">
        <f t="shared" si="10"/>
        <v>923776.90018182201</v>
      </c>
      <c r="T170">
        <f t="shared" si="11"/>
        <v>1032317.3749583017</v>
      </c>
      <c r="V170">
        <f t="shared" si="8"/>
        <v>0</v>
      </c>
      <c r="W170">
        <f t="shared" si="9"/>
        <v>1</v>
      </c>
    </row>
    <row r="171" spans="1:23" x14ac:dyDescent="0.2">
      <c r="A171">
        <v>166</v>
      </c>
      <c r="B171">
        <v>815.47949081162244</v>
      </c>
      <c r="C171">
        <v>2274.2813854509841</v>
      </c>
      <c r="D171">
        <v>854.75218037280968</v>
      </c>
      <c r="E171">
        <v>989.81726352381952</v>
      </c>
      <c r="F171">
        <v>0.96317186466378224</v>
      </c>
      <c r="G171">
        <v>0.51593695766172054</v>
      </c>
      <c r="H171">
        <v>9.8389853172718041E-3</v>
      </c>
      <c r="I171">
        <v>0.20648002895132989</v>
      </c>
      <c r="J171">
        <v>0.44244713014046572</v>
      </c>
      <c r="L171">
        <v>11351.674212498612</v>
      </c>
      <c r="M171">
        <v>9.7802005213440832</v>
      </c>
      <c r="N171">
        <v>8.512162847435123</v>
      </c>
      <c r="O171">
        <v>19992.726346703716</v>
      </c>
      <c r="P171">
        <v>11.310526551834821</v>
      </c>
      <c r="Q171">
        <v>10.284598711496557</v>
      </c>
      <c r="S171">
        <f t="shared" si="10"/>
        <v>839864.61053101369</v>
      </c>
      <c r="T171">
        <f t="shared" si="11"/>
        <v>1008467.144802952</v>
      </c>
      <c r="V171">
        <f t="shared" si="8"/>
        <v>0</v>
      </c>
      <c r="W171">
        <f t="shared" si="9"/>
        <v>1</v>
      </c>
    </row>
    <row r="172" spans="1:23" x14ac:dyDescent="0.2">
      <c r="A172">
        <v>167</v>
      </c>
      <c r="B172">
        <v>529.24178203712484</v>
      </c>
      <c r="C172">
        <v>3081.3839252649591</v>
      </c>
      <c r="D172">
        <v>908.82308228994123</v>
      </c>
      <c r="E172">
        <v>901.1499495826597</v>
      </c>
      <c r="F172">
        <v>0.96763624886054411</v>
      </c>
      <c r="G172">
        <v>0.75237110666460927</v>
      </c>
      <c r="H172">
        <v>1.0492756311108287E-2</v>
      </c>
      <c r="I172">
        <v>0.14616643903187829</v>
      </c>
      <c r="J172">
        <v>0.57607650850631276</v>
      </c>
      <c r="L172">
        <v>12437.602395194255</v>
      </c>
      <c r="M172">
        <v>10.193543627484885</v>
      </c>
      <c r="N172">
        <v>9.2987621619127996</v>
      </c>
      <c r="O172">
        <v>19648.336971713194</v>
      </c>
      <c r="P172">
        <v>11.141351551223172</v>
      </c>
      <c r="Q172">
        <v>10.340994964520791</v>
      </c>
      <c r="S172">
        <f t="shared" si="10"/>
        <v>917438.6137960857</v>
      </c>
      <c r="T172">
        <f t="shared" si="11"/>
        <v>1014451.1594803658</v>
      </c>
      <c r="V172">
        <f t="shared" si="8"/>
        <v>0</v>
      </c>
      <c r="W172">
        <f t="shared" si="9"/>
        <v>1</v>
      </c>
    </row>
    <row r="173" spans="1:23" x14ac:dyDescent="0.2">
      <c r="A173">
        <v>168</v>
      </c>
      <c r="B173">
        <v>487.426538221859</v>
      </c>
      <c r="C173">
        <v>3581.0101416362672</v>
      </c>
      <c r="D173">
        <v>1107.4009913713992</v>
      </c>
      <c r="E173">
        <v>427.07493828326943</v>
      </c>
      <c r="F173">
        <v>0.87895670993519159</v>
      </c>
      <c r="G173">
        <v>0.72312151122823154</v>
      </c>
      <c r="H173">
        <v>1.0291530729653275E-2</v>
      </c>
      <c r="I173">
        <v>0.21452801325272897</v>
      </c>
      <c r="J173">
        <v>0.53516042220490134</v>
      </c>
      <c r="L173">
        <v>11096.943897069887</v>
      </c>
      <c r="M173">
        <v>9.6335587540783667</v>
      </c>
      <c r="N173">
        <v>8.1542996492547921</v>
      </c>
      <c r="O173">
        <v>20460.166437673892</v>
      </c>
      <c r="P173">
        <v>10.858482973565105</v>
      </c>
      <c r="Q173">
        <v>9.3084294980481239</v>
      </c>
      <c r="S173">
        <f t="shared" si="10"/>
        <v>804333.02102840936</v>
      </c>
      <c r="T173">
        <f t="shared" si="11"/>
        <v>910382.78336713859</v>
      </c>
      <c r="V173">
        <f t="shared" si="8"/>
        <v>0</v>
      </c>
      <c r="W173">
        <f t="shared" si="9"/>
        <v>1</v>
      </c>
    </row>
    <row r="174" spans="1:23" x14ac:dyDescent="0.2">
      <c r="A174">
        <v>169</v>
      </c>
      <c r="B174">
        <v>739.97597205108627</v>
      </c>
      <c r="C174">
        <v>3581.2149910169674</v>
      </c>
      <c r="D174">
        <v>1205.3008513584534</v>
      </c>
      <c r="E174">
        <v>854.77807460322231</v>
      </c>
      <c r="F174">
        <v>0.97191851916254945</v>
      </c>
      <c r="G174">
        <v>0.71468234681522358</v>
      </c>
      <c r="H174">
        <v>8.8579888830056883E-3</v>
      </c>
      <c r="I174">
        <v>0.16554317399251128</v>
      </c>
      <c r="J174">
        <v>0.5330774986664758</v>
      </c>
      <c r="L174">
        <v>14372.824144533817</v>
      </c>
      <c r="M174">
        <v>10.306876047889372</v>
      </c>
      <c r="N174">
        <v>9.4356598444632951</v>
      </c>
      <c r="O174">
        <v>25108.880912462628</v>
      </c>
      <c r="P174">
        <v>11.397194250549695</v>
      </c>
      <c r="Q174">
        <v>10.651922147218608</v>
      </c>
      <c r="S174">
        <f t="shared" si="10"/>
        <v>929193.16030179569</v>
      </c>
      <c r="T174">
        <f t="shared" si="11"/>
        <v>1040083.3338093982</v>
      </c>
      <c r="V174">
        <f t="shared" si="8"/>
        <v>0</v>
      </c>
      <c r="W174">
        <f t="shared" si="9"/>
        <v>1</v>
      </c>
    </row>
    <row r="175" spans="1:23" x14ac:dyDescent="0.2">
      <c r="A175">
        <v>170</v>
      </c>
      <c r="B175">
        <v>530.50778869989165</v>
      </c>
      <c r="C175">
        <v>4160.1608093992309</v>
      </c>
      <c r="D175">
        <v>972.97496342409806</v>
      </c>
      <c r="E175">
        <v>843.84204941646578</v>
      </c>
      <c r="F175">
        <v>0.98865867258240669</v>
      </c>
      <c r="G175">
        <v>0.75790783724335775</v>
      </c>
      <c r="H175">
        <v>1.0516237051961898E-2</v>
      </c>
      <c r="I175">
        <v>0.16732472441592972</v>
      </c>
      <c r="J175">
        <v>0.54616293683489547</v>
      </c>
      <c r="L175">
        <v>14369.377420570519</v>
      </c>
      <c r="M175">
        <v>9.971008446952597</v>
      </c>
      <c r="N175">
        <v>9.3023080166061476</v>
      </c>
      <c r="O175">
        <v>21749.004311974342</v>
      </c>
      <c r="P175">
        <v>11.063270864204362</v>
      </c>
      <c r="Q175">
        <v>10.515899210542722</v>
      </c>
      <c r="S175">
        <f t="shared" si="10"/>
        <v>915861.42424004432</v>
      </c>
      <c r="T175">
        <f t="shared" si="11"/>
        <v>1029840.9167422978</v>
      </c>
      <c r="V175">
        <f t="shared" si="8"/>
        <v>0</v>
      </c>
      <c r="W175">
        <f t="shared" si="9"/>
        <v>1</v>
      </c>
    </row>
    <row r="176" spans="1:23" x14ac:dyDescent="0.2">
      <c r="A176">
        <v>171</v>
      </c>
      <c r="B176">
        <v>477.10503510653785</v>
      </c>
      <c r="C176">
        <v>3031.6283255305625</v>
      </c>
      <c r="D176">
        <v>969.11164824930665</v>
      </c>
      <c r="E176">
        <v>787.48995332986635</v>
      </c>
      <c r="F176">
        <v>0.93821253612225231</v>
      </c>
      <c r="G176">
        <v>0.83079771636338129</v>
      </c>
      <c r="H176">
        <v>9.3876825252230418E-3</v>
      </c>
      <c r="I176">
        <v>0.18620390828880307</v>
      </c>
      <c r="J176">
        <v>0.59736333668007824</v>
      </c>
      <c r="L176">
        <v>10567.119142069243</v>
      </c>
      <c r="M176">
        <v>10.023793072482153</v>
      </c>
      <c r="N176">
        <v>9.1744119563853044</v>
      </c>
      <c r="O176">
        <v>18797.120925700619</v>
      </c>
      <c r="P176">
        <v>10.981546031593975</v>
      </c>
      <c r="Q176">
        <v>10.122220606399704</v>
      </c>
      <c r="S176">
        <f t="shared" si="10"/>
        <v>906874.07649646117</v>
      </c>
      <c r="T176">
        <f t="shared" si="11"/>
        <v>993424.93971426983</v>
      </c>
      <c r="V176">
        <f t="shared" si="8"/>
        <v>0</v>
      </c>
      <c r="W176">
        <f t="shared" si="9"/>
        <v>1</v>
      </c>
    </row>
    <row r="177" spans="1:23" x14ac:dyDescent="0.2">
      <c r="A177">
        <v>172</v>
      </c>
      <c r="B177">
        <v>524.79099291499665</v>
      </c>
      <c r="C177">
        <v>2466.7375205922708</v>
      </c>
      <c r="D177">
        <v>915.46022240187222</v>
      </c>
      <c r="E177">
        <v>1009.5780546228248</v>
      </c>
      <c r="F177">
        <v>0.91719181164462182</v>
      </c>
      <c r="G177">
        <v>0.87005878503521994</v>
      </c>
      <c r="H177">
        <v>9.908705158313132E-3</v>
      </c>
      <c r="I177">
        <v>0.2031214986701031</v>
      </c>
      <c r="J177">
        <v>0.51868129579094424</v>
      </c>
      <c r="L177">
        <v>9559.4301621692739</v>
      </c>
      <c r="M177">
        <v>9.7899267997560191</v>
      </c>
      <c r="N177">
        <v>8.8821704402051651</v>
      </c>
      <c r="O177">
        <v>17765.989497257218</v>
      </c>
      <c r="P177">
        <v>11.040775966987566</v>
      </c>
      <c r="Q177">
        <v>10.055152711159762</v>
      </c>
      <c r="S177">
        <f t="shared" si="10"/>
        <v>878657.61385834729</v>
      </c>
      <c r="T177">
        <f t="shared" si="11"/>
        <v>987749.28161871899</v>
      </c>
      <c r="V177">
        <f t="shared" si="8"/>
        <v>0</v>
      </c>
      <c r="W177">
        <f t="shared" si="9"/>
        <v>1</v>
      </c>
    </row>
    <row r="178" spans="1:23" x14ac:dyDescent="0.2">
      <c r="A178">
        <v>173</v>
      </c>
      <c r="B178">
        <v>683.81750954823815</v>
      </c>
      <c r="C178">
        <v>2809.5557017331694</v>
      </c>
      <c r="D178">
        <v>906.33722288643901</v>
      </c>
      <c r="E178">
        <v>890.60049246777146</v>
      </c>
      <c r="F178">
        <v>0.91839930489609756</v>
      </c>
      <c r="G178">
        <v>0.77649444426069469</v>
      </c>
      <c r="H178">
        <v>1.1034080180589836E-2</v>
      </c>
      <c r="I178">
        <v>0.15351889334458746</v>
      </c>
      <c r="J178">
        <v>0.51018248179397596</v>
      </c>
      <c r="L178">
        <v>12721.960178564001</v>
      </c>
      <c r="M178">
        <v>10.022046584297339</v>
      </c>
      <c r="N178">
        <v>8.8361467897916608</v>
      </c>
      <c r="O178">
        <v>20396.413140223885</v>
      </c>
      <c r="P178">
        <v>11.197965156619444</v>
      </c>
      <c r="Q178">
        <v>10.013194728895833</v>
      </c>
      <c r="S178">
        <f t="shared" si="10"/>
        <v>870892.71880060213</v>
      </c>
      <c r="T178">
        <f t="shared" si="11"/>
        <v>980923.0597493595</v>
      </c>
      <c r="V178">
        <f t="shared" si="8"/>
        <v>0</v>
      </c>
      <c r="W178">
        <f t="shared" si="9"/>
        <v>1</v>
      </c>
    </row>
    <row r="179" spans="1:23" x14ac:dyDescent="0.2">
      <c r="A179">
        <v>174</v>
      </c>
      <c r="B179">
        <v>228.97876251261408</v>
      </c>
      <c r="C179">
        <v>3009.8718857726954</v>
      </c>
      <c r="D179">
        <v>1091.8809264181348</v>
      </c>
      <c r="E179">
        <v>1214.9069894481997</v>
      </c>
      <c r="F179">
        <v>0.91450813826274879</v>
      </c>
      <c r="G179">
        <v>0.6953842886824928</v>
      </c>
      <c r="H179">
        <v>9.691674855023185E-3</v>
      </c>
      <c r="I179">
        <v>0.13673342486748871</v>
      </c>
      <c r="J179">
        <v>0.57380219793706633</v>
      </c>
      <c r="L179">
        <v>10193.486187248707</v>
      </c>
      <c r="M179">
        <v>10.440399777994601</v>
      </c>
      <c r="N179">
        <v>8.9676523340292196</v>
      </c>
      <c r="O179">
        <v>18770.735148235446</v>
      </c>
      <c r="P179">
        <v>11.354374604549035</v>
      </c>
      <c r="Q179">
        <v>9.9379861560691101</v>
      </c>
      <c r="S179">
        <f t="shared" si="10"/>
        <v>886571.74721567321</v>
      </c>
      <c r="T179">
        <f t="shared" si="11"/>
        <v>975027.88045867556</v>
      </c>
      <c r="V179">
        <f t="shared" si="8"/>
        <v>0</v>
      </c>
      <c r="W179">
        <f t="shared" si="9"/>
        <v>1</v>
      </c>
    </row>
    <row r="180" spans="1:23" x14ac:dyDescent="0.2">
      <c r="A180">
        <v>175</v>
      </c>
      <c r="B180">
        <v>676.36066175091366</v>
      </c>
      <c r="C180">
        <v>2598.2455783900923</v>
      </c>
      <c r="D180">
        <v>962.15536101347573</v>
      </c>
      <c r="E180">
        <v>1377.0063611314069</v>
      </c>
      <c r="F180">
        <v>0.96972696454956109</v>
      </c>
      <c r="G180">
        <v>0.74833828714942985</v>
      </c>
      <c r="H180">
        <v>1.0400719707160435E-2</v>
      </c>
      <c r="I180">
        <v>0.17612596874798558</v>
      </c>
      <c r="J180">
        <v>0.4980369830182178</v>
      </c>
      <c r="L180">
        <v>11718.022625472608</v>
      </c>
      <c r="M180">
        <v>9.9110322503918447</v>
      </c>
      <c r="N180">
        <v>9.0980735710677454</v>
      </c>
      <c r="O180">
        <v>20329.681892412598</v>
      </c>
      <c r="P180">
        <v>11.179669082766866</v>
      </c>
      <c r="Q180">
        <v>10.47079902815209</v>
      </c>
      <c r="S180">
        <f t="shared" si="10"/>
        <v>898089.33448130195</v>
      </c>
      <c r="T180">
        <f t="shared" si="11"/>
        <v>1026750.2209227964</v>
      </c>
      <c r="V180">
        <f t="shared" si="8"/>
        <v>0</v>
      </c>
      <c r="W180">
        <f t="shared" si="9"/>
        <v>1</v>
      </c>
    </row>
    <row r="181" spans="1:23" x14ac:dyDescent="0.2">
      <c r="A181">
        <v>176</v>
      </c>
      <c r="B181">
        <v>528.04572404568864</v>
      </c>
      <c r="C181">
        <v>3927.4070733811982</v>
      </c>
      <c r="D181">
        <v>1134.4142113541657</v>
      </c>
      <c r="E181">
        <v>998.57995239234344</v>
      </c>
      <c r="F181">
        <v>0.93709534528554495</v>
      </c>
      <c r="G181">
        <v>0.70415535479905456</v>
      </c>
      <c r="H181">
        <v>1.0639336486318809E-2</v>
      </c>
      <c r="I181">
        <v>0.13063810207827359</v>
      </c>
      <c r="J181">
        <v>0.47956544581389515</v>
      </c>
      <c r="L181">
        <v>15438.958398121144</v>
      </c>
      <c r="M181">
        <v>10.355215377358563</v>
      </c>
      <c r="N181">
        <v>9.0458210001685355</v>
      </c>
      <c r="O181">
        <v>23949.683762549423</v>
      </c>
      <c r="P181">
        <v>11.53695648737772</v>
      </c>
      <c r="Q181">
        <v>10.347375175166182</v>
      </c>
      <c r="S181">
        <f t="shared" si="10"/>
        <v>889143.14161873236</v>
      </c>
      <c r="T181">
        <f t="shared" si="11"/>
        <v>1010787.8337540687</v>
      </c>
      <c r="V181">
        <f t="shared" si="8"/>
        <v>0</v>
      </c>
      <c r="W181">
        <f t="shared" si="9"/>
        <v>1</v>
      </c>
    </row>
    <row r="182" spans="1:23" x14ac:dyDescent="0.2">
      <c r="A182">
        <v>177</v>
      </c>
      <c r="B182">
        <v>409.17310359796363</v>
      </c>
      <c r="C182">
        <v>3242.1704532109338</v>
      </c>
      <c r="D182">
        <v>870.86716804883747</v>
      </c>
      <c r="E182">
        <v>974.34677611012762</v>
      </c>
      <c r="F182">
        <v>0.95947286601103321</v>
      </c>
      <c r="G182">
        <v>0.79426411877917302</v>
      </c>
      <c r="H182">
        <v>1.0969044623685829E-2</v>
      </c>
      <c r="I182">
        <v>0.10694443527293415</v>
      </c>
      <c r="J182">
        <v>0.55000012648797481</v>
      </c>
      <c r="L182">
        <v>13752.691172648263</v>
      </c>
      <c r="M182">
        <v>10.64414126646944</v>
      </c>
      <c r="N182">
        <v>9.6841889673296713</v>
      </c>
      <c r="O182">
        <v>19788.668470151475</v>
      </c>
      <c r="P182">
        <v>11.534774483182574</v>
      </c>
      <c r="Q182">
        <v>10.665645361478967</v>
      </c>
      <c r="S182">
        <f t="shared" si="10"/>
        <v>954666.20556031889</v>
      </c>
      <c r="T182">
        <f t="shared" si="11"/>
        <v>1046775.8676777452</v>
      </c>
      <c r="V182">
        <f t="shared" si="8"/>
        <v>0</v>
      </c>
      <c r="W182">
        <f t="shared" si="9"/>
        <v>1</v>
      </c>
    </row>
    <row r="183" spans="1:23" x14ac:dyDescent="0.2">
      <c r="A183">
        <v>178</v>
      </c>
      <c r="B183">
        <v>551.66636804415111</v>
      </c>
      <c r="C183">
        <v>3396.564549291144</v>
      </c>
      <c r="D183">
        <v>957.48613149277071</v>
      </c>
      <c r="E183">
        <v>822.90057564357323</v>
      </c>
      <c r="F183">
        <v>0.9347116152653171</v>
      </c>
      <c r="G183">
        <v>0.83224161435392918</v>
      </c>
      <c r="H183">
        <v>8.6441299450851754E-3</v>
      </c>
      <c r="I183">
        <v>0.12983777496760668</v>
      </c>
      <c r="J183">
        <v>0.49218986666423431</v>
      </c>
      <c r="L183">
        <v>13586.884685100777</v>
      </c>
      <c r="M183">
        <v>10.714237655372425</v>
      </c>
      <c r="N183">
        <v>9.7482423553978581</v>
      </c>
      <c r="O183">
        <v>21394.918251295814</v>
      </c>
      <c r="P183">
        <v>11.801802852812234</v>
      </c>
      <c r="Q183">
        <v>10.847116865636204</v>
      </c>
      <c r="S183">
        <f t="shared" si="10"/>
        <v>961237.35085468506</v>
      </c>
      <c r="T183">
        <f t="shared" si="11"/>
        <v>1063316.7683123245</v>
      </c>
      <c r="V183">
        <f t="shared" si="8"/>
        <v>0</v>
      </c>
      <c r="W183">
        <f t="shared" si="9"/>
        <v>1</v>
      </c>
    </row>
    <row r="184" spans="1:23" x14ac:dyDescent="0.2">
      <c r="A184">
        <v>179</v>
      </c>
      <c r="B184">
        <v>650.38585839638245</v>
      </c>
      <c r="C184">
        <v>2665.4189498809751</v>
      </c>
      <c r="D184">
        <v>1041.1464038935831</v>
      </c>
      <c r="E184">
        <v>969.70432409092302</v>
      </c>
      <c r="F184">
        <v>0.96640176996253724</v>
      </c>
      <c r="G184">
        <v>0.79123772151590643</v>
      </c>
      <c r="H184">
        <v>7.8087118015272997E-3</v>
      </c>
      <c r="I184">
        <v>0.14681224432856246</v>
      </c>
      <c r="J184">
        <v>0.51294561935213012</v>
      </c>
      <c r="L184">
        <v>11943.228299053846</v>
      </c>
      <c r="M184">
        <v>10.705804262921504</v>
      </c>
      <c r="N184">
        <v>9.941744228721797</v>
      </c>
      <c r="O184">
        <v>21702.114669807626</v>
      </c>
      <c r="P184">
        <v>11.765023004815459</v>
      </c>
      <c r="Q184">
        <v>11.087091863539294</v>
      </c>
      <c r="S184">
        <f t="shared" si="10"/>
        <v>982231.1945731258</v>
      </c>
      <c r="T184">
        <f t="shared" si="11"/>
        <v>1087007.0716841216</v>
      </c>
      <c r="V184">
        <f t="shared" si="8"/>
        <v>0</v>
      </c>
      <c r="W184">
        <f t="shared" si="9"/>
        <v>1</v>
      </c>
    </row>
    <row r="185" spans="1:23" x14ac:dyDescent="0.2">
      <c r="A185">
        <v>180</v>
      </c>
      <c r="B185">
        <v>591.32717493816426</v>
      </c>
      <c r="C185">
        <v>3458.2180193978415</v>
      </c>
      <c r="D185">
        <v>951.58170780028672</v>
      </c>
      <c r="E185">
        <v>1411.6619901779404</v>
      </c>
      <c r="F185">
        <v>0.98631147113303552</v>
      </c>
      <c r="G185">
        <v>0.63289249915202406</v>
      </c>
      <c r="H185">
        <v>1.0084265507603375E-2</v>
      </c>
      <c r="I185">
        <v>0.18105042481017952</v>
      </c>
      <c r="J185">
        <v>0.55174266577528952</v>
      </c>
      <c r="L185">
        <v>12885.534281056485</v>
      </c>
      <c r="M185">
        <v>9.9276830967424701</v>
      </c>
      <c r="N185">
        <v>8.997787831124521</v>
      </c>
      <c r="O185">
        <v>20721.15992527804</v>
      </c>
      <c r="P185">
        <v>11.02696322584746</v>
      </c>
      <c r="Q185">
        <v>10.272433081916583</v>
      </c>
      <c r="S185">
        <f t="shared" si="10"/>
        <v>886893.24883139564</v>
      </c>
      <c r="T185">
        <f t="shared" si="11"/>
        <v>1006522.1482663803</v>
      </c>
      <c r="V185">
        <f t="shared" si="8"/>
        <v>0</v>
      </c>
      <c r="W185">
        <f t="shared" si="9"/>
        <v>1</v>
      </c>
    </row>
    <row r="186" spans="1:23" x14ac:dyDescent="0.2">
      <c r="A186">
        <v>181</v>
      </c>
      <c r="B186">
        <v>482.58481070916412</v>
      </c>
      <c r="C186">
        <v>2408.5062667388843</v>
      </c>
      <c r="D186">
        <v>1103.1974189314426</v>
      </c>
      <c r="E186">
        <v>850.62594135109714</v>
      </c>
      <c r="F186">
        <v>0.97681122933523068</v>
      </c>
      <c r="G186">
        <v>0.62215693323999088</v>
      </c>
      <c r="H186">
        <v>1.0868042412978627E-2</v>
      </c>
      <c r="I186">
        <v>0.14628346278284227</v>
      </c>
      <c r="J186">
        <v>0.4812955714763556</v>
      </c>
      <c r="L186">
        <v>10339.958344761739</v>
      </c>
      <c r="M186">
        <v>10.129538776929513</v>
      </c>
      <c r="N186">
        <v>8.9516723749034348</v>
      </c>
      <c r="O186">
        <v>19821.923754060797</v>
      </c>
      <c r="P186">
        <v>11.370979149956954</v>
      </c>
      <c r="Q186">
        <v>10.437040492215779</v>
      </c>
      <c r="S186">
        <f t="shared" si="10"/>
        <v>884827.27914558176</v>
      </c>
      <c r="T186">
        <f t="shared" si="11"/>
        <v>1023882.1254675172</v>
      </c>
      <c r="V186">
        <f t="shared" si="8"/>
        <v>0</v>
      </c>
      <c r="W186">
        <f t="shared" si="9"/>
        <v>1</v>
      </c>
    </row>
    <row r="187" spans="1:23" x14ac:dyDescent="0.2">
      <c r="A187">
        <v>182</v>
      </c>
      <c r="B187">
        <v>420.16282903623522</v>
      </c>
      <c r="C187">
        <v>3948.7074815563956</v>
      </c>
      <c r="D187">
        <v>954.41672506583893</v>
      </c>
      <c r="E187">
        <v>407.01566028485757</v>
      </c>
      <c r="F187">
        <v>0.96040755302812664</v>
      </c>
      <c r="G187">
        <v>0.74151649067775538</v>
      </c>
      <c r="H187">
        <v>1.046891440305526E-2</v>
      </c>
      <c r="I187">
        <v>0.1790487963775852</v>
      </c>
      <c r="J187">
        <v>0.46677599043416901</v>
      </c>
      <c r="L187">
        <v>12420.485490734862</v>
      </c>
      <c r="M187">
        <v>9.8727817440175709</v>
      </c>
      <c r="N187">
        <v>8.9791106783164967</v>
      </c>
      <c r="O187">
        <v>19718.718641597316</v>
      </c>
      <c r="P187">
        <v>11.259334940159984</v>
      </c>
      <c r="Q187">
        <v>10.462773770464558</v>
      </c>
      <c r="S187">
        <f t="shared" si="10"/>
        <v>885490.58234091487</v>
      </c>
      <c r="T187">
        <f t="shared" si="11"/>
        <v>1026558.6584048586</v>
      </c>
      <c r="V187">
        <f t="shared" si="8"/>
        <v>0</v>
      </c>
      <c r="W187">
        <f t="shared" si="9"/>
        <v>1</v>
      </c>
    </row>
    <row r="188" spans="1:23" x14ac:dyDescent="0.2">
      <c r="A188">
        <v>183</v>
      </c>
      <c r="B188">
        <v>218.09413815224144</v>
      </c>
      <c r="C188">
        <v>2871.946026980655</v>
      </c>
      <c r="D188">
        <v>915.27559225960931</v>
      </c>
      <c r="E188">
        <v>1239.7025850394807</v>
      </c>
      <c r="F188">
        <v>0.95383215369222196</v>
      </c>
      <c r="G188">
        <v>0.71703229361637244</v>
      </c>
      <c r="H188">
        <v>9.8613765553678956E-3</v>
      </c>
      <c r="I188">
        <v>0.20526956008693031</v>
      </c>
      <c r="J188">
        <v>0.49714244329677559</v>
      </c>
      <c r="L188">
        <v>8067.6776608188293</v>
      </c>
      <c r="M188">
        <v>9.7841736720845276</v>
      </c>
      <c r="N188">
        <v>8.8493206769028276</v>
      </c>
      <c r="O188">
        <v>15513.394926077504</v>
      </c>
      <c r="P188">
        <v>11.112828481605881</v>
      </c>
      <c r="Q188">
        <v>10.253023629082929</v>
      </c>
      <c r="S188">
        <f t="shared" si="10"/>
        <v>876864.39002946392</v>
      </c>
      <c r="T188">
        <f t="shared" si="11"/>
        <v>1009788.9679822155</v>
      </c>
      <c r="V188">
        <f t="shared" si="8"/>
        <v>0</v>
      </c>
      <c r="W188">
        <f t="shared" si="9"/>
        <v>1</v>
      </c>
    </row>
    <row r="189" spans="1:23" x14ac:dyDescent="0.2">
      <c r="A189">
        <v>184</v>
      </c>
      <c r="B189">
        <v>708.39088813838589</v>
      </c>
      <c r="C189">
        <v>3158.1128752942091</v>
      </c>
      <c r="D189">
        <v>1073.7943604821321</v>
      </c>
      <c r="E189">
        <v>837.22902239639859</v>
      </c>
      <c r="F189">
        <v>0.93705660009742642</v>
      </c>
      <c r="G189">
        <v>0.60558572373657493</v>
      </c>
      <c r="H189">
        <v>9.7811342083170844E-3</v>
      </c>
      <c r="I189">
        <v>0.15766227744937245</v>
      </c>
      <c r="J189">
        <v>0.45610261815149933</v>
      </c>
      <c r="L189">
        <v>13504.423347974278</v>
      </c>
      <c r="M189">
        <v>10.199130118602422</v>
      </c>
      <c r="N189">
        <v>8.7509343762423022</v>
      </c>
      <c r="O189">
        <v>23045.743218688469</v>
      </c>
      <c r="P189">
        <v>11.535999934791375</v>
      </c>
      <c r="Q189">
        <v>10.26331521296038</v>
      </c>
      <c r="S189">
        <f t="shared" si="10"/>
        <v>861589.01427625585</v>
      </c>
      <c r="T189">
        <f t="shared" si="11"/>
        <v>1003285.7780773495</v>
      </c>
      <c r="V189">
        <f t="shared" si="8"/>
        <v>0</v>
      </c>
      <c r="W189">
        <f t="shared" si="9"/>
        <v>1</v>
      </c>
    </row>
    <row r="190" spans="1:23" x14ac:dyDescent="0.2">
      <c r="A190">
        <v>185</v>
      </c>
      <c r="B190">
        <v>575.06018893864723</v>
      </c>
      <c r="C190">
        <v>2864.7409090150181</v>
      </c>
      <c r="D190">
        <v>972.67968709220486</v>
      </c>
      <c r="E190">
        <v>686.3129594164119</v>
      </c>
      <c r="F190">
        <v>0.98724707037150794</v>
      </c>
      <c r="G190">
        <v>0.68587438342851392</v>
      </c>
      <c r="H190">
        <v>9.0470615409964494E-3</v>
      </c>
      <c r="I190">
        <v>0.10709153005451154</v>
      </c>
      <c r="J190">
        <v>0.5381041204561603</v>
      </c>
      <c r="L190">
        <v>13266.662522184244</v>
      </c>
      <c r="M190">
        <v>10.938166789764914</v>
      </c>
      <c r="N190">
        <v>9.9089630767370345</v>
      </c>
      <c r="O190">
        <v>21300.632962393156</v>
      </c>
      <c r="P190">
        <v>11.824033080725727</v>
      </c>
      <c r="Q190">
        <v>11.023008091216974</v>
      </c>
      <c r="S190">
        <f t="shared" si="10"/>
        <v>977629.64515151922</v>
      </c>
      <c r="T190">
        <f t="shared" si="11"/>
        <v>1081000.1761593043</v>
      </c>
      <c r="V190">
        <f t="shared" si="8"/>
        <v>0</v>
      </c>
      <c r="W190">
        <f t="shared" si="9"/>
        <v>1</v>
      </c>
    </row>
    <row r="191" spans="1:23" x14ac:dyDescent="0.2">
      <c r="A191">
        <v>186</v>
      </c>
      <c r="B191">
        <v>482.21323043714665</v>
      </c>
      <c r="C191">
        <v>2966.2916765501573</v>
      </c>
      <c r="D191">
        <v>899.60590588589196</v>
      </c>
      <c r="E191">
        <v>1096.878342792224</v>
      </c>
      <c r="F191">
        <v>0.9421396802179216</v>
      </c>
      <c r="G191">
        <v>0.74513991048225958</v>
      </c>
      <c r="H191">
        <v>9.764106050011722E-3</v>
      </c>
      <c r="I191">
        <v>0.1306114725763079</v>
      </c>
      <c r="J191">
        <v>0.56209977966106206</v>
      </c>
      <c r="L191">
        <v>12234.363397811096</v>
      </c>
      <c r="M191">
        <v>10.500992486246606</v>
      </c>
      <c r="N191">
        <v>9.355742400345914</v>
      </c>
      <c r="O191">
        <v>19374.906473513209</v>
      </c>
      <c r="P191">
        <v>11.428687803548399</v>
      </c>
      <c r="Q191">
        <v>10.358934022116243</v>
      </c>
      <c r="S191">
        <f t="shared" si="10"/>
        <v>923339.87663678033</v>
      </c>
      <c r="T191">
        <f t="shared" si="11"/>
        <v>1016518.4957381111</v>
      </c>
      <c r="V191">
        <f t="shared" si="8"/>
        <v>0</v>
      </c>
      <c r="W191">
        <f t="shared" si="9"/>
        <v>1</v>
      </c>
    </row>
    <row r="192" spans="1:23" x14ac:dyDescent="0.2">
      <c r="A192">
        <v>187</v>
      </c>
      <c r="B192">
        <v>585.81209801110811</v>
      </c>
      <c r="C192">
        <v>3359.3888900560137</v>
      </c>
      <c r="D192">
        <v>809.66821862150607</v>
      </c>
      <c r="E192">
        <v>640.95491910648673</v>
      </c>
      <c r="F192">
        <v>0.95302149294639482</v>
      </c>
      <c r="G192">
        <v>0.67797951606174678</v>
      </c>
      <c r="H192">
        <v>1.1520087296682836E-2</v>
      </c>
      <c r="I192">
        <v>0.13066442980992071</v>
      </c>
      <c r="J192">
        <v>0.43878420884018421</v>
      </c>
      <c r="L192">
        <v>14307.689745606085</v>
      </c>
      <c r="M192">
        <v>10.219335408732782</v>
      </c>
      <c r="N192">
        <v>8.9382717075578864</v>
      </c>
      <c r="O192">
        <v>20174.062923638274</v>
      </c>
      <c r="P192">
        <v>11.550435307222735</v>
      </c>
      <c r="Q192">
        <v>10.463056201498595</v>
      </c>
      <c r="S192">
        <f t="shared" si="10"/>
        <v>879519.48101018264</v>
      </c>
      <c r="T192">
        <f t="shared" si="11"/>
        <v>1026131.5572262213</v>
      </c>
      <c r="V192">
        <f t="shared" si="8"/>
        <v>0</v>
      </c>
      <c r="W192">
        <f t="shared" si="9"/>
        <v>1</v>
      </c>
    </row>
    <row r="193" spans="1:23" x14ac:dyDescent="0.2">
      <c r="A193">
        <v>188</v>
      </c>
      <c r="B193">
        <v>465.16437073650968</v>
      </c>
      <c r="C193">
        <v>3097.116197907545</v>
      </c>
      <c r="D193">
        <v>929.54001647838845</v>
      </c>
      <c r="E193">
        <v>853.73963495313967</v>
      </c>
      <c r="F193">
        <v>0.94851956245053715</v>
      </c>
      <c r="G193">
        <v>0.83354063150441005</v>
      </c>
      <c r="H193">
        <v>9.8186212838435195E-3</v>
      </c>
      <c r="I193">
        <v>0.1671672131854286</v>
      </c>
      <c r="J193">
        <v>0.43984010425795689</v>
      </c>
      <c r="L193">
        <v>11205.185864304345</v>
      </c>
      <c r="M193">
        <v>10.101077491363929</v>
      </c>
      <c r="N193">
        <v>9.3114470980267363</v>
      </c>
      <c r="O193">
        <v>18954.316569931801</v>
      </c>
      <c r="P193">
        <v>11.527144534370551</v>
      </c>
      <c r="Q193">
        <v>10.754420005665626</v>
      </c>
      <c r="S193">
        <f t="shared" si="10"/>
        <v>919939.52393836936</v>
      </c>
      <c r="T193">
        <f t="shared" si="11"/>
        <v>1056487.6839966308</v>
      </c>
      <c r="V193">
        <f t="shared" si="8"/>
        <v>0</v>
      </c>
      <c r="W193">
        <f t="shared" si="9"/>
        <v>1</v>
      </c>
    </row>
    <row r="194" spans="1:23" x14ac:dyDescent="0.2">
      <c r="A194">
        <v>189</v>
      </c>
      <c r="B194">
        <v>392.75457387374757</v>
      </c>
      <c r="C194">
        <v>3750.1749498957543</v>
      </c>
      <c r="D194">
        <v>1035.3346262948105</v>
      </c>
      <c r="E194">
        <v>905.63141139793356</v>
      </c>
      <c r="F194">
        <v>0.93756471249201045</v>
      </c>
      <c r="G194">
        <v>0.7842382382581935</v>
      </c>
      <c r="H194">
        <v>9.6506081949690823E-3</v>
      </c>
      <c r="I194">
        <v>0.16006683292193158</v>
      </c>
      <c r="J194">
        <v>0.49659652949272981</v>
      </c>
      <c r="L194">
        <v>12396.33162290594</v>
      </c>
      <c r="M194">
        <v>10.200175306214931</v>
      </c>
      <c r="N194">
        <v>9.1960216568336577</v>
      </c>
      <c r="O194">
        <v>20494.072727220948</v>
      </c>
      <c r="P194">
        <v>11.409225014906896</v>
      </c>
      <c r="Q194">
        <v>10.43581528097962</v>
      </c>
      <c r="S194">
        <f t="shared" si="10"/>
        <v>907205.83406045986</v>
      </c>
      <c r="T194">
        <f t="shared" si="11"/>
        <v>1023087.4553707411</v>
      </c>
      <c r="V194">
        <f t="shared" si="8"/>
        <v>0</v>
      </c>
      <c r="W194">
        <f t="shared" si="9"/>
        <v>1</v>
      </c>
    </row>
    <row r="195" spans="1:23" x14ac:dyDescent="0.2">
      <c r="A195">
        <v>190</v>
      </c>
      <c r="B195">
        <v>221.71628872728326</v>
      </c>
      <c r="C195">
        <v>2265.449682715886</v>
      </c>
      <c r="D195">
        <v>777.46609222584652</v>
      </c>
      <c r="E195">
        <v>516.07449160206443</v>
      </c>
      <c r="F195">
        <v>0.91804445614841723</v>
      </c>
      <c r="G195">
        <v>0.80115362929724321</v>
      </c>
      <c r="H195">
        <v>9.9081807819684231E-3</v>
      </c>
      <c r="I195">
        <v>0.16673590820435436</v>
      </c>
      <c r="J195">
        <v>0.5023525580924022</v>
      </c>
      <c r="L195">
        <v>7257.7391243360989</v>
      </c>
      <c r="M195">
        <v>10.088117247786867</v>
      </c>
      <c r="N195">
        <v>8.9857656400879158</v>
      </c>
      <c r="O195">
        <v>13588.455931963135</v>
      </c>
      <c r="P195">
        <v>11.304988412625391</v>
      </c>
      <c r="Q195">
        <v>10.1803056566465</v>
      </c>
      <c r="S195">
        <f t="shared" si="10"/>
        <v>891318.82488445553</v>
      </c>
      <c r="T195">
        <f t="shared" si="11"/>
        <v>1004442.1097326868</v>
      </c>
      <c r="V195">
        <f t="shared" si="8"/>
        <v>0</v>
      </c>
      <c r="W195">
        <f t="shared" si="9"/>
        <v>1</v>
      </c>
    </row>
    <row r="196" spans="1:23" x14ac:dyDescent="0.2">
      <c r="A196">
        <v>191</v>
      </c>
      <c r="B196">
        <v>393.84050883412624</v>
      </c>
      <c r="C196">
        <v>2635.5160168781194</v>
      </c>
      <c r="D196">
        <v>803.41296587208637</v>
      </c>
      <c r="E196">
        <v>1668.1118744650171</v>
      </c>
      <c r="F196">
        <v>0.9601241541114176</v>
      </c>
      <c r="G196">
        <v>0.88931776361610437</v>
      </c>
      <c r="H196">
        <v>1.0389844985376446E-2</v>
      </c>
      <c r="I196">
        <v>0.16940007475328567</v>
      </c>
      <c r="J196">
        <v>0.52967485302741335</v>
      </c>
      <c r="L196">
        <v>9928.5935105438784</v>
      </c>
      <c r="M196">
        <v>9.9742118464789549</v>
      </c>
      <c r="N196">
        <v>9.4081694913577163</v>
      </c>
      <c r="O196">
        <v>16366.485567633539</v>
      </c>
      <c r="P196">
        <v>11.121290244607247</v>
      </c>
      <c r="Q196">
        <v>10.552261907498982</v>
      </c>
      <c r="S196">
        <f t="shared" si="10"/>
        <v>930888.35562522768</v>
      </c>
      <c r="T196">
        <f t="shared" si="11"/>
        <v>1038859.7051822648</v>
      </c>
      <c r="V196">
        <f t="shared" si="8"/>
        <v>0</v>
      </c>
      <c r="W196">
        <f t="shared" si="9"/>
        <v>1</v>
      </c>
    </row>
    <row r="197" spans="1:23" x14ac:dyDescent="0.2">
      <c r="A197">
        <v>192</v>
      </c>
      <c r="B197">
        <v>570.9225341630605</v>
      </c>
      <c r="C197">
        <v>3051.3627090676437</v>
      </c>
      <c r="D197">
        <v>1073.4385453720965</v>
      </c>
      <c r="E197">
        <v>624.14125548898301</v>
      </c>
      <c r="F197">
        <v>0.93187171922826484</v>
      </c>
      <c r="G197">
        <v>0.76857640961768969</v>
      </c>
      <c r="H197">
        <v>9.5403421692659956E-3</v>
      </c>
      <c r="I197">
        <v>0.16950752631791299</v>
      </c>
      <c r="J197">
        <v>0.48367251611186152</v>
      </c>
      <c r="L197">
        <v>11725.15609218447</v>
      </c>
      <c r="M197">
        <v>10.133556801432558</v>
      </c>
      <c r="N197">
        <v>9.0681428646891682</v>
      </c>
      <c r="O197">
        <v>21191.961635152555</v>
      </c>
      <c r="P197">
        <v>11.409321857941649</v>
      </c>
      <c r="Q197">
        <v>10.369625002914768</v>
      </c>
      <c r="S197">
        <f t="shared" si="10"/>
        <v>895089.13037673233</v>
      </c>
      <c r="T197">
        <f t="shared" si="11"/>
        <v>1015770.5386563243</v>
      </c>
      <c r="V197">
        <f t="shared" si="8"/>
        <v>0</v>
      </c>
      <c r="W197">
        <f t="shared" si="9"/>
        <v>1</v>
      </c>
    </row>
    <row r="198" spans="1:23" x14ac:dyDescent="0.2">
      <c r="A198">
        <v>193</v>
      </c>
      <c r="B198">
        <v>426.34978462210734</v>
      </c>
      <c r="C198">
        <v>2929.5260822976988</v>
      </c>
      <c r="D198">
        <v>1027.8885985486186</v>
      </c>
      <c r="E198">
        <v>1573.7503292195352</v>
      </c>
      <c r="F198">
        <v>0.97875675963033792</v>
      </c>
      <c r="G198">
        <v>0.79676948770057288</v>
      </c>
      <c r="H198">
        <v>1.0121779028048191E-2</v>
      </c>
      <c r="I198">
        <v>0.1003326818805417</v>
      </c>
      <c r="J198">
        <v>0.5258356496198181</v>
      </c>
      <c r="L198">
        <v>13157.950211975853</v>
      </c>
      <c r="M198">
        <v>10.873153600568717</v>
      </c>
      <c r="N198">
        <v>10.059352110698445</v>
      </c>
      <c r="O198">
        <v>20962.321739888062</v>
      </c>
      <c r="P198">
        <v>11.780907217581078</v>
      </c>
      <c r="Q198">
        <v>11.103854293206604</v>
      </c>
      <c r="S198">
        <f t="shared" si="10"/>
        <v>992777.26085786859</v>
      </c>
      <c r="T198">
        <f t="shared" si="11"/>
        <v>1089423.1075807724</v>
      </c>
      <c r="V198">
        <f t="shared" ref="V198:V261" si="12">IF(S198=MAX($S198:$T198),1,0)</f>
        <v>0</v>
      </c>
      <c r="W198">
        <f t="shared" ref="W198:W261" si="13">IF(T198=MAX($S198:$T198),1,0)</f>
        <v>1</v>
      </c>
    </row>
    <row r="199" spans="1:23" x14ac:dyDescent="0.2">
      <c r="A199">
        <v>194</v>
      </c>
      <c r="B199">
        <v>551.87683954414956</v>
      </c>
      <c r="C199">
        <v>4012.1984921544436</v>
      </c>
      <c r="D199">
        <v>948.60345098195046</v>
      </c>
      <c r="E199">
        <v>1226.5344197101806</v>
      </c>
      <c r="F199">
        <v>0.96014563378779927</v>
      </c>
      <c r="G199">
        <v>0.60138581345742392</v>
      </c>
      <c r="H199">
        <v>1.0885859403493974E-2</v>
      </c>
      <c r="I199">
        <v>0.13166417401456967</v>
      </c>
      <c r="J199">
        <v>0.55277691392569117</v>
      </c>
      <c r="L199">
        <v>15960.957760985508</v>
      </c>
      <c r="M199">
        <v>10.303043771177343</v>
      </c>
      <c r="N199">
        <v>8.8746342489474745</v>
      </c>
      <c r="O199">
        <v>22718.112301231366</v>
      </c>
      <c r="P199">
        <v>11.278347097825366</v>
      </c>
      <c r="Q199">
        <v>10.051110330211342</v>
      </c>
      <c r="S199">
        <f t="shared" ref="S199:S262" si="14">$T$1*N199-L199</f>
        <v>871502.46713376197</v>
      </c>
      <c r="T199">
        <f t="shared" ref="T199:T262" si="15">$T$1*Q199-O199</f>
        <v>982392.92071990285</v>
      </c>
      <c r="V199">
        <f t="shared" si="12"/>
        <v>0</v>
      </c>
      <c r="W199">
        <f t="shared" si="13"/>
        <v>1</v>
      </c>
    </row>
    <row r="200" spans="1:23" x14ac:dyDescent="0.2">
      <c r="A200">
        <v>195</v>
      </c>
      <c r="B200">
        <v>428.7000271532695</v>
      </c>
      <c r="C200">
        <v>4188.9844255737662</v>
      </c>
      <c r="D200">
        <v>928.63343806362354</v>
      </c>
      <c r="E200">
        <v>1163.0944376304619</v>
      </c>
      <c r="F200">
        <v>0.95990523663203497</v>
      </c>
      <c r="G200">
        <v>0.81443172017568177</v>
      </c>
      <c r="H200">
        <v>9.56568442086983E-3</v>
      </c>
      <c r="I200">
        <v>0.12610308723044714</v>
      </c>
      <c r="J200">
        <v>0.48460015334601431</v>
      </c>
      <c r="L200">
        <v>15332.091461402679</v>
      </c>
      <c r="M200">
        <v>10.591574870951961</v>
      </c>
      <c r="N200">
        <v>9.7650926241377345</v>
      </c>
      <c r="O200">
        <v>21624.47363126092</v>
      </c>
      <c r="P200">
        <v>11.713322959144097</v>
      </c>
      <c r="Q200">
        <v>10.96401860535766</v>
      </c>
      <c r="S200">
        <f t="shared" si="14"/>
        <v>961177.17095237074</v>
      </c>
      <c r="T200">
        <f t="shared" si="15"/>
        <v>1074777.3869045051</v>
      </c>
      <c r="V200">
        <f t="shared" si="12"/>
        <v>0</v>
      </c>
      <c r="W200">
        <f t="shared" si="13"/>
        <v>1</v>
      </c>
    </row>
    <row r="201" spans="1:23" x14ac:dyDescent="0.2">
      <c r="A201">
        <v>196</v>
      </c>
      <c r="B201">
        <v>474.59992335016557</v>
      </c>
      <c r="C201">
        <v>2904.2020645228909</v>
      </c>
      <c r="D201">
        <v>1082.3418922309502</v>
      </c>
      <c r="E201">
        <v>1005.1670964203685</v>
      </c>
      <c r="F201">
        <v>0.97356960533646608</v>
      </c>
      <c r="G201">
        <v>0.81465628506297039</v>
      </c>
      <c r="H201">
        <v>9.6543195047199375E-3</v>
      </c>
      <c r="I201">
        <v>0.14403080981104358</v>
      </c>
      <c r="J201">
        <v>0.52428618911944802</v>
      </c>
      <c r="L201">
        <v>11512.31924985681</v>
      </c>
      <c r="M201">
        <v>10.364643602502786</v>
      </c>
      <c r="N201">
        <v>9.6837076686346819</v>
      </c>
      <c r="O201">
        <v>20604.811630205233</v>
      </c>
      <c r="P201">
        <v>11.439285548218509</v>
      </c>
      <c r="Q201">
        <v>10.839303785117009</v>
      </c>
      <c r="S201">
        <f t="shared" si="14"/>
        <v>956858.44761361135</v>
      </c>
      <c r="T201">
        <f t="shared" si="15"/>
        <v>1063325.5668814955</v>
      </c>
      <c r="V201">
        <f t="shared" si="12"/>
        <v>0</v>
      </c>
      <c r="W201">
        <f t="shared" si="13"/>
        <v>1</v>
      </c>
    </row>
    <row r="202" spans="1:23" x14ac:dyDescent="0.2">
      <c r="A202">
        <v>197</v>
      </c>
      <c r="B202">
        <v>398.49653556716817</v>
      </c>
      <c r="C202">
        <v>2903.2839605316567</v>
      </c>
      <c r="D202">
        <v>978.36285237478637</v>
      </c>
      <c r="E202">
        <v>1067.5640618336117</v>
      </c>
      <c r="F202">
        <v>0.87630922834302438</v>
      </c>
      <c r="G202">
        <v>0.68978445996513804</v>
      </c>
      <c r="H202">
        <v>8.8116487998761688E-3</v>
      </c>
      <c r="I202">
        <v>0.144589267389168</v>
      </c>
      <c r="J202">
        <v>0.63500626807382154</v>
      </c>
      <c r="L202">
        <v>10729.723297184673</v>
      </c>
      <c r="M202">
        <v>10.518622878741608</v>
      </c>
      <c r="N202">
        <v>8.7589545593714568</v>
      </c>
      <c r="O202">
        <v>18847.303372252089</v>
      </c>
      <c r="P202">
        <v>11.278495166935272</v>
      </c>
      <c r="Q202">
        <v>9.5151900192377354</v>
      </c>
      <c r="S202">
        <f t="shared" si="14"/>
        <v>865165.73263996094</v>
      </c>
      <c r="T202">
        <f t="shared" si="15"/>
        <v>932671.69855152152</v>
      </c>
      <c r="V202">
        <f t="shared" si="12"/>
        <v>0</v>
      </c>
      <c r="W202">
        <f t="shared" si="13"/>
        <v>1</v>
      </c>
    </row>
    <row r="203" spans="1:23" x14ac:dyDescent="0.2">
      <c r="A203">
        <v>198</v>
      </c>
      <c r="B203">
        <v>600.49461532062458</v>
      </c>
      <c r="C203">
        <v>3158.7530789348757</v>
      </c>
      <c r="D203">
        <v>1037.8074829929715</v>
      </c>
      <c r="E203">
        <v>1163.5361674980099</v>
      </c>
      <c r="F203">
        <v>0.93139422971742469</v>
      </c>
      <c r="G203">
        <v>0.67538832435664053</v>
      </c>
      <c r="H203">
        <v>1.1215244467510321E-2</v>
      </c>
      <c r="I203">
        <v>0.15144511152793638</v>
      </c>
      <c r="J203">
        <v>0.42571785663744904</v>
      </c>
      <c r="L203">
        <v>13213.091374481308</v>
      </c>
      <c r="M203">
        <v>10.015094809166007</v>
      </c>
      <c r="N203">
        <v>8.6540109451095031</v>
      </c>
      <c r="O203">
        <v>21780.778940611624</v>
      </c>
      <c r="P203">
        <v>11.474074912440786</v>
      </c>
      <c r="Q203">
        <v>10.236822045516622</v>
      </c>
      <c r="S203">
        <f t="shared" si="14"/>
        <v>852188.00313646893</v>
      </c>
      <c r="T203">
        <f t="shared" si="15"/>
        <v>1001901.4256110506</v>
      </c>
      <c r="V203">
        <f t="shared" si="12"/>
        <v>0</v>
      </c>
      <c r="W203">
        <f t="shared" si="13"/>
        <v>1</v>
      </c>
    </row>
    <row r="204" spans="1:23" x14ac:dyDescent="0.2">
      <c r="A204">
        <v>199</v>
      </c>
      <c r="B204">
        <v>330.15107895313139</v>
      </c>
      <c r="C204">
        <v>2592.4401017226851</v>
      </c>
      <c r="D204">
        <v>998.53060366841419</v>
      </c>
      <c r="E204">
        <v>732.02545900964913</v>
      </c>
      <c r="F204">
        <v>0.94447721307718602</v>
      </c>
      <c r="G204">
        <v>0.57193291601568463</v>
      </c>
      <c r="H204">
        <v>9.5632934343311479E-3</v>
      </c>
      <c r="I204">
        <v>0.16044947699878254</v>
      </c>
      <c r="J204">
        <v>0.56728867142557526</v>
      </c>
      <c r="L204">
        <v>9042.8311011230144</v>
      </c>
      <c r="M204">
        <v>10.213163439262537</v>
      </c>
      <c r="N204">
        <v>8.7583241562391816</v>
      </c>
      <c r="O204">
        <v>17406.528070993034</v>
      </c>
      <c r="P204">
        <v>11.207112446245452</v>
      </c>
      <c r="Q204">
        <v>9.9062819924647716</v>
      </c>
      <c r="S204">
        <f t="shared" si="14"/>
        <v>866789.58452279516</v>
      </c>
      <c r="T204">
        <f t="shared" si="15"/>
        <v>973221.67117548408</v>
      </c>
      <c r="V204">
        <f t="shared" si="12"/>
        <v>0</v>
      </c>
      <c r="W204">
        <f t="shared" si="13"/>
        <v>1</v>
      </c>
    </row>
    <row r="205" spans="1:23" x14ac:dyDescent="0.2">
      <c r="A205">
        <v>200</v>
      </c>
      <c r="B205">
        <v>674.11300637699469</v>
      </c>
      <c r="C205">
        <v>4118.7128360510014</v>
      </c>
      <c r="D205">
        <v>1029.8923191453976</v>
      </c>
      <c r="E205">
        <v>1082.6252837257748</v>
      </c>
      <c r="F205">
        <v>0.96798038716055546</v>
      </c>
      <c r="G205">
        <v>0.75819704374967023</v>
      </c>
      <c r="H205">
        <v>9.5251383483831338E-3</v>
      </c>
      <c r="I205">
        <v>0.12740814383327251</v>
      </c>
      <c r="J205">
        <v>0.49231422402997133</v>
      </c>
      <c r="L205">
        <v>16952.775257823097</v>
      </c>
      <c r="M205">
        <v>10.582228725290841</v>
      </c>
      <c r="N205">
        <v>9.6684071792366417</v>
      </c>
      <c r="O205">
        <v>24825.398639662522</v>
      </c>
      <c r="P205">
        <v>11.686094957068383</v>
      </c>
      <c r="Q205">
        <v>10.908209833687945</v>
      </c>
      <c r="S205">
        <f t="shared" si="14"/>
        <v>949887.94266584108</v>
      </c>
      <c r="T205">
        <f t="shared" si="15"/>
        <v>1065995.584729132</v>
      </c>
      <c r="V205">
        <f t="shared" si="12"/>
        <v>0</v>
      </c>
      <c r="W205">
        <f t="shared" si="13"/>
        <v>1</v>
      </c>
    </row>
    <row r="206" spans="1:23" x14ac:dyDescent="0.2">
      <c r="A206">
        <v>201</v>
      </c>
      <c r="B206">
        <v>472.54649835381832</v>
      </c>
      <c r="C206">
        <v>2802.4552090257284</v>
      </c>
      <c r="D206">
        <v>1008.6391884564674</v>
      </c>
      <c r="E206">
        <v>1230.1050597971921</v>
      </c>
      <c r="F206">
        <v>0.97930388381246591</v>
      </c>
      <c r="G206">
        <v>0.69822526761443038</v>
      </c>
      <c r="H206">
        <v>9.6750050543100412E-3</v>
      </c>
      <c r="I206">
        <v>0.11971144646671207</v>
      </c>
      <c r="J206">
        <v>0.38511616685896111</v>
      </c>
      <c r="L206">
        <v>12117.215997408135</v>
      </c>
      <c r="M206">
        <v>10.656281070475451</v>
      </c>
      <c r="N206">
        <v>9.6322007294309202</v>
      </c>
      <c r="O206">
        <v>20394.872013593391</v>
      </c>
      <c r="P206">
        <v>12.053773863981945</v>
      </c>
      <c r="Q206">
        <v>11.317956824651164</v>
      </c>
      <c r="S206">
        <f t="shared" si="14"/>
        <v>951102.85694568383</v>
      </c>
      <c r="T206">
        <f t="shared" si="15"/>
        <v>1111400.8104515232</v>
      </c>
      <c r="V206">
        <f t="shared" si="12"/>
        <v>0</v>
      </c>
      <c r="W206">
        <f t="shared" si="13"/>
        <v>1</v>
      </c>
    </row>
    <row r="207" spans="1:23" x14ac:dyDescent="0.2">
      <c r="A207">
        <v>202</v>
      </c>
      <c r="B207">
        <v>577.5371205574769</v>
      </c>
      <c r="C207">
        <v>3746.0575971940498</v>
      </c>
      <c r="D207">
        <v>1097.720168779704</v>
      </c>
      <c r="E207">
        <v>951.98319796787018</v>
      </c>
      <c r="F207">
        <v>0.96475807190134755</v>
      </c>
      <c r="G207">
        <v>0.8110603776237516</v>
      </c>
      <c r="H207">
        <v>9.9607971713973741E-3</v>
      </c>
      <c r="I207">
        <v>0.13626800249919038</v>
      </c>
      <c r="J207">
        <v>0.56640797532495113</v>
      </c>
      <c r="L207">
        <v>14854.887855429015</v>
      </c>
      <c r="M207">
        <v>10.398707973783466</v>
      </c>
      <c r="N207">
        <v>9.619863941659899</v>
      </c>
      <c r="O207">
        <v>23510.553858092124</v>
      </c>
      <c r="P207">
        <v>11.336164588628876</v>
      </c>
      <c r="Q207">
        <v>10.620983380537698</v>
      </c>
      <c r="S207">
        <f t="shared" si="14"/>
        <v>947131.50631056097</v>
      </c>
      <c r="T207">
        <f t="shared" si="15"/>
        <v>1038587.7841956777</v>
      </c>
      <c r="V207">
        <f t="shared" si="12"/>
        <v>0</v>
      </c>
      <c r="W207">
        <f t="shared" si="13"/>
        <v>1</v>
      </c>
    </row>
    <row r="208" spans="1:23" x14ac:dyDescent="0.2">
      <c r="A208">
        <v>203</v>
      </c>
      <c r="B208">
        <v>517.6896136484346</v>
      </c>
      <c r="C208">
        <v>3631.5141583664681</v>
      </c>
      <c r="D208">
        <v>939.40092376903874</v>
      </c>
      <c r="E208">
        <v>1054.25300779239</v>
      </c>
      <c r="F208">
        <v>0.94607167597536579</v>
      </c>
      <c r="G208">
        <v>0.6728731765185102</v>
      </c>
      <c r="H208">
        <v>9.6210810250337096E-3</v>
      </c>
      <c r="I208">
        <v>0.18865141693001231</v>
      </c>
      <c r="J208">
        <v>0.4665274811308654</v>
      </c>
      <c r="L208">
        <v>12255.820472530866</v>
      </c>
      <c r="M208">
        <v>9.9568652718915303</v>
      </c>
      <c r="N208">
        <v>8.8342693788318698</v>
      </c>
      <c r="O208">
        <v>20032.759371944892</v>
      </c>
      <c r="P208">
        <v>11.346517876718426</v>
      </c>
      <c r="Q208">
        <v>10.331740797197886</v>
      </c>
      <c r="S208">
        <f t="shared" si="14"/>
        <v>871171.11741065606</v>
      </c>
      <c r="T208">
        <f t="shared" si="15"/>
        <v>1013141.3203478437</v>
      </c>
      <c r="V208">
        <f t="shared" si="12"/>
        <v>0</v>
      </c>
      <c r="W208">
        <f t="shared" si="13"/>
        <v>1</v>
      </c>
    </row>
    <row r="209" spans="1:23" x14ac:dyDescent="0.2">
      <c r="A209">
        <v>204</v>
      </c>
      <c r="B209">
        <v>507.03620328899854</v>
      </c>
      <c r="C209">
        <v>2434.9771708058061</v>
      </c>
      <c r="D209">
        <v>897.00830091279613</v>
      </c>
      <c r="E209">
        <v>1324.3129768134331</v>
      </c>
      <c r="F209">
        <v>0.89065038837736865</v>
      </c>
      <c r="G209">
        <v>0.86468624146110395</v>
      </c>
      <c r="H209">
        <v>9.5455949390319175E-3</v>
      </c>
      <c r="I209">
        <v>0.10376090812107443</v>
      </c>
      <c r="J209">
        <v>0.43319026460733279</v>
      </c>
      <c r="L209">
        <v>11873.507453182745</v>
      </c>
      <c r="M209">
        <v>10.906706106034132</v>
      </c>
      <c r="N209">
        <v>9.6343171595588935</v>
      </c>
      <c r="O209">
        <v>19258.990608999204</v>
      </c>
      <c r="P209">
        <v>12.062401306929887</v>
      </c>
      <c r="Q209">
        <v>10.691761833148192</v>
      </c>
      <c r="S209">
        <f t="shared" si="14"/>
        <v>951558.20850270661</v>
      </c>
      <c r="T209">
        <f t="shared" si="15"/>
        <v>1049917.1927058198</v>
      </c>
      <c r="V209">
        <f t="shared" si="12"/>
        <v>0</v>
      </c>
      <c r="W209">
        <f t="shared" si="13"/>
        <v>1</v>
      </c>
    </row>
    <row r="210" spans="1:23" x14ac:dyDescent="0.2">
      <c r="A210">
        <v>205</v>
      </c>
      <c r="B210">
        <v>410.16556463984773</v>
      </c>
      <c r="C210">
        <v>2443.7713197705198</v>
      </c>
      <c r="D210">
        <v>885.86683387153994</v>
      </c>
      <c r="E210">
        <v>1183.6201186936232</v>
      </c>
      <c r="F210">
        <v>0.96669704953003521</v>
      </c>
      <c r="G210">
        <v>0.83370662625116432</v>
      </c>
      <c r="H210">
        <v>9.4532097687803646E-3</v>
      </c>
      <c r="I210">
        <v>0.13947257633363755</v>
      </c>
      <c r="J210">
        <v>0.49570839499542113</v>
      </c>
      <c r="L210">
        <v>9980.2128627125658</v>
      </c>
      <c r="M210">
        <v>10.4520244208144</v>
      </c>
      <c r="N210">
        <v>9.7595836984957405</v>
      </c>
      <c r="O210">
        <v>17419.422487237538</v>
      </c>
      <c r="P210">
        <v>11.59021652351796</v>
      </c>
      <c r="Q210">
        <v>10.961294977465887</v>
      </c>
      <c r="S210">
        <f t="shared" si="14"/>
        <v>965978.15698686149</v>
      </c>
      <c r="T210">
        <f t="shared" si="15"/>
        <v>1078710.0752593512</v>
      </c>
      <c r="V210">
        <f t="shared" si="12"/>
        <v>0</v>
      </c>
      <c r="W210">
        <f t="shared" si="13"/>
        <v>1</v>
      </c>
    </row>
    <row r="211" spans="1:23" x14ac:dyDescent="0.2">
      <c r="A211">
        <v>206</v>
      </c>
      <c r="B211">
        <v>453.48647995699986</v>
      </c>
      <c r="C211">
        <v>1852.4095375090542</v>
      </c>
      <c r="D211">
        <v>968.20755585656923</v>
      </c>
      <c r="E211">
        <v>591.96111033875297</v>
      </c>
      <c r="F211">
        <v>0.91901417749561021</v>
      </c>
      <c r="G211">
        <v>0.65011042174623568</v>
      </c>
      <c r="H211">
        <v>8.4692986901214306E-3</v>
      </c>
      <c r="I211">
        <v>0.13583273235705387</v>
      </c>
      <c r="J211">
        <v>0.50043340852767804</v>
      </c>
      <c r="L211">
        <v>8556.0827168645192</v>
      </c>
      <c r="M211">
        <v>10.680507292857127</v>
      </c>
      <c r="N211">
        <v>9.140680653710044</v>
      </c>
      <c r="O211">
        <v>17614.886888061337</v>
      </c>
      <c r="P211">
        <v>11.761712518169146</v>
      </c>
      <c r="Q211">
        <v>10.339196239384556</v>
      </c>
      <c r="S211">
        <f t="shared" si="14"/>
        <v>905511.98265413987</v>
      </c>
      <c r="T211">
        <f t="shared" si="15"/>
        <v>1016304.7370503943</v>
      </c>
      <c r="V211">
        <f t="shared" si="12"/>
        <v>0</v>
      </c>
      <c r="W211">
        <f t="shared" si="13"/>
        <v>1</v>
      </c>
    </row>
    <row r="212" spans="1:23" x14ac:dyDescent="0.2">
      <c r="A212">
        <v>207</v>
      </c>
      <c r="B212">
        <v>534.12131461111164</v>
      </c>
      <c r="C212">
        <v>2760.1626498695555</v>
      </c>
      <c r="D212">
        <v>865.4563819726194</v>
      </c>
      <c r="E212">
        <v>683.90573053813785</v>
      </c>
      <c r="F212">
        <v>0.9300227778592286</v>
      </c>
      <c r="G212">
        <v>0.72418803435404122</v>
      </c>
      <c r="H212">
        <v>1.0766961845927722E-2</v>
      </c>
      <c r="I212">
        <v>0.18405971421088019</v>
      </c>
      <c r="J212">
        <v>0.62798579575781643</v>
      </c>
      <c r="L212">
        <v>10579.7098556526</v>
      </c>
      <c r="M212">
        <v>9.7752919050065028</v>
      </c>
      <c r="N212">
        <v>8.6222788572959743</v>
      </c>
      <c r="O212">
        <v>17690.631056340051</v>
      </c>
      <c r="P212">
        <v>10.65939075124604</v>
      </c>
      <c r="Q212">
        <v>9.5296318834613132</v>
      </c>
      <c r="S212">
        <f t="shared" si="14"/>
        <v>851648.17587394477</v>
      </c>
      <c r="T212">
        <f t="shared" si="15"/>
        <v>935272.55728979129</v>
      </c>
      <c r="V212">
        <f t="shared" si="12"/>
        <v>0</v>
      </c>
      <c r="W212">
        <f t="shared" si="13"/>
        <v>1</v>
      </c>
    </row>
    <row r="213" spans="1:23" x14ac:dyDescent="0.2">
      <c r="A213">
        <v>208</v>
      </c>
      <c r="B213">
        <v>532.9270449239807</v>
      </c>
      <c r="C213">
        <v>3086.4092252300647</v>
      </c>
      <c r="D213">
        <v>1042.8635661106796</v>
      </c>
      <c r="E213">
        <v>752.87863996049043</v>
      </c>
      <c r="F213">
        <v>0.95573103372153156</v>
      </c>
      <c r="G213">
        <v>0.82039763531084564</v>
      </c>
      <c r="H213">
        <v>1.0058257932403926E-2</v>
      </c>
      <c r="I213">
        <v>0.16135651895924474</v>
      </c>
      <c r="J213">
        <v>0.52801907014200289</v>
      </c>
      <c r="L213">
        <v>11870.544381368463</v>
      </c>
      <c r="M213">
        <v>10.111477476121976</v>
      </c>
      <c r="N213">
        <v>9.3359184104931376</v>
      </c>
      <c r="O213">
        <v>20633.140264295649</v>
      </c>
      <c r="P213">
        <v>11.235549196102973</v>
      </c>
      <c r="Q213">
        <v>10.495351792037354</v>
      </c>
      <c r="S213">
        <f t="shared" si="14"/>
        <v>921721.29666794534</v>
      </c>
      <c r="T213">
        <f t="shared" si="15"/>
        <v>1028902.0389394398</v>
      </c>
      <c r="V213">
        <f t="shared" si="12"/>
        <v>0</v>
      </c>
      <c r="W213">
        <f t="shared" si="13"/>
        <v>1</v>
      </c>
    </row>
    <row r="214" spans="1:23" x14ac:dyDescent="0.2">
      <c r="A214">
        <v>209</v>
      </c>
      <c r="B214">
        <v>242.0337018344724</v>
      </c>
      <c r="C214">
        <v>2819.7831448754873</v>
      </c>
      <c r="D214">
        <v>1026.8545837041515</v>
      </c>
      <c r="E214">
        <v>920.07973189161783</v>
      </c>
      <c r="F214">
        <v>0.96669495953939866</v>
      </c>
      <c r="G214">
        <v>0.72355860973395947</v>
      </c>
      <c r="H214">
        <v>9.908171052791721E-3</v>
      </c>
      <c r="I214">
        <v>0.14396702971593917</v>
      </c>
      <c r="J214">
        <v>0.49698441606826266</v>
      </c>
      <c r="L214">
        <v>9514.6291457476018</v>
      </c>
      <c r="M214">
        <v>10.319652962156107</v>
      </c>
      <c r="N214">
        <v>9.3464594369517773</v>
      </c>
      <c r="O214">
        <v>17674.183451532142</v>
      </c>
      <c r="P214">
        <v>11.481776499532502</v>
      </c>
      <c r="Q214">
        <v>10.650890019075447</v>
      </c>
      <c r="S214">
        <f t="shared" si="14"/>
        <v>925131.31454943004</v>
      </c>
      <c r="T214">
        <f t="shared" si="15"/>
        <v>1047414.8184560125</v>
      </c>
      <c r="V214">
        <f t="shared" si="12"/>
        <v>0</v>
      </c>
      <c r="W214">
        <f t="shared" si="13"/>
        <v>1</v>
      </c>
    </row>
    <row r="215" spans="1:23" x14ac:dyDescent="0.2">
      <c r="A215">
        <v>210</v>
      </c>
      <c r="B215">
        <v>478.16468357385952</v>
      </c>
      <c r="C215">
        <v>3115.4499506857801</v>
      </c>
      <c r="D215">
        <v>962.92437368541277</v>
      </c>
      <c r="E215">
        <v>1087.3274219118941</v>
      </c>
      <c r="F215">
        <v>0.97965424450045369</v>
      </c>
      <c r="G215">
        <v>0.64753433990566567</v>
      </c>
      <c r="H215">
        <v>1.0486248339730749E-2</v>
      </c>
      <c r="I215">
        <v>0.18395263953933882</v>
      </c>
      <c r="J215">
        <v>0.51455214826166762</v>
      </c>
      <c r="L215">
        <v>11101.239764368032</v>
      </c>
      <c r="M215">
        <v>9.8275597688262266</v>
      </c>
      <c r="N215">
        <v>8.8782200300846874</v>
      </c>
      <c r="O215">
        <v>19057.803217044169</v>
      </c>
      <c r="P215">
        <v>11.062331124366425</v>
      </c>
      <c r="Q215">
        <v>10.28513757611038</v>
      </c>
      <c r="S215">
        <f t="shared" si="14"/>
        <v>876720.76324410073</v>
      </c>
      <c r="T215">
        <f t="shared" si="15"/>
        <v>1009455.9543939937</v>
      </c>
      <c r="V215">
        <f t="shared" si="12"/>
        <v>0</v>
      </c>
      <c r="W215">
        <f t="shared" si="13"/>
        <v>1</v>
      </c>
    </row>
    <row r="216" spans="1:23" x14ac:dyDescent="0.2">
      <c r="A216">
        <v>211</v>
      </c>
      <c r="B216">
        <v>413.10181183892536</v>
      </c>
      <c r="C216">
        <v>1992.6339244035489</v>
      </c>
      <c r="D216">
        <v>1063.7930787437235</v>
      </c>
      <c r="E216">
        <v>1216.9087330684065</v>
      </c>
      <c r="F216">
        <v>0.95006754443096764</v>
      </c>
      <c r="G216">
        <v>0.81336298589992317</v>
      </c>
      <c r="H216">
        <v>9.1950671667541065E-3</v>
      </c>
      <c r="I216">
        <v>0.17003087283023532</v>
      </c>
      <c r="J216">
        <v>0.42571638310382443</v>
      </c>
      <c r="L216">
        <v>8245.5489144394596</v>
      </c>
      <c r="M216">
        <v>10.197874554268195</v>
      </c>
      <c r="N216">
        <v>9.3800674552385228</v>
      </c>
      <c r="O216">
        <v>18271.346141343784</v>
      </c>
      <c r="P216">
        <v>11.660184419301594</v>
      </c>
      <c r="Q216">
        <v>10.879242652237501</v>
      </c>
      <c r="S216">
        <f t="shared" si="14"/>
        <v>929761.19660941279</v>
      </c>
      <c r="T216">
        <f t="shared" si="15"/>
        <v>1069652.9190824064</v>
      </c>
      <c r="V216">
        <f t="shared" si="12"/>
        <v>0</v>
      </c>
      <c r="W216">
        <f t="shared" si="13"/>
        <v>1</v>
      </c>
    </row>
    <row r="217" spans="1:23" x14ac:dyDescent="0.2">
      <c r="A217">
        <v>212</v>
      </c>
      <c r="B217">
        <v>465.22183596916159</v>
      </c>
      <c r="C217">
        <v>2779.1591608447179</v>
      </c>
      <c r="D217">
        <v>971.0839536345992</v>
      </c>
      <c r="E217">
        <v>1085.222096465202</v>
      </c>
      <c r="F217">
        <v>0.9514277324669258</v>
      </c>
      <c r="G217">
        <v>0.93064716488543842</v>
      </c>
      <c r="H217">
        <v>1.0742450923070895E-2</v>
      </c>
      <c r="I217">
        <v>0.17769502899183842</v>
      </c>
      <c r="J217">
        <v>0.60769543315193464</v>
      </c>
      <c r="L217">
        <v>10420.730040226048</v>
      </c>
      <c r="M217">
        <v>9.8351067667556613</v>
      </c>
      <c r="N217">
        <v>9.308937835704894</v>
      </c>
      <c r="O217">
        <v>18346.663781313509</v>
      </c>
      <c r="P217">
        <v>10.76701001902555</v>
      </c>
      <c r="Q217">
        <v>10.205034229023925</v>
      </c>
      <c r="S217">
        <f t="shared" si="14"/>
        <v>920473.05353026337</v>
      </c>
      <c r="T217">
        <f t="shared" si="15"/>
        <v>1002156.759121079</v>
      </c>
      <c r="V217">
        <f t="shared" si="12"/>
        <v>0</v>
      </c>
      <c r="W217">
        <f t="shared" si="13"/>
        <v>1</v>
      </c>
    </row>
    <row r="218" spans="1:23" x14ac:dyDescent="0.2">
      <c r="A218">
        <v>213</v>
      </c>
      <c r="B218">
        <v>666.59748280981955</v>
      </c>
      <c r="C218">
        <v>2553.968185202416</v>
      </c>
      <c r="D218">
        <v>1067.2496756113042</v>
      </c>
      <c r="E218">
        <v>618.73329842027954</v>
      </c>
      <c r="F218">
        <v>0.96373852720324715</v>
      </c>
      <c r="G218">
        <v>0.85561507542840731</v>
      </c>
      <c r="H218">
        <v>9.1020489675523193E-3</v>
      </c>
      <c r="I218">
        <v>0.14650682935709053</v>
      </c>
      <c r="J218">
        <v>0.52395368383942365</v>
      </c>
      <c r="L218">
        <v>11851.714338724138</v>
      </c>
      <c r="M218">
        <v>10.441775888715018</v>
      </c>
      <c r="N218">
        <v>9.7957736867160463</v>
      </c>
      <c r="O218">
        <v>21591.345860823272</v>
      </c>
      <c r="P218">
        <v>11.511341547716061</v>
      </c>
      <c r="Q218">
        <v>10.900125788470342</v>
      </c>
      <c r="S218">
        <f t="shared" si="14"/>
        <v>967725.65433288051</v>
      </c>
      <c r="T218">
        <f t="shared" si="15"/>
        <v>1068421.2329862108</v>
      </c>
      <c r="V218">
        <f t="shared" si="12"/>
        <v>0</v>
      </c>
      <c r="W218">
        <f t="shared" si="13"/>
        <v>1</v>
      </c>
    </row>
    <row r="219" spans="1:23" x14ac:dyDescent="0.2">
      <c r="A219">
        <v>214</v>
      </c>
      <c r="B219">
        <v>319.68698245196072</v>
      </c>
      <c r="C219">
        <v>3399.2418440094207</v>
      </c>
      <c r="D219">
        <v>906.29009733440159</v>
      </c>
      <c r="E219">
        <v>663.98377497307615</v>
      </c>
      <c r="F219">
        <v>0.98487234562704462</v>
      </c>
      <c r="G219">
        <v>0.78299355345861976</v>
      </c>
      <c r="H219">
        <v>9.698261841665801E-3</v>
      </c>
      <c r="I219">
        <v>0.16121036170085268</v>
      </c>
      <c r="J219">
        <v>0.48616999931989008</v>
      </c>
      <c r="L219">
        <v>10868.257615369472</v>
      </c>
      <c r="M219">
        <v>10.180096899332993</v>
      </c>
      <c r="N219">
        <v>9.543741876649257</v>
      </c>
      <c r="O219">
        <v>17839.248660205976</v>
      </c>
      <c r="P219">
        <v>11.42733343541861</v>
      </c>
      <c r="Q219">
        <v>10.915424644910743</v>
      </c>
      <c r="S219">
        <f t="shared" si="14"/>
        <v>943505.93004955619</v>
      </c>
      <c r="T219">
        <f t="shared" si="15"/>
        <v>1073703.2158308686</v>
      </c>
      <c r="V219">
        <f t="shared" si="12"/>
        <v>0</v>
      </c>
      <c r="W219">
        <f t="shared" si="13"/>
        <v>1</v>
      </c>
    </row>
    <row r="220" spans="1:23" x14ac:dyDescent="0.2">
      <c r="A220">
        <v>215</v>
      </c>
      <c r="B220">
        <v>393.67058548666557</v>
      </c>
      <c r="C220">
        <v>2391.3495760003748</v>
      </c>
      <c r="D220">
        <v>949.22935319111662</v>
      </c>
      <c r="E220">
        <v>939.62452086178689</v>
      </c>
      <c r="F220">
        <v>0.91932077904579246</v>
      </c>
      <c r="G220">
        <v>0.72576506580285471</v>
      </c>
      <c r="H220">
        <v>9.4517522005074222E-3</v>
      </c>
      <c r="I220">
        <v>0.12910427182761572</v>
      </c>
      <c r="J220">
        <v>0.4581900143614856</v>
      </c>
      <c r="L220">
        <v>9907.3736170266475</v>
      </c>
      <c r="M220">
        <v>10.574147797316266</v>
      </c>
      <c r="N220">
        <v>9.1962983369891091</v>
      </c>
      <c r="O220">
        <v>17955.334943972535</v>
      </c>
      <c r="P220">
        <v>11.78316809551678</v>
      </c>
      <c r="Q220">
        <v>10.47978359697273</v>
      </c>
      <c r="S220">
        <f t="shared" si="14"/>
        <v>909722.46008188429</v>
      </c>
      <c r="T220">
        <f t="shared" si="15"/>
        <v>1030023.0247533005</v>
      </c>
      <c r="V220">
        <f t="shared" si="12"/>
        <v>0</v>
      </c>
      <c r="W220">
        <f t="shared" si="13"/>
        <v>1</v>
      </c>
    </row>
    <row r="221" spans="1:23" x14ac:dyDescent="0.2">
      <c r="A221">
        <v>216</v>
      </c>
      <c r="B221">
        <v>612.12274915669366</v>
      </c>
      <c r="C221">
        <v>2506.5491104738312</v>
      </c>
      <c r="D221">
        <v>1021.0717589987534</v>
      </c>
      <c r="E221">
        <v>1219.2902969955949</v>
      </c>
      <c r="F221">
        <v>0.92699137414836785</v>
      </c>
      <c r="G221">
        <v>0.90976315867807256</v>
      </c>
      <c r="H221">
        <v>1.0797205098834379E-2</v>
      </c>
      <c r="I221">
        <v>0.13753329429694</v>
      </c>
      <c r="J221">
        <v>0.64935848191242806</v>
      </c>
      <c r="L221">
        <v>11951.342234444965</v>
      </c>
      <c r="M221">
        <v>10.243898021474346</v>
      </c>
      <c r="N221">
        <v>9.4485440405444123</v>
      </c>
      <c r="O221">
        <v>20304.702318944175</v>
      </c>
      <c r="P221">
        <v>10.977600376116365</v>
      </c>
      <c r="Q221">
        <v>10.136818208772434</v>
      </c>
      <c r="S221">
        <f t="shared" si="14"/>
        <v>932903.06181999634</v>
      </c>
      <c r="T221">
        <f t="shared" si="15"/>
        <v>993377.11855829926</v>
      </c>
      <c r="V221">
        <f t="shared" si="12"/>
        <v>0</v>
      </c>
      <c r="W221">
        <f t="shared" si="13"/>
        <v>1</v>
      </c>
    </row>
    <row r="222" spans="1:23" x14ac:dyDescent="0.2">
      <c r="A222">
        <v>217</v>
      </c>
      <c r="B222">
        <v>353.71768976415621</v>
      </c>
      <c r="C222">
        <v>2759.3590865297542</v>
      </c>
      <c r="D222">
        <v>1165.6466843051824</v>
      </c>
      <c r="E222">
        <v>1048.969983825016</v>
      </c>
      <c r="F222">
        <v>0.9618775470614721</v>
      </c>
      <c r="G222">
        <v>0.76954144951308368</v>
      </c>
      <c r="H222">
        <v>7.5515468515426048E-3</v>
      </c>
      <c r="I222">
        <v>0.17687502625591067</v>
      </c>
      <c r="J222">
        <v>0.54683974808564717</v>
      </c>
      <c r="L222">
        <v>8944.8378626573503</v>
      </c>
      <c r="M222">
        <v>10.507884452080543</v>
      </c>
      <c r="N222">
        <v>9.7192369114848631</v>
      </c>
      <c r="O222">
        <v>19623.73623093795</v>
      </c>
      <c r="P222">
        <v>11.541862377854848</v>
      </c>
      <c r="Q222">
        <v>10.820215636330143</v>
      </c>
      <c r="S222">
        <f t="shared" si="14"/>
        <v>962978.85328582895</v>
      </c>
      <c r="T222">
        <f t="shared" si="15"/>
        <v>1062397.8274020765</v>
      </c>
      <c r="V222">
        <f t="shared" si="12"/>
        <v>0</v>
      </c>
      <c r="W222">
        <f t="shared" si="13"/>
        <v>1</v>
      </c>
    </row>
    <row r="223" spans="1:23" x14ac:dyDescent="0.2">
      <c r="A223">
        <v>218</v>
      </c>
      <c r="B223">
        <v>371.88593109037663</v>
      </c>
      <c r="C223">
        <v>3178.6624212942743</v>
      </c>
      <c r="D223">
        <v>1081.2697546226302</v>
      </c>
      <c r="E223">
        <v>1118.282833359983</v>
      </c>
      <c r="F223">
        <v>0.95263818244329879</v>
      </c>
      <c r="G223">
        <v>0.67731847685621538</v>
      </c>
      <c r="H223">
        <v>9.7618933555879365E-3</v>
      </c>
      <c r="I223">
        <v>0.14428622902253618</v>
      </c>
      <c r="J223">
        <v>0.63767544985064795</v>
      </c>
      <c r="L223">
        <v>11474.093529539829</v>
      </c>
      <c r="M223">
        <v>10.342334822880177</v>
      </c>
      <c r="N223">
        <v>9.1449469504146847</v>
      </c>
      <c r="O223">
        <v>20088.328519283859</v>
      </c>
      <c r="P223">
        <v>11.109648148965908</v>
      </c>
      <c r="Q223">
        <v>10.007948320741802</v>
      </c>
      <c r="S223">
        <f t="shared" si="14"/>
        <v>903020.6015119286</v>
      </c>
      <c r="T223">
        <f t="shared" si="15"/>
        <v>980706.50355489622</v>
      </c>
      <c r="V223">
        <f t="shared" si="12"/>
        <v>0</v>
      </c>
      <c r="W223">
        <f t="shared" si="13"/>
        <v>1</v>
      </c>
    </row>
    <row r="224" spans="1:23" x14ac:dyDescent="0.2">
      <c r="A224">
        <v>219</v>
      </c>
      <c r="B224">
        <v>417.91230695632333</v>
      </c>
      <c r="C224">
        <v>3140.6221578681107</v>
      </c>
      <c r="D224">
        <v>1017.8117979757569</v>
      </c>
      <c r="E224">
        <v>874.61997560199188</v>
      </c>
      <c r="F224">
        <v>0.94151933259777576</v>
      </c>
      <c r="G224">
        <v>0.78694239520336873</v>
      </c>
      <c r="H224">
        <v>9.4172261277102407E-3</v>
      </c>
      <c r="I224">
        <v>0.14867521586819601</v>
      </c>
      <c r="J224">
        <v>0.51966464221908693</v>
      </c>
      <c r="L224">
        <v>11419.632544850851</v>
      </c>
      <c r="M224">
        <v>10.358905276884117</v>
      </c>
      <c r="N224">
        <v>9.3689073628070396</v>
      </c>
      <c r="O224">
        <v>19756.149531221639</v>
      </c>
      <c r="P224">
        <v>11.45607248529482</v>
      </c>
      <c r="Q224">
        <v>10.507410907745886</v>
      </c>
      <c r="S224">
        <f t="shared" si="14"/>
        <v>925471.1037358531</v>
      </c>
      <c r="T224">
        <f t="shared" si="15"/>
        <v>1030984.9412433669</v>
      </c>
      <c r="V224">
        <f t="shared" si="12"/>
        <v>0</v>
      </c>
      <c r="W224">
        <f t="shared" si="13"/>
        <v>1</v>
      </c>
    </row>
    <row r="225" spans="1:23" x14ac:dyDescent="0.2">
      <c r="A225">
        <v>220</v>
      </c>
      <c r="B225">
        <v>327.58051070646638</v>
      </c>
      <c r="C225">
        <v>3121.053629896744</v>
      </c>
      <c r="D225">
        <v>986.6891692193559</v>
      </c>
      <c r="E225">
        <v>900.0016018496467</v>
      </c>
      <c r="F225">
        <v>0.95165170162581614</v>
      </c>
      <c r="G225">
        <v>0.74148266131984664</v>
      </c>
      <c r="H225">
        <v>1.0150782526810728E-2</v>
      </c>
      <c r="I225">
        <v>0.14870557022099082</v>
      </c>
      <c r="J225">
        <v>0.38004524955422053</v>
      </c>
      <c r="L225">
        <v>10849.799837820932</v>
      </c>
      <c r="M225">
        <v>10.224779171806682</v>
      </c>
      <c r="N225">
        <v>9.1919325247271164</v>
      </c>
      <c r="O225">
        <v>18552.167208779709</v>
      </c>
      <c r="P225">
        <v>11.805847993046477</v>
      </c>
      <c r="Q225">
        <v>10.906245824281285</v>
      </c>
      <c r="S225">
        <f t="shared" si="14"/>
        <v>908343.45263489068</v>
      </c>
      <c r="T225">
        <f t="shared" si="15"/>
        <v>1072072.4152193489</v>
      </c>
      <c r="V225">
        <f t="shared" si="12"/>
        <v>0</v>
      </c>
      <c r="W225">
        <f t="shared" si="13"/>
        <v>1</v>
      </c>
    </row>
    <row r="226" spans="1:23" x14ac:dyDescent="0.2">
      <c r="A226">
        <v>221</v>
      </c>
      <c r="B226">
        <v>585.89493908165684</v>
      </c>
      <c r="C226">
        <v>3077.2924896972686</v>
      </c>
      <c r="D226">
        <v>1059.3283081470727</v>
      </c>
      <c r="E226">
        <v>1170.7865636402566</v>
      </c>
      <c r="F226">
        <v>0.94777764298470202</v>
      </c>
      <c r="G226">
        <v>0.76436740810702075</v>
      </c>
      <c r="H226">
        <v>1.0682118458523515E-2</v>
      </c>
      <c r="I226">
        <v>0.13691507000036887</v>
      </c>
      <c r="J226">
        <v>0.50980019330107051</v>
      </c>
      <c r="L226">
        <v>13311.645265427478</v>
      </c>
      <c r="M226">
        <v>10.270037311105092</v>
      </c>
      <c r="N226">
        <v>9.2291732306077296</v>
      </c>
      <c r="O226">
        <v>21930.619734864817</v>
      </c>
      <c r="P226">
        <v>11.385054337821961</v>
      </c>
      <c r="Q226">
        <v>10.421960014732337</v>
      </c>
      <c r="S226">
        <f t="shared" si="14"/>
        <v>909605.67779534543</v>
      </c>
      <c r="T226">
        <f t="shared" si="15"/>
        <v>1020265.3817383689</v>
      </c>
      <c r="V226">
        <f t="shared" si="12"/>
        <v>0</v>
      </c>
      <c r="W226">
        <f t="shared" si="13"/>
        <v>1</v>
      </c>
    </row>
    <row r="227" spans="1:23" x14ac:dyDescent="0.2">
      <c r="A227">
        <v>222</v>
      </c>
      <c r="B227">
        <v>349.88075787240956</v>
      </c>
      <c r="C227">
        <v>2997.2404717383952</v>
      </c>
      <c r="D227">
        <v>834.74189694760139</v>
      </c>
      <c r="E227">
        <v>575.02895070244074</v>
      </c>
      <c r="F227">
        <v>0.9547744617943702</v>
      </c>
      <c r="G227">
        <v>0.67047678475224259</v>
      </c>
      <c r="H227">
        <v>8.2729050057689414E-3</v>
      </c>
      <c r="I227">
        <v>0.11966385292860507</v>
      </c>
      <c r="J227">
        <v>0.55752318052199112</v>
      </c>
      <c r="L227">
        <v>11073.371727428632</v>
      </c>
      <c r="M227">
        <v>10.908127041316083</v>
      </c>
      <c r="N227">
        <v>9.6552391625524034</v>
      </c>
      <c r="O227">
        <v>17661.38388406832</v>
      </c>
      <c r="P227">
        <v>11.776079106334551</v>
      </c>
      <c r="Q227">
        <v>10.682713799700517</v>
      </c>
      <c r="S227">
        <f t="shared" si="14"/>
        <v>954450.5445278117</v>
      </c>
      <c r="T227">
        <f t="shared" si="15"/>
        <v>1050609.9960859835</v>
      </c>
      <c r="V227">
        <f t="shared" si="12"/>
        <v>0</v>
      </c>
      <c r="W227">
        <f t="shared" si="13"/>
        <v>1</v>
      </c>
    </row>
    <row r="228" spans="1:23" x14ac:dyDescent="0.2">
      <c r="A228">
        <v>223</v>
      </c>
      <c r="B228">
        <v>435.57779931816134</v>
      </c>
      <c r="C228">
        <v>2603.246908441688</v>
      </c>
      <c r="D228">
        <v>1028.4839177808014</v>
      </c>
      <c r="E228">
        <v>482.38207936499555</v>
      </c>
      <c r="F228">
        <v>0.95369966654536986</v>
      </c>
      <c r="G228">
        <v>0.72408375908527933</v>
      </c>
      <c r="H228">
        <v>1.0368232192353811E-2</v>
      </c>
      <c r="I228">
        <v>0.12313207011233543</v>
      </c>
      <c r="J228">
        <v>0.51249234899566309</v>
      </c>
      <c r="L228">
        <v>11017.448800359747</v>
      </c>
      <c r="M228">
        <v>10.497013197607442</v>
      </c>
      <c r="N228">
        <v>9.3464839383180696</v>
      </c>
      <c r="O228">
        <v>19427.067697615588</v>
      </c>
      <c r="P228">
        <v>11.545573536547019</v>
      </c>
      <c r="Q228">
        <v>10.527549258194142</v>
      </c>
      <c r="S228">
        <f t="shared" si="14"/>
        <v>923630.94503144722</v>
      </c>
      <c r="T228">
        <f t="shared" si="15"/>
        <v>1033327.8581217986</v>
      </c>
      <c r="V228">
        <f t="shared" si="12"/>
        <v>0</v>
      </c>
      <c r="W228">
        <f t="shared" si="13"/>
        <v>1</v>
      </c>
    </row>
    <row r="229" spans="1:23" x14ac:dyDescent="0.2">
      <c r="A229">
        <v>224</v>
      </c>
      <c r="B229">
        <v>699.62867563020359</v>
      </c>
      <c r="C229">
        <v>4013.4798251613729</v>
      </c>
      <c r="D229">
        <v>1153.3501291260995</v>
      </c>
      <c r="E229">
        <v>976.59265177791474</v>
      </c>
      <c r="F229">
        <v>0.90537896613235147</v>
      </c>
      <c r="G229">
        <v>0.57253006755567093</v>
      </c>
      <c r="H229">
        <v>1.2232837878009715E-2</v>
      </c>
      <c r="I229">
        <v>0.14255615922488762</v>
      </c>
      <c r="J229">
        <v>0.52446370324713465</v>
      </c>
      <c r="L229">
        <v>16721.32346864112</v>
      </c>
      <c r="M229">
        <v>9.9629120680902368</v>
      </c>
      <c r="N229">
        <v>8.0802926282169789</v>
      </c>
      <c r="O229">
        <v>25440.228601861963</v>
      </c>
      <c r="P229">
        <v>11.075723205161943</v>
      </c>
      <c r="Q229">
        <v>9.3160457701648038</v>
      </c>
      <c r="S229">
        <f t="shared" si="14"/>
        <v>791307.93935305672</v>
      </c>
      <c r="T229">
        <f t="shared" si="15"/>
        <v>906164.34841461841</v>
      </c>
      <c r="V229">
        <f t="shared" si="12"/>
        <v>0</v>
      </c>
      <c r="W229">
        <f t="shared" si="13"/>
        <v>1</v>
      </c>
    </row>
    <row r="230" spans="1:23" x14ac:dyDescent="0.2">
      <c r="A230">
        <v>225</v>
      </c>
      <c r="B230">
        <v>510.51711953446079</v>
      </c>
      <c r="C230">
        <v>2876.6457722501909</v>
      </c>
      <c r="D230">
        <v>1047.4530590593788</v>
      </c>
      <c r="E230">
        <v>487.74447957133901</v>
      </c>
      <c r="F230">
        <v>0.96066513187168923</v>
      </c>
      <c r="G230">
        <v>0.74004715101848206</v>
      </c>
      <c r="H230">
        <v>9.4231668125709482E-3</v>
      </c>
      <c r="I230">
        <v>0.13885685880155757</v>
      </c>
      <c r="J230">
        <v>0.61575552365388486</v>
      </c>
      <c r="L230">
        <v>11652.912488807478</v>
      </c>
      <c r="M230">
        <v>10.464474678097023</v>
      </c>
      <c r="N230">
        <v>9.4808268637945954</v>
      </c>
      <c r="O230">
        <v>20416.506645988768</v>
      </c>
      <c r="P230">
        <v>11.269704989795875</v>
      </c>
      <c r="Q230">
        <v>10.371517307575571</v>
      </c>
      <c r="S230">
        <f t="shared" si="14"/>
        <v>936429.77389065211</v>
      </c>
      <c r="T230">
        <f t="shared" si="15"/>
        <v>1016735.2241115683</v>
      </c>
      <c r="V230">
        <f t="shared" si="12"/>
        <v>0</v>
      </c>
      <c r="W230">
        <f t="shared" si="13"/>
        <v>1</v>
      </c>
    </row>
    <row r="231" spans="1:23" x14ac:dyDescent="0.2">
      <c r="A231">
        <v>226</v>
      </c>
      <c r="B231">
        <v>277.54513379727229</v>
      </c>
      <c r="C231">
        <v>2679.2454090717993</v>
      </c>
      <c r="D231">
        <v>821.15909167891209</v>
      </c>
      <c r="E231">
        <v>1076.1817902405942</v>
      </c>
      <c r="F231">
        <v>0.93241211512229882</v>
      </c>
      <c r="G231">
        <v>0.72672330708027222</v>
      </c>
      <c r="H231">
        <v>1.1020674580617753E-2</v>
      </c>
      <c r="I231">
        <v>0.15209340392818627</v>
      </c>
      <c r="J231">
        <v>0.44723037706048135</v>
      </c>
      <c r="L231">
        <v>9477.5589542538783</v>
      </c>
      <c r="M231">
        <v>10.039733534465128</v>
      </c>
      <c r="N231">
        <v>8.8246872582594147</v>
      </c>
      <c r="O231">
        <v>15661.813671966795</v>
      </c>
      <c r="P231">
        <v>11.420297528849298</v>
      </c>
      <c r="Q231">
        <v>10.281169081220035</v>
      </c>
      <c r="S231">
        <f t="shared" si="14"/>
        <v>872991.16687168751</v>
      </c>
      <c r="T231">
        <f t="shared" si="15"/>
        <v>1012455.0944500368</v>
      </c>
      <c r="V231">
        <f t="shared" si="12"/>
        <v>0</v>
      </c>
      <c r="W231">
        <f t="shared" si="13"/>
        <v>1</v>
      </c>
    </row>
    <row r="232" spans="1:23" x14ac:dyDescent="0.2">
      <c r="A232">
        <v>227</v>
      </c>
      <c r="B232">
        <v>467.459742607191</v>
      </c>
      <c r="C232">
        <v>2318.5640739715104</v>
      </c>
      <c r="D232">
        <v>1073.9433350505453</v>
      </c>
      <c r="E232">
        <v>1059.5456151865408</v>
      </c>
      <c r="F232">
        <v>0.92260026099740666</v>
      </c>
      <c r="G232">
        <v>0.62428035771038493</v>
      </c>
      <c r="H232">
        <v>1.2363484139097396E-2</v>
      </c>
      <c r="I232">
        <v>0.15007705140167105</v>
      </c>
      <c r="J232">
        <v>0.5293909189627285</v>
      </c>
      <c r="L232">
        <v>10122.963332205591</v>
      </c>
      <c r="M232">
        <v>9.8538268617966658</v>
      </c>
      <c r="N232">
        <v>8.2724150009706214</v>
      </c>
      <c r="O232">
        <v>18878.883608033106</v>
      </c>
      <c r="P232">
        <v>10.976529400591096</v>
      </c>
      <c r="Q232">
        <v>9.5024970675286653</v>
      </c>
      <c r="S232">
        <f t="shared" si="14"/>
        <v>817118.53676485654</v>
      </c>
      <c r="T232">
        <f t="shared" si="15"/>
        <v>931370.82314483344</v>
      </c>
      <c r="V232">
        <f t="shared" si="12"/>
        <v>0</v>
      </c>
      <c r="W232">
        <f t="shared" si="13"/>
        <v>1</v>
      </c>
    </row>
    <row r="233" spans="1:23" x14ac:dyDescent="0.2">
      <c r="A233">
        <v>228</v>
      </c>
      <c r="B233">
        <v>614.31592555727309</v>
      </c>
      <c r="C233">
        <v>3030.6104598450884</v>
      </c>
      <c r="D233">
        <v>1131.0566881415373</v>
      </c>
      <c r="E233">
        <v>692.02736548740847</v>
      </c>
      <c r="F233">
        <v>0.95352338717300711</v>
      </c>
      <c r="G233">
        <v>0.73431959048251116</v>
      </c>
      <c r="H233">
        <v>9.4482976823607005E-3</v>
      </c>
      <c r="I233">
        <v>0.16776298307509729</v>
      </c>
      <c r="J233">
        <v>0.50045479592225306</v>
      </c>
      <c r="L233">
        <v>12078.678922590479</v>
      </c>
      <c r="M233">
        <v>10.167380471791651</v>
      </c>
      <c r="N233">
        <v>9.1899569203154101</v>
      </c>
      <c r="O233">
        <v>22163.020523255545</v>
      </c>
      <c r="P233">
        <v>11.381098965122916</v>
      </c>
      <c r="Q233">
        <v>10.492560079131467</v>
      </c>
      <c r="S233">
        <f t="shared" si="14"/>
        <v>906917.01310895057</v>
      </c>
      <c r="T233">
        <f t="shared" si="15"/>
        <v>1027092.9873898911</v>
      </c>
      <c r="V233">
        <f t="shared" si="12"/>
        <v>0</v>
      </c>
      <c r="W233">
        <f t="shared" si="13"/>
        <v>1</v>
      </c>
    </row>
    <row r="234" spans="1:23" x14ac:dyDescent="0.2">
      <c r="A234">
        <v>229</v>
      </c>
      <c r="B234">
        <v>567.39556233749192</v>
      </c>
      <c r="C234">
        <v>2615.3601160449648</v>
      </c>
      <c r="D234">
        <v>1135.4884008160866</v>
      </c>
      <c r="E234">
        <v>1307.2620318184936</v>
      </c>
      <c r="F234">
        <v>0.96356485990759388</v>
      </c>
      <c r="G234">
        <v>0.65030040335579808</v>
      </c>
      <c r="H234">
        <v>8.8977171275950711E-3</v>
      </c>
      <c r="I234">
        <v>0.12552306258670015</v>
      </c>
      <c r="J234">
        <v>0.50445964282814593</v>
      </c>
      <c r="L234">
        <v>12021.998447845366</v>
      </c>
      <c r="M234">
        <v>10.718189726868172</v>
      </c>
      <c r="N234">
        <v>9.486389578506957</v>
      </c>
      <c r="O234">
        <v>22066.726962685658</v>
      </c>
      <c r="P234">
        <v>11.762900115761166</v>
      </c>
      <c r="Q234">
        <v>10.74190981767488</v>
      </c>
      <c r="S234">
        <f t="shared" si="14"/>
        <v>936616.95940285036</v>
      </c>
      <c r="T234">
        <f t="shared" si="15"/>
        <v>1052124.2548048024</v>
      </c>
      <c r="V234">
        <f t="shared" si="12"/>
        <v>0</v>
      </c>
      <c r="W234">
        <f t="shared" si="13"/>
        <v>1</v>
      </c>
    </row>
    <row r="235" spans="1:23" x14ac:dyDescent="0.2">
      <c r="A235">
        <v>230</v>
      </c>
      <c r="B235">
        <v>471.18952179428328</v>
      </c>
      <c r="C235">
        <v>2912.8814836801243</v>
      </c>
      <c r="D235">
        <v>1008.663433485296</v>
      </c>
      <c r="E235">
        <v>1303.6816624320622</v>
      </c>
      <c r="F235">
        <v>0.93635728940950169</v>
      </c>
      <c r="G235">
        <v>0.77694404192838762</v>
      </c>
      <c r="H235">
        <v>9.2479278411963482E-3</v>
      </c>
      <c r="I235">
        <v>0.15494481525566517</v>
      </c>
      <c r="J235">
        <v>0.55224207792666258</v>
      </c>
      <c r="L235">
        <v>11220.202989436566</v>
      </c>
      <c r="M235">
        <v>10.327753400235229</v>
      </c>
      <c r="N235">
        <v>9.2873317143217271</v>
      </c>
      <c r="O235">
        <v>19731.816048163018</v>
      </c>
      <c r="P235">
        <v>11.344004891319681</v>
      </c>
      <c r="Q235">
        <v>10.334970311954372</v>
      </c>
      <c r="S235">
        <f t="shared" si="14"/>
        <v>917512.96844273619</v>
      </c>
      <c r="T235">
        <f t="shared" si="15"/>
        <v>1013765.2151472742</v>
      </c>
      <c r="V235">
        <f t="shared" si="12"/>
        <v>0</v>
      </c>
      <c r="W235">
        <f t="shared" si="13"/>
        <v>1</v>
      </c>
    </row>
    <row r="236" spans="1:23" x14ac:dyDescent="0.2">
      <c r="A236">
        <v>231</v>
      </c>
      <c r="B236">
        <v>339.24338055234375</v>
      </c>
      <c r="C236">
        <v>2565.8750977261438</v>
      </c>
      <c r="D236">
        <v>1009.9187279022483</v>
      </c>
      <c r="E236">
        <v>689.76427792943321</v>
      </c>
      <c r="F236">
        <v>0.91012879681299053</v>
      </c>
      <c r="G236">
        <v>0.79865046969346654</v>
      </c>
      <c r="H236">
        <v>1.0684582323435296E-2</v>
      </c>
      <c r="I236">
        <v>0.11189843867439558</v>
      </c>
      <c r="J236">
        <v>0.59001960925912134</v>
      </c>
      <c r="L236">
        <v>10717.595625804002</v>
      </c>
      <c r="M236">
        <v>10.608491367593231</v>
      </c>
      <c r="N236">
        <v>9.3106280670920167</v>
      </c>
      <c r="O236">
        <v>18543.927965369163</v>
      </c>
      <c r="P236">
        <v>11.41469586240958</v>
      </c>
      <c r="Q236">
        <v>10.117995512004988</v>
      </c>
      <c r="S236">
        <f t="shared" si="14"/>
        <v>920345.21108339762</v>
      </c>
      <c r="T236">
        <f t="shared" si="15"/>
        <v>993255.62323512963</v>
      </c>
      <c r="V236">
        <f t="shared" si="12"/>
        <v>0</v>
      </c>
      <c r="W236">
        <f t="shared" si="13"/>
        <v>1</v>
      </c>
    </row>
    <row r="237" spans="1:23" x14ac:dyDescent="0.2">
      <c r="A237">
        <v>232</v>
      </c>
      <c r="B237">
        <v>225.29546878288045</v>
      </c>
      <c r="C237">
        <v>2904.2882032820348</v>
      </c>
      <c r="D237">
        <v>857.64879926082551</v>
      </c>
      <c r="E237">
        <v>612.09747917890058</v>
      </c>
      <c r="F237">
        <v>0.97930234299143382</v>
      </c>
      <c r="G237">
        <v>0.78898321694863305</v>
      </c>
      <c r="H237">
        <v>1.0709785399715092E-2</v>
      </c>
      <c r="I237">
        <v>0.15840750020191252</v>
      </c>
      <c r="J237">
        <v>0.48080166396326468</v>
      </c>
      <c r="L237">
        <v>9235.5383534669127</v>
      </c>
      <c r="M237">
        <v>10.025228831165181</v>
      </c>
      <c r="N237">
        <v>9.3393944677422542</v>
      </c>
      <c r="O237">
        <v>15667.173923073842</v>
      </c>
      <c r="P237">
        <v>11.306308325629271</v>
      </c>
      <c r="Q237">
        <v>10.732683913724873</v>
      </c>
      <c r="S237">
        <f t="shared" si="14"/>
        <v>924703.90842075855</v>
      </c>
      <c r="T237">
        <f t="shared" si="15"/>
        <v>1057601.2174494136</v>
      </c>
      <c r="V237">
        <f t="shared" si="12"/>
        <v>0</v>
      </c>
      <c r="W237">
        <f t="shared" si="13"/>
        <v>1</v>
      </c>
    </row>
    <row r="238" spans="1:23" x14ac:dyDescent="0.2">
      <c r="A238">
        <v>233</v>
      </c>
      <c r="B238">
        <v>414.19784676649397</v>
      </c>
      <c r="C238">
        <v>2893.3754726865523</v>
      </c>
      <c r="D238">
        <v>1032.1982468090232</v>
      </c>
      <c r="E238">
        <v>860.89671282321979</v>
      </c>
      <c r="F238">
        <v>0.9891338029668364</v>
      </c>
      <c r="G238">
        <v>0.78239354587034571</v>
      </c>
      <c r="H238">
        <v>9.6917296198145552E-3</v>
      </c>
      <c r="I238">
        <v>0.16173703911502624</v>
      </c>
      <c r="J238">
        <v>0.42929310979893615</v>
      </c>
      <c r="L238">
        <v>10456.308462530575</v>
      </c>
      <c r="M238">
        <v>10.17628654582909</v>
      </c>
      <c r="N238">
        <v>9.5729186003563846</v>
      </c>
      <c r="O238">
        <v>19271.258625922139</v>
      </c>
      <c r="P238">
        <v>11.616186857960569</v>
      </c>
      <c r="Q238">
        <v>11.168080298536939</v>
      </c>
      <c r="S238">
        <f t="shared" si="14"/>
        <v>946835.55157310783</v>
      </c>
      <c r="T238">
        <f t="shared" si="15"/>
        <v>1097536.7712277719</v>
      </c>
      <c r="V238">
        <f t="shared" si="12"/>
        <v>0</v>
      </c>
      <c r="W238">
        <f t="shared" si="13"/>
        <v>1</v>
      </c>
    </row>
    <row r="239" spans="1:23" x14ac:dyDescent="0.2">
      <c r="A239">
        <v>234</v>
      </c>
      <c r="B239">
        <v>418.55068445132736</v>
      </c>
      <c r="C239">
        <v>3395.1302547300415</v>
      </c>
      <c r="D239">
        <v>889.54330054492095</v>
      </c>
      <c r="E239">
        <v>660.60211890708786</v>
      </c>
      <c r="F239">
        <v>0.97209195639249857</v>
      </c>
      <c r="G239">
        <v>0.82526779606124345</v>
      </c>
      <c r="H239">
        <v>1.0426619617622502E-2</v>
      </c>
      <c r="I239">
        <v>0.19760326403112705</v>
      </c>
      <c r="J239">
        <v>0.59228011329390928</v>
      </c>
      <c r="L239">
        <v>10727.724758709592</v>
      </c>
      <c r="M239">
        <v>9.7292362078144343</v>
      </c>
      <c r="N239">
        <v>9.1432100738259408</v>
      </c>
      <c r="O239">
        <v>17816.632004723218</v>
      </c>
      <c r="P239">
        <v>10.739863626256195</v>
      </c>
      <c r="Q239">
        <v>10.19066597903012</v>
      </c>
      <c r="S239">
        <f t="shared" si="14"/>
        <v>903593.2826238845</v>
      </c>
      <c r="T239">
        <f t="shared" si="15"/>
        <v>1001249.9658982889</v>
      </c>
      <c r="V239">
        <f t="shared" si="12"/>
        <v>0</v>
      </c>
      <c r="W239">
        <f t="shared" si="13"/>
        <v>1</v>
      </c>
    </row>
    <row r="240" spans="1:23" x14ac:dyDescent="0.2">
      <c r="A240">
        <v>235</v>
      </c>
      <c r="B240">
        <v>499.04487263745841</v>
      </c>
      <c r="C240">
        <v>3309.1849242082531</v>
      </c>
      <c r="D240">
        <v>1368.6900144923593</v>
      </c>
      <c r="E240">
        <v>789.46245191634341</v>
      </c>
      <c r="F240">
        <v>0.94754066193872666</v>
      </c>
      <c r="G240">
        <v>0.5524525815437209</v>
      </c>
      <c r="H240">
        <v>9.6904433257307705E-3</v>
      </c>
      <c r="I240">
        <v>0.16348631357520493</v>
      </c>
      <c r="J240">
        <v>0.63050256281586736</v>
      </c>
      <c r="L240">
        <v>12026.943976229695</v>
      </c>
      <c r="M240">
        <v>10.159901148278786</v>
      </c>
      <c r="N240">
        <v>8.6918002849186671</v>
      </c>
      <c r="O240">
        <v>23527.876892344462</v>
      </c>
      <c r="P240">
        <v>10.985738804043935</v>
      </c>
      <c r="Q240">
        <v>9.6523649668097669</v>
      </c>
      <c r="S240">
        <f t="shared" si="14"/>
        <v>857153.08451563702</v>
      </c>
      <c r="T240">
        <f t="shared" si="15"/>
        <v>941708.61978863226</v>
      </c>
      <c r="V240">
        <f t="shared" si="12"/>
        <v>0</v>
      </c>
      <c r="W240">
        <f t="shared" si="13"/>
        <v>1</v>
      </c>
    </row>
    <row r="241" spans="1:23" x14ac:dyDescent="0.2">
      <c r="A241">
        <v>236</v>
      </c>
      <c r="B241">
        <v>433.98016622557896</v>
      </c>
      <c r="C241">
        <v>3786.5870258576247</v>
      </c>
      <c r="D241">
        <v>949.07160049211927</v>
      </c>
      <c r="E241">
        <v>908.2286438777312</v>
      </c>
      <c r="F241">
        <v>0.96547169655943321</v>
      </c>
      <c r="G241">
        <v>0.77868806247779332</v>
      </c>
      <c r="H241">
        <v>1.039519716346963E-2</v>
      </c>
      <c r="I241">
        <v>0.15521442810708719</v>
      </c>
      <c r="J241">
        <v>0.52284230222362216</v>
      </c>
      <c r="L241">
        <v>13182.618489367051</v>
      </c>
      <c r="M241">
        <v>10.112834953709019</v>
      </c>
      <c r="N241">
        <v>9.2934939643660339</v>
      </c>
      <c r="O241">
        <v>20284.905765417057</v>
      </c>
      <c r="P241">
        <v>11.242235181623805</v>
      </c>
      <c r="Q241">
        <v>10.506383012784555</v>
      </c>
      <c r="S241">
        <f t="shared" si="14"/>
        <v>916166.77794723632</v>
      </c>
      <c r="T241">
        <f t="shared" si="15"/>
        <v>1030353.3955130384</v>
      </c>
      <c r="V241">
        <f t="shared" si="12"/>
        <v>0</v>
      </c>
      <c r="W241">
        <f t="shared" si="13"/>
        <v>1</v>
      </c>
    </row>
    <row r="242" spans="1:23" x14ac:dyDescent="0.2">
      <c r="A242">
        <v>237</v>
      </c>
      <c r="B242">
        <v>613.16638199351098</v>
      </c>
      <c r="C242">
        <v>3765.1752524305675</v>
      </c>
      <c r="D242">
        <v>1043.6382596509798</v>
      </c>
      <c r="E242">
        <v>900.40845375585377</v>
      </c>
      <c r="F242">
        <v>0.96841305271967348</v>
      </c>
      <c r="G242">
        <v>0.83765309716130854</v>
      </c>
      <c r="H242">
        <v>1.1233874661681093E-2</v>
      </c>
      <c r="I242">
        <v>0.17941947237573919</v>
      </c>
      <c r="J242">
        <v>0.49332743330417267</v>
      </c>
      <c r="L242">
        <v>13774.291072176444</v>
      </c>
      <c r="M242">
        <v>9.7335060325839162</v>
      </c>
      <c r="N242">
        <v>9.1180120196880861</v>
      </c>
      <c r="O242">
        <v>22189.557557154887</v>
      </c>
      <c r="P242">
        <v>11.044031547701765</v>
      </c>
      <c r="Q242">
        <v>10.470997827637531</v>
      </c>
      <c r="S242">
        <f t="shared" si="14"/>
        <v>898026.91089663224</v>
      </c>
      <c r="T242">
        <f t="shared" si="15"/>
        <v>1024910.2252065982</v>
      </c>
      <c r="V242">
        <f t="shared" si="12"/>
        <v>0</v>
      </c>
      <c r="W242">
        <f t="shared" si="13"/>
        <v>1</v>
      </c>
    </row>
    <row r="243" spans="1:23" x14ac:dyDescent="0.2">
      <c r="A243">
        <v>238</v>
      </c>
      <c r="B243">
        <v>510.39914843113729</v>
      </c>
      <c r="C243">
        <v>3411.9579735440648</v>
      </c>
      <c r="D243">
        <v>999.95650497349004</v>
      </c>
      <c r="E243">
        <v>1007.1719006326861</v>
      </c>
      <c r="F243">
        <v>0.96287795704639934</v>
      </c>
      <c r="G243">
        <v>0.63440027971883794</v>
      </c>
      <c r="H243">
        <v>9.7694273228833058E-3</v>
      </c>
      <c r="I243">
        <v>0.15225137631561392</v>
      </c>
      <c r="J243">
        <v>0.44948621477860012</v>
      </c>
      <c r="L243">
        <v>12828.673684383479</v>
      </c>
      <c r="M243">
        <v>10.256060057714702</v>
      </c>
      <c r="N243">
        <v>9.058792126082297</v>
      </c>
      <c r="O243">
        <v>20942.616142650062</v>
      </c>
      <c r="P243">
        <v>11.595340448030164</v>
      </c>
      <c r="Q243">
        <v>10.616696629062591</v>
      </c>
      <c r="S243">
        <f t="shared" si="14"/>
        <v>893050.53892384621</v>
      </c>
      <c r="T243">
        <f t="shared" si="15"/>
        <v>1040727.046763609</v>
      </c>
      <c r="V243">
        <f t="shared" si="12"/>
        <v>0</v>
      </c>
      <c r="W243">
        <f t="shared" si="13"/>
        <v>1</v>
      </c>
    </row>
    <row r="244" spans="1:23" x14ac:dyDescent="0.2">
      <c r="A244">
        <v>239</v>
      </c>
      <c r="B244">
        <v>399.03052151083887</v>
      </c>
      <c r="C244">
        <v>2511.715221161332</v>
      </c>
      <c r="D244">
        <v>948.68875909565611</v>
      </c>
      <c r="E244">
        <v>855.51019432731289</v>
      </c>
      <c r="F244">
        <v>0.93203653264217012</v>
      </c>
      <c r="G244">
        <v>0.73453464777012845</v>
      </c>
      <c r="H244">
        <v>8.7375216579704366E-3</v>
      </c>
      <c r="I244">
        <v>0.12044021104658449</v>
      </c>
      <c r="J244">
        <v>0.53225472805896323</v>
      </c>
      <c r="L244">
        <v>10357.537692918009</v>
      </c>
      <c r="M244">
        <v>10.811154329578198</v>
      </c>
      <c r="N244">
        <v>9.5376888991281277</v>
      </c>
      <c r="O244">
        <v>18349.023324307815</v>
      </c>
      <c r="P244">
        <v>11.757919433984124</v>
      </c>
      <c r="Q244">
        <v>10.568704191305994</v>
      </c>
      <c r="S244">
        <f t="shared" si="14"/>
        <v>943411.35221989476</v>
      </c>
      <c r="T244">
        <f t="shared" si="15"/>
        <v>1038521.3958062915</v>
      </c>
      <c r="V244">
        <f t="shared" si="12"/>
        <v>0</v>
      </c>
      <c r="W244">
        <f t="shared" si="13"/>
        <v>1</v>
      </c>
    </row>
    <row r="245" spans="1:23" x14ac:dyDescent="0.2">
      <c r="A245">
        <v>240</v>
      </c>
      <c r="B245">
        <v>672.33171291313568</v>
      </c>
      <c r="C245">
        <v>2938.7691962929139</v>
      </c>
      <c r="D245">
        <v>986.59746887566996</v>
      </c>
      <c r="E245">
        <v>1084.2672062759179</v>
      </c>
      <c r="F245">
        <v>0.92867064744852945</v>
      </c>
      <c r="G245">
        <v>0.84467413542735936</v>
      </c>
      <c r="H245">
        <v>1.0202939568863882E-2</v>
      </c>
      <c r="I245">
        <v>0.14493407341730599</v>
      </c>
      <c r="J245">
        <v>0.5624242675324016</v>
      </c>
      <c r="L245">
        <v>13219.089420749488</v>
      </c>
      <c r="M245">
        <v>10.257082298871975</v>
      </c>
      <c r="N245">
        <v>9.3063114607624886</v>
      </c>
      <c r="O245">
        <v>21510.333100819324</v>
      </c>
      <c r="P245">
        <v>11.235515502258934</v>
      </c>
      <c r="Q245">
        <v>10.266250422378391</v>
      </c>
      <c r="S245">
        <f t="shared" si="14"/>
        <v>917412.05665549939</v>
      </c>
      <c r="T245">
        <f t="shared" si="15"/>
        <v>1005114.7091370197</v>
      </c>
      <c r="V245">
        <f t="shared" si="12"/>
        <v>0</v>
      </c>
      <c r="W245">
        <f t="shared" si="13"/>
        <v>1</v>
      </c>
    </row>
    <row r="246" spans="1:23" x14ac:dyDescent="0.2">
      <c r="A246">
        <v>241</v>
      </c>
      <c r="B246">
        <v>403.63639585286222</v>
      </c>
      <c r="C246">
        <v>2055.5540538228774</v>
      </c>
      <c r="D246">
        <v>979.59216457808986</v>
      </c>
      <c r="E246">
        <v>655.62534347859673</v>
      </c>
      <c r="F246">
        <v>0.98120650540025589</v>
      </c>
      <c r="G246">
        <v>0.82039775989753227</v>
      </c>
      <c r="H246">
        <v>1.1271062210167583E-2</v>
      </c>
      <c r="I246">
        <v>0.13332260597721346</v>
      </c>
      <c r="J246">
        <v>0.6024936438756765</v>
      </c>
      <c r="L246">
        <v>9089.5643508738794</v>
      </c>
      <c r="M246">
        <v>10.222154164517102</v>
      </c>
      <c r="N246">
        <v>9.5711430960723671</v>
      </c>
      <c r="O246">
        <v>17052.739104312812</v>
      </c>
      <c r="P246">
        <v>11.071263914081507</v>
      </c>
      <c r="Q246">
        <v>10.49518605662886</v>
      </c>
      <c r="S246">
        <f t="shared" si="14"/>
        <v>948024.74525636283</v>
      </c>
      <c r="T246">
        <f t="shared" si="15"/>
        <v>1032465.8665585732</v>
      </c>
      <c r="V246">
        <f t="shared" si="12"/>
        <v>0</v>
      </c>
      <c r="W246">
        <f t="shared" si="13"/>
        <v>1</v>
      </c>
    </row>
    <row r="247" spans="1:23" x14ac:dyDescent="0.2">
      <c r="A247">
        <v>242</v>
      </c>
      <c r="B247">
        <v>309.15869555985472</v>
      </c>
      <c r="C247">
        <v>3477.4396258926313</v>
      </c>
      <c r="D247">
        <v>1089.6472956730572</v>
      </c>
      <c r="E247">
        <v>764.12867243001926</v>
      </c>
      <c r="F247">
        <v>0.90769516265668682</v>
      </c>
      <c r="G247">
        <v>0.76074552098268577</v>
      </c>
      <c r="H247">
        <v>9.5884626628767299E-3</v>
      </c>
      <c r="I247">
        <v>0.12886457473689231</v>
      </c>
      <c r="J247">
        <v>0.61561565133215401</v>
      </c>
      <c r="L247">
        <v>12181.748769889466</v>
      </c>
      <c r="M247">
        <v>10.553060933085952</v>
      </c>
      <c r="N247">
        <v>9.1777470776077514</v>
      </c>
      <c r="O247">
        <v>20584.956812279248</v>
      </c>
      <c r="P247">
        <v>11.334615342522223</v>
      </c>
      <c r="Q247">
        <v>9.9691089776081796</v>
      </c>
      <c r="S247">
        <f t="shared" si="14"/>
        <v>905592.95899088564</v>
      </c>
      <c r="T247">
        <f t="shared" si="15"/>
        <v>976325.94094853872</v>
      </c>
      <c r="V247">
        <f t="shared" si="12"/>
        <v>0</v>
      </c>
      <c r="W247">
        <f t="shared" si="13"/>
        <v>1</v>
      </c>
    </row>
    <row r="248" spans="1:23" x14ac:dyDescent="0.2">
      <c r="A248">
        <v>243</v>
      </c>
      <c r="B248">
        <v>506.84380304647794</v>
      </c>
      <c r="C248">
        <v>3361.7790003672872</v>
      </c>
      <c r="D248">
        <v>935.31152706901401</v>
      </c>
      <c r="E248">
        <v>877.80710874251542</v>
      </c>
      <c r="F248">
        <v>0.95856534170390217</v>
      </c>
      <c r="G248">
        <v>0.61274536671468127</v>
      </c>
      <c r="H248">
        <v>1.0787396171753475E-2</v>
      </c>
      <c r="I248">
        <v>0.1669269612893225</v>
      </c>
      <c r="J248">
        <v>0.60383394028353055</v>
      </c>
      <c r="L248">
        <v>12341.157356106569</v>
      </c>
      <c r="M248">
        <v>9.9269917351809589</v>
      </c>
      <c r="N248">
        <v>8.6734653771432093</v>
      </c>
      <c r="O248">
        <v>19680.868748894911</v>
      </c>
      <c r="P248">
        <v>10.849128257846962</v>
      </c>
      <c r="Q248">
        <v>9.7242883934562929</v>
      </c>
      <c r="S248">
        <f t="shared" si="14"/>
        <v>855005.38035821437</v>
      </c>
      <c r="T248">
        <f t="shared" si="15"/>
        <v>952747.97059673443</v>
      </c>
      <c r="V248">
        <f t="shared" si="12"/>
        <v>0</v>
      </c>
      <c r="W248">
        <f t="shared" si="13"/>
        <v>1</v>
      </c>
    </row>
    <row r="249" spans="1:23" x14ac:dyDescent="0.2">
      <c r="A249">
        <v>244</v>
      </c>
      <c r="B249">
        <v>427.33246375283778</v>
      </c>
      <c r="C249">
        <v>3800.2829969700192</v>
      </c>
      <c r="D249">
        <v>1002.4575813828546</v>
      </c>
      <c r="E249">
        <v>675.61980961182803</v>
      </c>
      <c r="F249">
        <v>0.953251697558123</v>
      </c>
      <c r="G249">
        <v>0.8278728123092215</v>
      </c>
      <c r="H249">
        <v>1.057282046625896E-2</v>
      </c>
      <c r="I249">
        <v>0.17041107967694402</v>
      </c>
      <c r="J249">
        <v>0.44750156799018642</v>
      </c>
      <c r="L249">
        <v>12558.917337387362</v>
      </c>
      <c r="M249">
        <v>9.9318180868869614</v>
      </c>
      <c r="N249">
        <v>9.168650185460935</v>
      </c>
      <c r="O249">
        <v>20286.11382932229</v>
      </c>
      <c r="P249">
        <v>11.363785402196697</v>
      </c>
      <c r="Q249">
        <v>10.628850202175363</v>
      </c>
      <c r="S249">
        <f t="shared" si="14"/>
        <v>904306.10120870615</v>
      </c>
      <c r="T249">
        <f t="shared" si="15"/>
        <v>1042598.906388214</v>
      </c>
      <c r="V249">
        <f t="shared" si="12"/>
        <v>0</v>
      </c>
      <c r="W249">
        <f t="shared" si="13"/>
        <v>1</v>
      </c>
    </row>
    <row r="250" spans="1:23" x14ac:dyDescent="0.2">
      <c r="A250">
        <v>245</v>
      </c>
      <c r="B250">
        <v>404.6260899012666</v>
      </c>
      <c r="C250">
        <v>3053.4744534882348</v>
      </c>
      <c r="D250">
        <v>955.72970788689281</v>
      </c>
      <c r="E250">
        <v>1944.5843727643871</v>
      </c>
      <c r="F250">
        <v>0.91854659716821485</v>
      </c>
      <c r="G250">
        <v>0.69006500438709428</v>
      </c>
      <c r="H250">
        <v>8.9016081983649825E-3</v>
      </c>
      <c r="I250">
        <v>0.11052951300065027</v>
      </c>
      <c r="J250">
        <v>0.41188031560336319</v>
      </c>
      <c r="L250">
        <v>12671.092591297836</v>
      </c>
      <c r="M250">
        <v>10.913987387176768</v>
      </c>
      <c r="N250">
        <v>9.3663953393695003</v>
      </c>
      <c r="O250">
        <v>19930.254140641049</v>
      </c>
      <c r="P250">
        <v>12.146591075778717</v>
      </c>
      <c r="Q250">
        <v>10.749287078594172</v>
      </c>
      <c r="S250">
        <f t="shared" si="14"/>
        <v>923968.44134565222</v>
      </c>
      <c r="T250">
        <f t="shared" si="15"/>
        <v>1054998.4537187761</v>
      </c>
      <c r="V250">
        <f t="shared" si="12"/>
        <v>0</v>
      </c>
      <c r="W250">
        <f t="shared" si="13"/>
        <v>1</v>
      </c>
    </row>
    <row r="251" spans="1:23" x14ac:dyDescent="0.2">
      <c r="A251">
        <v>246</v>
      </c>
      <c r="B251">
        <v>425.14940881378413</v>
      </c>
      <c r="C251">
        <v>2188.6069336165233</v>
      </c>
      <c r="D251">
        <v>926.95138772003679</v>
      </c>
      <c r="E251">
        <v>859.88449853516158</v>
      </c>
      <c r="F251">
        <v>0.95920578939747458</v>
      </c>
      <c r="G251">
        <v>0.83585982212634613</v>
      </c>
      <c r="H251">
        <v>9.1337212959794641E-3</v>
      </c>
      <c r="I251">
        <v>0.14146141273762114</v>
      </c>
      <c r="J251">
        <v>0.42558578016702869</v>
      </c>
      <c r="L251">
        <v>9229.5933831638631</v>
      </c>
      <c r="M251">
        <v>10.489574069403737</v>
      </c>
      <c r="N251">
        <v>9.7495517438708479</v>
      </c>
      <c r="O251">
        <v>17563.014588416663</v>
      </c>
      <c r="P251">
        <v>11.842190271254074</v>
      </c>
      <c r="Q251">
        <v>11.159408028718435</v>
      </c>
      <c r="S251">
        <f t="shared" si="14"/>
        <v>965725.58100392087</v>
      </c>
      <c r="T251">
        <f t="shared" si="15"/>
        <v>1098377.788283427</v>
      </c>
      <c r="V251">
        <f t="shared" si="12"/>
        <v>0</v>
      </c>
      <c r="W251">
        <f t="shared" si="13"/>
        <v>1</v>
      </c>
    </row>
    <row r="252" spans="1:23" x14ac:dyDescent="0.2">
      <c r="A252">
        <v>247</v>
      </c>
      <c r="B252">
        <v>570.09636990009574</v>
      </c>
      <c r="C252">
        <v>3763.9619373410951</v>
      </c>
      <c r="D252">
        <v>1078.8077566120305</v>
      </c>
      <c r="E252">
        <v>915.32998653191783</v>
      </c>
      <c r="F252">
        <v>0.94271472883639051</v>
      </c>
      <c r="G252">
        <v>0.75986220629341339</v>
      </c>
      <c r="H252">
        <v>1.1223479717841826E-2</v>
      </c>
      <c r="I252">
        <v>0.12391960118856427</v>
      </c>
      <c r="J252">
        <v>0.5823073352925644</v>
      </c>
      <c r="L252">
        <v>15740.469056511922</v>
      </c>
      <c r="M252">
        <v>10.354737524139178</v>
      </c>
      <c r="N252">
        <v>9.2176837833932233</v>
      </c>
      <c r="O252">
        <v>23731.15746332725</v>
      </c>
      <c r="P252">
        <v>11.228267229417105</v>
      </c>
      <c r="Q252">
        <v>10.15700026228196</v>
      </c>
      <c r="S252">
        <f t="shared" si="14"/>
        <v>906027.9092828104</v>
      </c>
      <c r="T252">
        <f t="shared" si="15"/>
        <v>991968.8687648687</v>
      </c>
      <c r="V252">
        <f t="shared" si="12"/>
        <v>0</v>
      </c>
      <c r="W252">
        <f t="shared" si="13"/>
        <v>1</v>
      </c>
    </row>
    <row r="253" spans="1:23" x14ac:dyDescent="0.2">
      <c r="A253">
        <v>248</v>
      </c>
      <c r="B253">
        <v>404.87597567181228</v>
      </c>
      <c r="C253">
        <v>3254.2183964742644</v>
      </c>
      <c r="D253">
        <v>948.89021884608053</v>
      </c>
      <c r="E253">
        <v>942.0803118488833</v>
      </c>
      <c r="F253">
        <v>0.96029666288242033</v>
      </c>
      <c r="G253">
        <v>0.86927574684814335</v>
      </c>
      <c r="H253">
        <v>1.0606913945792874E-2</v>
      </c>
      <c r="I253">
        <v>0.11579530146006779</v>
      </c>
      <c r="J253">
        <v>0.42095000857187204</v>
      </c>
      <c r="L253">
        <v>13221.266178997334</v>
      </c>
      <c r="M253">
        <v>10.562499724735066</v>
      </c>
      <c r="N253">
        <v>9.8679330979678355</v>
      </c>
      <c r="O253">
        <v>20005.001881521068</v>
      </c>
      <c r="P253">
        <v>11.854178736636037</v>
      </c>
      <c r="Q253">
        <v>11.20428862837122</v>
      </c>
      <c r="S253">
        <f t="shared" si="14"/>
        <v>973572.04361778614</v>
      </c>
      <c r="T253">
        <f t="shared" si="15"/>
        <v>1100423.8609556011</v>
      </c>
      <c r="V253">
        <f t="shared" si="12"/>
        <v>0</v>
      </c>
      <c r="W253">
        <f t="shared" si="13"/>
        <v>1</v>
      </c>
    </row>
    <row r="254" spans="1:23" x14ac:dyDescent="0.2">
      <c r="A254">
        <v>249</v>
      </c>
      <c r="B254">
        <v>459.10869150140189</v>
      </c>
      <c r="C254">
        <v>3087.3004354919385</v>
      </c>
      <c r="D254">
        <v>874.11544745098786</v>
      </c>
      <c r="E254">
        <v>927.79031957397024</v>
      </c>
      <c r="F254">
        <v>0.93357368990248968</v>
      </c>
      <c r="G254">
        <v>0.78798324693657429</v>
      </c>
      <c r="H254">
        <v>1.0407963101653841E-2</v>
      </c>
      <c r="I254">
        <v>0.12780470981481437</v>
      </c>
      <c r="J254">
        <v>0.64358928015074246</v>
      </c>
      <c r="L254">
        <v>12579.56949932206</v>
      </c>
      <c r="M254">
        <v>10.428874384293367</v>
      </c>
      <c r="N254">
        <v>9.3231355194500249</v>
      </c>
      <c r="O254">
        <v>19225.98503231195</v>
      </c>
      <c r="P254">
        <v>11.149244234276161</v>
      </c>
      <c r="Q254">
        <v>10.069550336878025</v>
      </c>
      <c r="S254">
        <f t="shared" si="14"/>
        <v>919733.98244568042</v>
      </c>
      <c r="T254">
        <f t="shared" si="15"/>
        <v>987729.04865549051</v>
      </c>
      <c r="V254">
        <f t="shared" si="12"/>
        <v>0</v>
      </c>
      <c r="W254">
        <f t="shared" si="13"/>
        <v>1</v>
      </c>
    </row>
    <row r="255" spans="1:23" x14ac:dyDescent="0.2">
      <c r="A255">
        <v>250</v>
      </c>
      <c r="B255">
        <v>617.84838666022529</v>
      </c>
      <c r="C255">
        <v>3028.5156576395098</v>
      </c>
      <c r="D255">
        <v>1101.9667194797423</v>
      </c>
      <c r="E255">
        <v>812.13776800522396</v>
      </c>
      <c r="F255">
        <v>0.97812134131894335</v>
      </c>
      <c r="G255">
        <v>0.65429543972769733</v>
      </c>
      <c r="H255">
        <v>1.1272717430643175E-2</v>
      </c>
      <c r="I255">
        <v>0.12809487873710718</v>
      </c>
      <c r="J255">
        <v>0.53179273083354972</v>
      </c>
      <c r="L255">
        <v>13706.9665035627</v>
      </c>
      <c r="M255">
        <v>10.290461919580537</v>
      </c>
      <c r="N255">
        <v>9.1189628582688282</v>
      </c>
      <c r="O255">
        <v>22570.529983671724</v>
      </c>
      <c r="P255">
        <v>11.318429328418818</v>
      </c>
      <c r="Q255">
        <v>10.359087317033701</v>
      </c>
      <c r="S255">
        <f t="shared" si="14"/>
        <v>898189.31932332006</v>
      </c>
      <c r="T255">
        <f t="shared" si="15"/>
        <v>1013338.2017196984</v>
      </c>
      <c r="V255">
        <f t="shared" si="12"/>
        <v>0</v>
      </c>
      <c r="W255">
        <f t="shared" si="13"/>
        <v>1</v>
      </c>
    </row>
    <row r="256" spans="1:23" x14ac:dyDescent="0.2">
      <c r="A256">
        <v>251</v>
      </c>
      <c r="B256">
        <v>494.71610626197474</v>
      </c>
      <c r="C256">
        <v>2575.9521485625492</v>
      </c>
      <c r="D256">
        <v>1037.0156236651651</v>
      </c>
      <c r="E256">
        <v>1073.6418455653995</v>
      </c>
      <c r="F256">
        <v>0.93974977579784047</v>
      </c>
      <c r="G256">
        <v>0.69665572426259825</v>
      </c>
      <c r="H256">
        <v>9.7185175574451676E-3</v>
      </c>
      <c r="I256">
        <v>0.17023418369308463</v>
      </c>
      <c r="J256">
        <v>0.50882590108436299</v>
      </c>
      <c r="L256">
        <v>10216.816888463596</v>
      </c>
      <c r="M256">
        <v>10.092315514051229</v>
      </c>
      <c r="N256">
        <v>8.9233341954268361</v>
      </c>
      <c r="O256">
        <v>19343.620960223376</v>
      </c>
      <c r="P256">
        <v>11.293298019116611</v>
      </c>
      <c r="Q256">
        <v>10.207651531970159</v>
      </c>
      <c r="S256">
        <f t="shared" si="14"/>
        <v>882116.60265422007</v>
      </c>
      <c r="T256">
        <f t="shared" si="15"/>
        <v>1001421.5322367925</v>
      </c>
      <c r="V256">
        <f t="shared" si="12"/>
        <v>0</v>
      </c>
      <c r="W256">
        <f t="shared" si="13"/>
        <v>1</v>
      </c>
    </row>
    <row r="257" spans="1:23" x14ac:dyDescent="0.2">
      <c r="A257">
        <v>252</v>
      </c>
      <c r="B257">
        <v>646.71936837805936</v>
      </c>
      <c r="C257">
        <v>2426.7099982212112</v>
      </c>
      <c r="D257">
        <v>1029.9428953752968</v>
      </c>
      <c r="E257">
        <v>1030.3281746810494</v>
      </c>
      <c r="F257">
        <v>0.97379440729863542</v>
      </c>
      <c r="G257">
        <v>0.7207567436771084</v>
      </c>
      <c r="H257">
        <v>1.1167272609209151E-2</v>
      </c>
      <c r="I257">
        <v>0.13774616458817507</v>
      </c>
      <c r="J257">
        <v>0.49799102433195697</v>
      </c>
      <c r="L257">
        <v>11943.888108576084</v>
      </c>
      <c r="M257">
        <v>10.182578246251996</v>
      </c>
      <c r="N257">
        <v>9.2102265802088059</v>
      </c>
      <c r="O257">
        <v>20829.133465071722</v>
      </c>
      <c r="P257">
        <v>11.345590299677651</v>
      </c>
      <c r="Q257">
        <v>10.535823429601876</v>
      </c>
      <c r="S257">
        <f t="shared" si="14"/>
        <v>909078.76991230447</v>
      </c>
      <c r="T257">
        <f t="shared" si="15"/>
        <v>1032753.209495116</v>
      </c>
      <c r="V257">
        <f t="shared" si="12"/>
        <v>0</v>
      </c>
      <c r="W257">
        <f t="shared" si="13"/>
        <v>1</v>
      </c>
    </row>
    <row r="258" spans="1:23" x14ac:dyDescent="0.2">
      <c r="A258">
        <v>253</v>
      </c>
      <c r="B258">
        <v>671.36041329212833</v>
      </c>
      <c r="C258">
        <v>2923.3772211731966</v>
      </c>
      <c r="D258">
        <v>891.60257273406921</v>
      </c>
      <c r="E258">
        <v>824.76496264884395</v>
      </c>
      <c r="F258">
        <v>0.98055420435829876</v>
      </c>
      <c r="G258">
        <v>0.77008592308375245</v>
      </c>
      <c r="H258">
        <v>1.0539634276130239E-2</v>
      </c>
      <c r="I258">
        <v>0.1343366371317162</v>
      </c>
      <c r="J258">
        <v>0.54746949794246735</v>
      </c>
      <c r="L258">
        <v>13471.794857944993</v>
      </c>
      <c r="M258">
        <v>10.324834674893685</v>
      </c>
      <c r="N258">
        <v>9.5414978042478076</v>
      </c>
      <c r="O258">
        <v>20774.212461850937</v>
      </c>
      <c r="P258">
        <v>11.318613792364452</v>
      </c>
      <c r="Q258">
        <v>10.657375530595615</v>
      </c>
      <c r="S258">
        <f t="shared" si="14"/>
        <v>940677.98556683585</v>
      </c>
      <c r="T258">
        <f t="shared" si="15"/>
        <v>1044963.3405977107</v>
      </c>
      <c r="V258">
        <f t="shared" si="12"/>
        <v>0</v>
      </c>
      <c r="W258">
        <f t="shared" si="13"/>
        <v>1</v>
      </c>
    </row>
    <row r="259" spans="1:23" x14ac:dyDescent="0.2">
      <c r="A259">
        <v>254</v>
      </c>
      <c r="B259">
        <v>458.43029678706347</v>
      </c>
      <c r="C259">
        <v>3138.969510343979</v>
      </c>
      <c r="D259">
        <v>1006.9360805554114</v>
      </c>
      <c r="E259">
        <v>917.37531342351508</v>
      </c>
      <c r="F259">
        <v>0.9067491114978814</v>
      </c>
      <c r="G259">
        <v>0.79184999604025441</v>
      </c>
      <c r="H259">
        <v>1.061266636942982E-2</v>
      </c>
      <c r="I259">
        <v>0.21399740046249904</v>
      </c>
      <c r="J259">
        <v>0.65813895757781071</v>
      </c>
      <c r="L259">
        <v>10249.368653828587</v>
      </c>
      <c r="M259">
        <v>9.5744866295357784</v>
      </c>
      <c r="N259">
        <v>8.4476085459934129</v>
      </c>
      <c r="O259">
        <v>18447.686225299116</v>
      </c>
      <c r="P259">
        <v>10.411841229359613</v>
      </c>
      <c r="Q259">
        <v>9.2448827191508514</v>
      </c>
      <c r="S259">
        <f t="shared" si="14"/>
        <v>834511.48594551266</v>
      </c>
      <c r="T259">
        <f t="shared" si="15"/>
        <v>906040.58568978601</v>
      </c>
      <c r="V259">
        <f t="shared" si="12"/>
        <v>0</v>
      </c>
      <c r="W259">
        <f t="shared" si="13"/>
        <v>1</v>
      </c>
    </row>
    <row r="260" spans="1:23" x14ac:dyDescent="0.2">
      <c r="A260">
        <v>255</v>
      </c>
      <c r="B260">
        <v>374.53233929979024</v>
      </c>
      <c r="C260">
        <v>2879.0926577360456</v>
      </c>
      <c r="D260">
        <v>1066.8320414797829</v>
      </c>
      <c r="E260">
        <v>1160.2756868733948</v>
      </c>
      <c r="F260">
        <v>0.95895420764433204</v>
      </c>
      <c r="G260">
        <v>0.79351355955140868</v>
      </c>
      <c r="H260">
        <v>8.1193389616599672E-3</v>
      </c>
      <c r="I260">
        <v>0.13811717645714394</v>
      </c>
      <c r="J260">
        <v>0.49997577515125141</v>
      </c>
      <c r="L260">
        <v>10515.663321646729</v>
      </c>
      <c r="M260">
        <v>10.72714487837723</v>
      </c>
      <c r="N260">
        <v>9.8834229511205862</v>
      </c>
      <c r="O260">
        <v>19710.204972330517</v>
      </c>
      <c r="P260">
        <v>11.805256186984039</v>
      </c>
      <c r="Q260">
        <v>11.041732883475387</v>
      </c>
      <c r="S260">
        <f t="shared" si="14"/>
        <v>977826.63179041189</v>
      </c>
      <c r="T260">
        <f t="shared" si="15"/>
        <v>1084463.0833752081</v>
      </c>
      <c r="V260">
        <f t="shared" si="12"/>
        <v>0</v>
      </c>
      <c r="W260">
        <f t="shared" si="13"/>
        <v>1</v>
      </c>
    </row>
    <row r="261" spans="1:23" x14ac:dyDescent="0.2">
      <c r="A261">
        <v>256</v>
      </c>
      <c r="B261">
        <v>805.51564481146841</v>
      </c>
      <c r="C261">
        <v>2491.2230796587946</v>
      </c>
      <c r="D261">
        <v>1137.5910147816319</v>
      </c>
      <c r="E261">
        <v>1161.6850723743853</v>
      </c>
      <c r="F261">
        <v>0.94139281135825936</v>
      </c>
      <c r="G261">
        <v>0.7654164339639028</v>
      </c>
      <c r="H261">
        <v>9.9000447621036235E-3</v>
      </c>
      <c r="I261">
        <v>0.15555338702242427</v>
      </c>
      <c r="J261">
        <v>0.43602589064996949</v>
      </c>
      <c r="L261">
        <v>12816.209083931297</v>
      </c>
      <c r="M261">
        <v>10.198243150931633</v>
      </c>
      <c r="N261">
        <v>9.1667087567042387</v>
      </c>
      <c r="O261">
        <v>23727.141222687111</v>
      </c>
      <c r="P261">
        <v>11.599352435742931</v>
      </c>
      <c r="Q261">
        <v>10.632612569851347</v>
      </c>
      <c r="S261">
        <f t="shared" si="14"/>
        <v>903854.66658649256</v>
      </c>
      <c r="T261">
        <f t="shared" si="15"/>
        <v>1039534.1157624476</v>
      </c>
      <c r="V261">
        <f t="shared" si="12"/>
        <v>0</v>
      </c>
      <c r="W261">
        <f t="shared" si="13"/>
        <v>1</v>
      </c>
    </row>
    <row r="262" spans="1:23" x14ac:dyDescent="0.2">
      <c r="A262">
        <v>257</v>
      </c>
      <c r="B262">
        <v>593.57939947456089</v>
      </c>
      <c r="C262">
        <v>3085.997769727177</v>
      </c>
      <c r="D262">
        <v>910.25002927122705</v>
      </c>
      <c r="E262">
        <v>910.017819238573</v>
      </c>
      <c r="F262">
        <v>0.89116598373986511</v>
      </c>
      <c r="G262">
        <v>0.76849404228662344</v>
      </c>
      <c r="H262">
        <v>1.0027053908662492E-2</v>
      </c>
      <c r="I262">
        <v>0.12919949799032596</v>
      </c>
      <c r="J262">
        <v>0.54265688401715917</v>
      </c>
      <c r="L262">
        <v>13464.224450701468</v>
      </c>
      <c r="M262">
        <v>10.473770301904912</v>
      </c>
      <c r="N262">
        <v>8.9932425300560936</v>
      </c>
      <c r="O262">
        <v>20755.175007484631</v>
      </c>
      <c r="P262">
        <v>11.454435021212172</v>
      </c>
      <c r="Q262">
        <v>9.9530641832759006</v>
      </c>
      <c r="S262">
        <f t="shared" si="14"/>
        <v>885860.02855490788</v>
      </c>
      <c r="T262">
        <f t="shared" si="15"/>
        <v>974551.24332010548</v>
      </c>
      <c r="V262">
        <f t="shared" ref="V262:V325" si="16">IF(S262=MAX($S262:$T262),1,0)</f>
        <v>0</v>
      </c>
      <c r="W262">
        <f t="shared" ref="W262:W325" si="17">IF(T262=MAX($S262:$T262),1,0)</f>
        <v>1</v>
      </c>
    </row>
    <row r="263" spans="1:23" x14ac:dyDescent="0.2">
      <c r="A263">
        <v>258</v>
      </c>
      <c r="B263">
        <v>566.13005785514417</v>
      </c>
      <c r="C263">
        <v>1935.4163438958933</v>
      </c>
      <c r="D263">
        <v>1152.5690922897372</v>
      </c>
      <c r="E263">
        <v>1035.3883392437178</v>
      </c>
      <c r="F263">
        <v>0.96170063337543676</v>
      </c>
      <c r="G263">
        <v>0.67821128908521833</v>
      </c>
      <c r="H263">
        <v>1.0499338854932072E-2</v>
      </c>
      <c r="I263">
        <v>0.14632158728537248</v>
      </c>
      <c r="J263">
        <v>0.45036246588300904</v>
      </c>
      <c r="L263">
        <v>9758.3122093936836</v>
      </c>
      <c r="M263">
        <v>10.19069019510923</v>
      </c>
      <c r="N263">
        <v>9.0567942098372427</v>
      </c>
      <c r="O263">
        <v>20466.276503824389</v>
      </c>
      <c r="P263">
        <v>11.525595777316395</v>
      </c>
      <c r="Q263">
        <v>10.5781614150454</v>
      </c>
      <c r="S263">
        <f t="shared" ref="S263:S326" si="18">$T$1*N263-L263</f>
        <v>895921.10877433058</v>
      </c>
      <c r="T263">
        <f t="shared" ref="T263:T326" si="19">$T$1*Q263-O263</f>
        <v>1037349.8650007157</v>
      </c>
      <c r="V263">
        <f t="shared" si="16"/>
        <v>0</v>
      </c>
      <c r="W263">
        <f t="shared" si="17"/>
        <v>1</v>
      </c>
    </row>
    <row r="264" spans="1:23" x14ac:dyDescent="0.2">
      <c r="A264">
        <v>259</v>
      </c>
      <c r="B264">
        <v>547.6431436054271</v>
      </c>
      <c r="C264">
        <v>3633.086700610841</v>
      </c>
      <c r="D264">
        <v>993.79232248702453</v>
      </c>
      <c r="E264">
        <v>1236.2804989013493</v>
      </c>
      <c r="F264">
        <v>0.97644342990542432</v>
      </c>
      <c r="G264">
        <v>0.75338598511357224</v>
      </c>
      <c r="H264">
        <v>8.6155047045373169E-3</v>
      </c>
      <c r="I264">
        <v>0.14181220730031324</v>
      </c>
      <c r="J264">
        <v>0.50826033098456314</v>
      </c>
      <c r="L264">
        <v>13831.941295047016</v>
      </c>
      <c r="M264">
        <v>10.586838401528068</v>
      </c>
      <c r="N264">
        <v>9.7878618497390484</v>
      </c>
      <c r="O264">
        <v>21931.934444020695</v>
      </c>
      <c r="P264">
        <v>11.671716402358367</v>
      </c>
      <c r="Q264">
        <v>11.009024007541026</v>
      </c>
      <c r="S264">
        <f t="shared" si="18"/>
        <v>964954.24367885781</v>
      </c>
      <c r="T264">
        <f t="shared" si="19"/>
        <v>1078970.4663100818</v>
      </c>
      <c r="V264">
        <f t="shared" si="16"/>
        <v>0</v>
      </c>
      <c r="W264">
        <f t="shared" si="17"/>
        <v>1</v>
      </c>
    </row>
    <row r="265" spans="1:23" x14ac:dyDescent="0.2">
      <c r="A265">
        <v>260</v>
      </c>
      <c r="B265">
        <v>492.04391145795228</v>
      </c>
      <c r="C265">
        <v>2606.3783144150361</v>
      </c>
      <c r="D265">
        <v>912.41857519496477</v>
      </c>
      <c r="E265">
        <v>1153.380450624225</v>
      </c>
      <c r="F265">
        <v>0.92299108070610381</v>
      </c>
      <c r="G265">
        <v>0.67130785208226762</v>
      </c>
      <c r="H265">
        <v>8.3136454232807279E-3</v>
      </c>
      <c r="I265">
        <v>8.9591976424116676E-2</v>
      </c>
      <c r="J265">
        <v>0.49983843634667491</v>
      </c>
      <c r="L265">
        <v>12467.111642316757</v>
      </c>
      <c r="M265">
        <v>11.330472274965061</v>
      </c>
      <c r="N265">
        <v>9.6757490438496792</v>
      </c>
      <c r="O265">
        <v>19925.098135982331</v>
      </c>
      <c r="P265">
        <v>12.20012977147084</v>
      </c>
      <c r="Q265">
        <v>10.722541106647482</v>
      </c>
      <c r="S265">
        <f t="shared" si="18"/>
        <v>955107.79274265107</v>
      </c>
      <c r="T265">
        <f t="shared" si="19"/>
        <v>1052329.0125287657</v>
      </c>
      <c r="V265">
        <f t="shared" si="16"/>
        <v>0</v>
      </c>
      <c r="W265">
        <f t="shared" si="17"/>
        <v>1</v>
      </c>
    </row>
    <row r="266" spans="1:23" x14ac:dyDescent="0.2">
      <c r="A266">
        <v>261</v>
      </c>
      <c r="B266">
        <v>480.73275474215518</v>
      </c>
      <c r="C266">
        <v>2912.8356971905318</v>
      </c>
      <c r="D266">
        <v>884.33069418777814</v>
      </c>
      <c r="E266">
        <v>1018.4294589116432</v>
      </c>
      <c r="F266">
        <v>0.94003313843843894</v>
      </c>
      <c r="G266">
        <v>0.7492850842530514</v>
      </c>
      <c r="H266">
        <v>1.0530124592646113E-2</v>
      </c>
      <c r="I266">
        <v>0.16885158614092033</v>
      </c>
      <c r="J266">
        <v>0.45279564387171922</v>
      </c>
      <c r="L266">
        <v>11021.030032281044</v>
      </c>
      <c r="M266">
        <v>9.9540706898055848</v>
      </c>
      <c r="N266">
        <v>8.9003848031689721</v>
      </c>
      <c r="O266">
        <v>18331.33013096658</v>
      </c>
      <c r="P266">
        <v>11.360985109128995</v>
      </c>
      <c r="Q266">
        <v>10.36659859672803</v>
      </c>
      <c r="S266">
        <f t="shared" si="18"/>
        <v>879017.45028461609</v>
      </c>
      <c r="T266">
        <f t="shared" si="19"/>
        <v>1018328.5295418365</v>
      </c>
      <c r="V266">
        <f t="shared" si="16"/>
        <v>0</v>
      </c>
      <c r="W266">
        <f t="shared" si="17"/>
        <v>1</v>
      </c>
    </row>
    <row r="267" spans="1:23" x14ac:dyDescent="0.2">
      <c r="A267">
        <v>262</v>
      </c>
      <c r="B267">
        <v>329.53203897240502</v>
      </c>
      <c r="C267">
        <v>2511.416219744739</v>
      </c>
      <c r="D267">
        <v>1193.3563395765734</v>
      </c>
      <c r="E267">
        <v>932.41653586862424</v>
      </c>
      <c r="F267">
        <v>0.94886061852189374</v>
      </c>
      <c r="G267">
        <v>0.88509293689699353</v>
      </c>
      <c r="H267">
        <v>1.1022439876261024E-2</v>
      </c>
      <c r="I267">
        <v>0.1495099861626682</v>
      </c>
      <c r="J267">
        <v>0.47708773180089259</v>
      </c>
      <c r="L267">
        <v>9438.6372385907216</v>
      </c>
      <c r="M267">
        <v>10.067929327643814</v>
      </c>
      <c r="N267">
        <v>9.3849147651885989</v>
      </c>
      <c r="O267">
        <v>19376.198281172368</v>
      </c>
      <c r="P267">
        <v>11.337833283719519</v>
      </c>
      <c r="Q267">
        <v>10.638737897802248</v>
      </c>
      <c r="S267">
        <f t="shared" si="18"/>
        <v>929052.83928026911</v>
      </c>
      <c r="T267">
        <f t="shared" si="19"/>
        <v>1044497.5914990524</v>
      </c>
      <c r="V267">
        <f t="shared" si="16"/>
        <v>0</v>
      </c>
      <c r="W267">
        <f t="shared" si="17"/>
        <v>1</v>
      </c>
    </row>
    <row r="268" spans="1:23" x14ac:dyDescent="0.2">
      <c r="A268">
        <v>263</v>
      </c>
      <c r="B268">
        <v>492.03191331297336</v>
      </c>
      <c r="C268">
        <v>3532.5281583522119</v>
      </c>
      <c r="D268">
        <v>967.977783737359</v>
      </c>
      <c r="E268">
        <v>686.87415818128238</v>
      </c>
      <c r="F268">
        <v>0.9351717415425651</v>
      </c>
      <c r="G268">
        <v>0.8750214933316961</v>
      </c>
      <c r="H268">
        <v>9.8923726791959807E-3</v>
      </c>
      <c r="I268">
        <v>0.14777761246793217</v>
      </c>
      <c r="J268">
        <v>0.5301704512210853</v>
      </c>
      <c r="L268">
        <v>13057.284286138747</v>
      </c>
      <c r="M268">
        <v>10.280830958739092</v>
      </c>
      <c r="N268">
        <v>9.4612143579152033</v>
      </c>
      <c r="O268">
        <v>20668.398331627228</v>
      </c>
      <c r="P268">
        <v>11.355279721067786</v>
      </c>
      <c r="Q268">
        <v>10.505987388797276</v>
      </c>
      <c r="S268">
        <f t="shared" si="18"/>
        <v>933064.15150538157</v>
      </c>
      <c r="T268">
        <f t="shared" si="19"/>
        <v>1029930.3405481004</v>
      </c>
      <c r="V268">
        <f t="shared" si="16"/>
        <v>0</v>
      </c>
      <c r="W268">
        <f t="shared" si="17"/>
        <v>1</v>
      </c>
    </row>
    <row r="269" spans="1:23" x14ac:dyDescent="0.2">
      <c r="A269">
        <v>264</v>
      </c>
      <c r="B269">
        <v>620.64638586342835</v>
      </c>
      <c r="C269">
        <v>4366.8565079543723</v>
      </c>
      <c r="D269">
        <v>1034.6528000633002</v>
      </c>
      <c r="E269">
        <v>1466.537672018306</v>
      </c>
      <c r="F269">
        <v>0.97568185394304674</v>
      </c>
      <c r="G269">
        <v>0.85609349590773132</v>
      </c>
      <c r="H269">
        <v>8.6172644416658596E-3</v>
      </c>
      <c r="I269">
        <v>0.14579921135567125</v>
      </c>
      <c r="J269">
        <v>0.48459704592391489</v>
      </c>
      <c r="L269">
        <v>16138.377927515787</v>
      </c>
      <c r="M269">
        <v>10.54500806027076</v>
      </c>
      <c r="N269">
        <v>9.9988556087186016</v>
      </c>
      <c r="O269">
        <v>24249.425653180006</v>
      </c>
      <c r="P269">
        <v>11.712303403054293</v>
      </c>
      <c r="Q269">
        <v>11.228722687049371</v>
      </c>
      <c r="S269">
        <f t="shared" si="18"/>
        <v>983747.18294434436</v>
      </c>
      <c r="T269">
        <f t="shared" si="19"/>
        <v>1098622.843051757</v>
      </c>
      <c r="V269">
        <f t="shared" si="16"/>
        <v>0</v>
      </c>
      <c r="W269">
        <f t="shared" si="17"/>
        <v>1</v>
      </c>
    </row>
    <row r="270" spans="1:23" x14ac:dyDescent="0.2">
      <c r="A270">
        <v>265</v>
      </c>
      <c r="B270">
        <v>556.68571700030429</v>
      </c>
      <c r="C270">
        <v>3222.8715677579944</v>
      </c>
      <c r="D270">
        <v>1327.7417581584714</v>
      </c>
      <c r="E270">
        <v>1186.8667195765836</v>
      </c>
      <c r="F270">
        <v>0.95840263263325931</v>
      </c>
      <c r="G270">
        <v>0.70604551249052938</v>
      </c>
      <c r="H270">
        <v>9.6437765061393853E-3</v>
      </c>
      <c r="I270">
        <v>0.17761886047055453</v>
      </c>
      <c r="J270">
        <v>0.54715249043976111</v>
      </c>
      <c r="L270">
        <v>12022.799211591622</v>
      </c>
      <c r="M270">
        <v>10.042390383177599</v>
      </c>
      <c r="N270">
        <v>9.0604371222008879</v>
      </c>
      <c r="O270">
        <v>23595.190357754687</v>
      </c>
      <c r="P270">
        <v>11.139218326230047</v>
      </c>
      <c r="Q270">
        <v>10.251669048316444</v>
      </c>
      <c r="S270">
        <f t="shared" si="18"/>
        <v>894020.91300849721</v>
      </c>
      <c r="T270">
        <f t="shared" si="19"/>
        <v>1001571.7144738897</v>
      </c>
      <c r="V270">
        <f t="shared" si="16"/>
        <v>0</v>
      </c>
      <c r="W270">
        <f t="shared" si="17"/>
        <v>1</v>
      </c>
    </row>
    <row r="271" spans="1:23" x14ac:dyDescent="0.2">
      <c r="A271">
        <v>266</v>
      </c>
      <c r="B271">
        <v>403.08955577454833</v>
      </c>
      <c r="C271">
        <v>3218.5704297304942</v>
      </c>
      <c r="D271">
        <v>1006.0512042128495</v>
      </c>
      <c r="E271">
        <v>1244.9572021267973</v>
      </c>
      <c r="F271">
        <v>0.92909273315966467</v>
      </c>
      <c r="G271">
        <v>0.850992519356638</v>
      </c>
      <c r="H271">
        <v>9.8454194322175406E-3</v>
      </c>
      <c r="I271">
        <v>0.12739973203301774</v>
      </c>
      <c r="J271">
        <v>0.47057259609651969</v>
      </c>
      <c r="L271">
        <v>12507.610354433657</v>
      </c>
      <c r="M271">
        <v>10.527181440361771</v>
      </c>
      <c r="N271">
        <v>9.5637076956508427</v>
      </c>
      <c r="O271">
        <v>20252.153926005842</v>
      </c>
      <c r="P271">
        <v>11.703186003241163</v>
      </c>
      <c r="Q271">
        <v>10.72410353750994</v>
      </c>
      <c r="S271">
        <f t="shared" si="18"/>
        <v>943863.1592106506</v>
      </c>
      <c r="T271">
        <f t="shared" si="19"/>
        <v>1052158.1998249881</v>
      </c>
      <c r="V271">
        <f t="shared" si="16"/>
        <v>0</v>
      </c>
      <c r="W271">
        <f t="shared" si="17"/>
        <v>1</v>
      </c>
    </row>
    <row r="272" spans="1:23" x14ac:dyDescent="0.2">
      <c r="A272">
        <v>267</v>
      </c>
      <c r="B272">
        <v>307.42050101930761</v>
      </c>
      <c r="C272">
        <v>2788.053645750852</v>
      </c>
      <c r="D272">
        <v>1009.6520967228562</v>
      </c>
      <c r="E272">
        <v>830.01947939423405</v>
      </c>
      <c r="F272">
        <v>0.94668649306000907</v>
      </c>
      <c r="G272">
        <v>0.70754117703101571</v>
      </c>
      <c r="H272">
        <v>1.1358465987959558E-2</v>
      </c>
      <c r="I272">
        <v>9.777603873828733E-2</v>
      </c>
      <c r="J272">
        <v>0.42885719560422236</v>
      </c>
      <c r="L272">
        <v>12008.772016823343</v>
      </c>
      <c r="M272">
        <v>10.744998728206006</v>
      </c>
      <c r="N272">
        <v>9.3594752782282864</v>
      </c>
      <c r="O272">
        <v>19207.597913583402</v>
      </c>
      <c r="P272">
        <v>11.922762012418342</v>
      </c>
      <c r="Q272">
        <v>10.747169343855766</v>
      </c>
      <c r="S272">
        <f t="shared" si="18"/>
        <v>923938.75580600533</v>
      </c>
      <c r="T272">
        <f t="shared" si="19"/>
        <v>1055509.3364719932</v>
      </c>
      <c r="V272">
        <f t="shared" si="16"/>
        <v>0</v>
      </c>
      <c r="W272">
        <f t="shared" si="17"/>
        <v>1</v>
      </c>
    </row>
    <row r="273" spans="1:23" x14ac:dyDescent="0.2">
      <c r="A273">
        <v>268</v>
      </c>
      <c r="B273">
        <v>245.50969537714576</v>
      </c>
      <c r="C273">
        <v>2968.3773863979645</v>
      </c>
      <c r="D273">
        <v>966.68551416801824</v>
      </c>
      <c r="E273">
        <v>523.94086274318624</v>
      </c>
      <c r="F273">
        <v>0.94836039732250343</v>
      </c>
      <c r="G273">
        <v>0.65348221747469482</v>
      </c>
      <c r="H273">
        <v>9.5960141750756015E-3</v>
      </c>
      <c r="I273">
        <v>0.12683307009251188</v>
      </c>
      <c r="J273">
        <v>0.48933394808435432</v>
      </c>
      <c r="L273">
        <v>10285.677543140633</v>
      </c>
      <c r="M273">
        <v>10.577105443871977</v>
      </c>
      <c r="N273">
        <v>9.2180621534036931</v>
      </c>
      <c r="O273">
        <v>17688.460059488876</v>
      </c>
      <c r="P273">
        <v>11.689065955255163</v>
      </c>
      <c r="Q273">
        <v>10.516114847144893</v>
      </c>
      <c r="S273">
        <f t="shared" si="18"/>
        <v>911520.53779722867</v>
      </c>
      <c r="T273">
        <f t="shared" si="19"/>
        <v>1033923.0246550003</v>
      </c>
      <c r="V273">
        <f t="shared" si="16"/>
        <v>0</v>
      </c>
      <c r="W273">
        <f t="shared" si="17"/>
        <v>1</v>
      </c>
    </row>
    <row r="274" spans="1:23" x14ac:dyDescent="0.2">
      <c r="A274">
        <v>269</v>
      </c>
      <c r="B274">
        <v>502.83535082491898</v>
      </c>
      <c r="C274">
        <v>2935.5090613086036</v>
      </c>
      <c r="D274">
        <v>948.98092366395588</v>
      </c>
      <c r="E274">
        <v>1208.7119324377184</v>
      </c>
      <c r="F274">
        <v>0.93521061851870513</v>
      </c>
      <c r="G274">
        <v>0.73507861543914477</v>
      </c>
      <c r="H274">
        <v>1.2278861787154953E-2</v>
      </c>
      <c r="I274">
        <v>0.1494395737712807</v>
      </c>
      <c r="J274">
        <v>0.58048711469600311</v>
      </c>
      <c r="L274">
        <v>12138.717793542672</v>
      </c>
      <c r="M274">
        <v>9.8736929363184274</v>
      </c>
      <c r="N274">
        <v>8.6845926431769218</v>
      </c>
      <c r="O274">
        <v>19375.921122002692</v>
      </c>
      <c r="P274">
        <v>10.837780239622967</v>
      </c>
      <c r="Q274">
        <v>9.6977281442075363</v>
      </c>
      <c r="S274">
        <f t="shared" si="18"/>
        <v>856320.54652414948</v>
      </c>
      <c r="T274">
        <f t="shared" si="19"/>
        <v>950396.89329875098</v>
      </c>
      <c r="V274">
        <f t="shared" si="16"/>
        <v>0</v>
      </c>
      <c r="W274">
        <f t="shared" si="17"/>
        <v>1</v>
      </c>
    </row>
    <row r="275" spans="1:23" x14ac:dyDescent="0.2">
      <c r="A275">
        <v>270</v>
      </c>
      <c r="B275">
        <v>384.21627732867751</v>
      </c>
      <c r="C275">
        <v>3414.6482487052249</v>
      </c>
      <c r="D275">
        <v>981.13950874259046</v>
      </c>
      <c r="E275">
        <v>705.51956864110491</v>
      </c>
      <c r="F275">
        <v>0.975812103833818</v>
      </c>
      <c r="G275">
        <v>0.87683879801627285</v>
      </c>
      <c r="H275">
        <v>1.047809808633746E-2</v>
      </c>
      <c r="I275">
        <v>0.17111838476429919</v>
      </c>
      <c r="J275">
        <v>0.57727889433831681</v>
      </c>
      <c r="L275">
        <v>11284.84389375024</v>
      </c>
      <c r="M275">
        <v>9.9422834598040541</v>
      </c>
      <c r="N275">
        <v>9.4673403076807787</v>
      </c>
      <c r="O275">
        <v>18964.770602584016</v>
      </c>
      <c r="P275">
        <v>10.947756399718797</v>
      </c>
      <c r="Q275">
        <v>10.499731661545026</v>
      </c>
      <c r="S275">
        <f t="shared" si="18"/>
        <v>935449.1868743276</v>
      </c>
      <c r="T275">
        <f t="shared" si="19"/>
        <v>1031008.3955519187</v>
      </c>
      <c r="V275">
        <f t="shared" si="16"/>
        <v>0</v>
      </c>
      <c r="W275">
        <f t="shared" si="17"/>
        <v>1</v>
      </c>
    </row>
    <row r="276" spans="1:23" x14ac:dyDescent="0.2">
      <c r="A276">
        <v>271</v>
      </c>
      <c r="B276">
        <v>494.71260473313527</v>
      </c>
      <c r="C276">
        <v>2878.9416576371214</v>
      </c>
      <c r="D276">
        <v>1001.1139241863326</v>
      </c>
      <c r="E276">
        <v>602.95995462473968</v>
      </c>
      <c r="F276">
        <v>0.9608163758807492</v>
      </c>
      <c r="G276">
        <v>0.7450578609381997</v>
      </c>
      <c r="H276">
        <v>1.009416258605937E-2</v>
      </c>
      <c r="I276">
        <v>0.14019843381520661</v>
      </c>
      <c r="J276">
        <v>0.49394261865877964</v>
      </c>
      <c r="L276">
        <v>11655.872624248224</v>
      </c>
      <c r="M276">
        <v>10.329687232843547</v>
      </c>
      <c r="N276">
        <v>9.3528733492074725</v>
      </c>
      <c r="O276">
        <v>19959.770251437938</v>
      </c>
      <c r="P276">
        <v>11.492184254380712</v>
      </c>
      <c r="Q276">
        <v>10.63474218737985</v>
      </c>
      <c r="S276">
        <f t="shared" si="18"/>
        <v>923631.46229649894</v>
      </c>
      <c r="T276">
        <f t="shared" si="19"/>
        <v>1043514.4484865471</v>
      </c>
      <c r="V276">
        <f t="shared" si="16"/>
        <v>0</v>
      </c>
      <c r="W276">
        <f t="shared" si="17"/>
        <v>1</v>
      </c>
    </row>
    <row r="277" spans="1:23" x14ac:dyDescent="0.2">
      <c r="A277">
        <v>272</v>
      </c>
      <c r="B277">
        <v>455.6679480006618</v>
      </c>
      <c r="C277">
        <v>2923.2026129898381</v>
      </c>
      <c r="D277">
        <v>1055.3199680844468</v>
      </c>
      <c r="E277">
        <v>1069.9575366578017</v>
      </c>
      <c r="F277">
        <v>0.981088839074441</v>
      </c>
      <c r="G277">
        <v>0.8564903538183174</v>
      </c>
      <c r="H277">
        <v>1.0623615455768379E-2</v>
      </c>
      <c r="I277">
        <v>0.14729738304767279</v>
      </c>
      <c r="J277">
        <v>0.50178145760016479</v>
      </c>
      <c r="L277">
        <v>11517.87770779271</v>
      </c>
      <c r="M277">
        <v>10.158781609082356</v>
      </c>
      <c r="N277">
        <v>9.639697664248601</v>
      </c>
      <c r="O277">
        <v>20110.055304963636</v>
      </c>
      <c r="P277">
        <v>11.333411999992869</v>
      </c>
      <c r="Q277">
        <v>10.882128223393167</v>
      </c>
      <c r="S277">
        <f t="shared" si="18"/>
        <v>952451.88871706743</v>
      </c>
      <c r="T277">
        <f t="shared" si="19"/>
        <v>1068102.767034353</v>
      </c>
      <c r="V277">
        <f t="shared" si="16"/>
        <v>0</v>
      </c>
      <c r="W277">
        <f t="shared" si="17"/>
        <v>1</v>
      </c>
    </row>
    <row r="278" spans="1:23" x14ac:dyDescent="0.2">
      <c r="A278">
        <v>273</v>
      </c>
      <c r="B278">
        <v>425.21866167135585</v>
      </c>
      <c r="C278">
        <v>3070.9062177513047</v>
      </c>
      <c r="D278">
        <v>1131.1460189953573</v>
      </c>
      <c r="E278">
        <v>670.02904554381723</v>
      </c>
      <c r="F278">
        <v>0.96195530532653817</v>
      </c>
      <c r="G278">
        <v>0.80681017784485964</v>
      </c>
      <c r="H278">
        <v>1.0268707215885362E-2</v>
      </c>
      <c r="I278">
        <v>0.14837077675974961</v>
      </c>
      <c r="J278">
        <v>0.54563362463785015</v>
      </c>
      <c r="L278">
        <v>11416.394622567492</v>
      </c>
      <c r="M278">
        <v>10.207740848769202</v>
      </c>
      <c r="N278">
        <v>9.4194826069312363</v>
      </c>
      <c r="O278">
        <v>20642.044309687077</v>
      </c>
      <c r="P278">
        <v>11.245821813711672</v>
      </c>
      <c r="Q278">
        <v>10.516191519970764</v>
      </c>
      <c r="S278">
        <f t="shared" si="18"/>
        <v>930531.86607055622</v>
      </c>
      <c r="T278">
        <f t="shared" si="19"/>
        <v>1030977.1076873892</v>
      </c>
      <c r="V278">
        <f t="shared" si="16"/>
        <v>0</v>
      </c>
      <c r="W278">
        <f t="shared" si="17"/>
        <v>1</v>
      </c>
    </row>
    <row r="279" spans="1:23" x14ac:dyDescent="0.2">
      <c r="A279">
        <v>274</v>
      </c>
      <c r="B279">
        <v>504.58750816667128</v>
      </c>
      <c r="C279">
        <v>3673.3005545354813</v>
      </c>
      <c r="D279">
        <v>1013.9644537297395</v>
      </c>
      <c r="E279">
        <v>1177.0072491571591</v>
      </c>
      <c r="F279">
        <v>0.90421678269741712</v>
      </c>
      <c r="G279">
        <v>0.72770013666620326</v>
      </c>
      <c r="H279">
        <v>8.189460457975686E-3</v>
      </c>
      <c r="I279">
        <v>0.17981952508494514</v>
      </c>
      <c r="J279">
        <v>0.5070950896334746</v>
      </c>
      <c r="L279">
        <v>12210.416563767891</v>
      </c>
      <c r="M279">
        <v>10.334274943807825</v>
      </c>
      <c r="N279">
        <v>8.9791125978090491</v>
      </c>
      <c r="O279">
        <v>20929.716255399024</v>
      </c>
      <c r="P279">
        <v>11.51743711119431</v>
      </c>
      <c r="Q279">
        <v>10.157668309159813</v>
      </c>
      <c r="S279">
        <f t="shared" si="18"/>
        <v>885700.84321713692</v>
      </c>
      <c r="T279">
        <f t="shared" si="19"/>
        <v>994837.11466058227</v>
      </c>
      <c r="V279">
        <f t="shared" si="16"/>
        <v>0</v>
      </c>
      <c r="W279">
        <f t="shared" si="17"/>
        <v>1</v>
      </c>
    </row>
    <row r="280" spans="1:23" x14ac:dyDescent="0.2">
      <c r="A280">
        <v>275</v>
      </c>
      <c r="B280">
        <v>572.9195914618839</v>
      </c>
      <c r="C280">
        <v>3396.7196856109649</v>
      </c>
      <c r="D280">
        <v>1064.651792853834</v>
      </c>
      <c r="E280">
        <v>838.9308282408756</v>
      </c>
      <c r="F280">
        <v>0.97700066672121699</v>
      </c>
      <c r="G280">
        <v>0.80421515644722463</v>
      </c>
      <c r="H280">
        <v>8.9734269312438716E-3</v>
      </c>
      <c r="I280">
        <v>0.19992106880542815</v>
      </c>
      <c r="J280">
        <v>0.47159651633823618</v>
      </c>
      <c r="L280">
        <v>11720.232150821108</v>
      </c>
      <c r="M280">
        <v>10.009712106129374</v>
      </c>
      <c r="N280">
        <v>9.4337839183047674</v>
      </c>
      <c r="O280">
        <v>21287.777155100837</v>
      </c>
      <c r="P280">
        <v>11.387638055167891</v>
      </c>
      <c r="Q280">
        <v>10.889023019957481</v>
      </c>
      <c r="S280">
        <f t="shared" si="18"/>
        <v>931658.15967965557</v>
      </c>
      <c r="T280">
        <f t="shared" si="19"/>
        <v>1067614.5248406474</v>
      </c>
      <c r="V280">
        <f t="shared" si="16"/>
        <v>0</v>
      </c>
      <c r="W280">
        <f t="shared" si="17"/>
        <v>1</v>
      </c>
    </row>
    <row r="281" spans="1:23" x14ac:dyDescent="0.2">
      <c r="A281">
        <v>276</v>
      </c>
      <c r="B281">
        <v>627.70346523556134</v>
      </c>
      <c r="C281">
        <v>3085.6160733248034</v>
      </c>
      <c r="D281">
        <v>1020.9062878268039</v>
      </c>
      <c r="E281">
        <v>1235.3286268202796</v>
      </c>
      <c r="F281">
        <v>0.93142937043450158</v>
      </c>
      <c r="G281">
        <v>0.59687055699679503</v>
      </c>
      <c r="H281">
        <v>1.0425220777954504E-2</v>
      </c>
      <c r="I281">
        <v>0.14383255578994875</v>
      </c>
      <c r="J281">
        <v>0.48541669197712162</v>
      </c>
      <c r="L281">
        <v>13390.120191263628</v>
      </c>
      <c r="M281">
        <v>10.231339440869531</v>
      </c>
      <c r="N281">
        <v>8.6452771749678803</v>
      </c>
      <c r="O281">
        <v>21888.335204627274</v>
      </c>
      <c r="P281">
        <v>11.441140449850511</v>
      </c>
      <c r="Q281">
        <v>10.029560604586187</v>
      </c>
      <c r="S281">
        <f t="shared" si="18"/>
        <v>851137.5973055244</v>
      </c>
      <c r="T281">
        <f t="shared" si="19"/>
        <v>981067.72525399143</v>
      </c>
      <c r="V281">
        <f t="shared" si="16"/>
        <v>0</v>
      </c>
      <c r="W281">
        <f t="shared" si="17"/>
        <v>1</v>
      </c>
    </row>
    <row r="282" spans="1:23" x14ac:dyDescent="0.2">
      <c r="A282">
        <v>277</v>
      </c>
      <c r="B282">
        <v>404.06573769257324</v>
      </c>
      <c r="C282">
        <v>1947.0887250529856</v>
      </c>
      <c r="D282">
        <v>1167.5996394469169</v>
      </c>
      <c r="E282">
        <v>1086.2513283013327</v>
      </c>
      <c r="F282">
        <v>0.94781610711714614</v>
      </c>
      <c r="G282">
        <v>0.76873494679794896</v>
      </c>
      <c r="H282">
        <v>8.2617482403960652E-3</v>
      </c>
      <c r="I282">
        <v>0.10005979515707018</v>
      </c>
      <c r="J282">
        <v>0.53764565956940991</v>
      </c>
      <c r="L282">
        <v>9365.6055350466086</v>
      </c>
      <c r="M282">
        <v>11.176310031936179</v>
      </c>
      <c r="N282">
        <v>10.067281394822423</v>
      </c>
      <c r="O282">
        <v>19902.435928221756</v>
      </c>
      <c r="P282">
        <v>12.012059839029218</v>
      </c>
      <c r="Q282">
        <v>11.00661604701294</v>
      </c>
      <c r="S282">
        <f t="shared" si="18"/>
        <v>997362.53394719562</v>
      </c>
      <c r="T282">
        <f t="shared" si="19"/>
        <v>1080759.1687730723</v>
      </c>
      <c r="V282">
        <f t="shared" si="16"/>
        <v>0</v>
      </c>
      <c r="W282">
        <f t="shared" si="17"/>
        <v>1</v>
      </c>
    </row>
    <row r="283" spans="1:23" x14ac:dyDescent="0.2">
      <c r="A283">
        <v>278</v>
      </c>
      <c r="B283">
        <v>444.24789781264576</v>
      </c>
      <c r="C283">
        <v>2199.1059745878233</v>
      </c>
      <c r="D283">
        <v>1018.8492588700515</v>
      </c>
      <c r="E283">
        <v>996.05636396130467</v>
      </c>
      <c r="F283">
        <v>0.93912411204180379</v>
      </c>
      <c r="G283">
        <v>0.84332591500890219</v>
      </c>
      <c r="H283">
        <v>1.0827012993612514E-2</v>
      </c>
      <c r="I283">
        <v>0.15330927315004028</v>
      </c>
      <c r="J283">
        <v>0.52325957500770892</v>
      </c>
      <c r="L283">
        <v>9385.3263795454841</v>
      </c>
      <c r="M283">
        <v>10.058798950241158</v>
      </c>
      <c r="N283">
        <v>9.1995416285693263</v>
      </c>
      <c r="O283">
        <v>18075.350106728383</v>
      </c>
      <c r="P283">
        <v>11.189203805912706</v>
      </c>
      <c r="Q283">
        <v>10.324320349585717</v>
      </c>
      <c r="S283">
        <f t="shared" si="18"/>
        <v>910568.83647738711</v>
      </c>
      <c r="T283">
        <f t="shared" si="19"/>
        <v>1014356.6848518433</v>
      </c>
      <c r="V283">
        <f t="shared" si="16"/>
        <v>0</v>
      </c>
      <c r="W283">
        <f t="shared" si="17"/>
        <v>1</v>
      </c>
    </row>
    <row r="284" spans="1:23" x14ac:dyDescent="0.2">
      <c r="A284">
        <v>279</v>
      </c>
      <c r="B284">
        <v>425.8448773857387</v>
      </c>
      <c r="C284">
        <v>2277.3760236865301</v>
      </c>
      <c r="D284">
        <v>1044.9968693552944</v>
      </c>
      <c r="E284">
        <v>657.71213653166683</v>
      </c>
      <c r="F284">
        <v>0.96843788654750051</v>
      </c>
      <c r="G284">
        <v>0.74429031064835993</v>
      </c>
      <c r="H284">
        <v>9.3955457344509479E-3</v>
      </c>
      <c r="I284">
        <v>9.3140160623482335E-2</v>
      </c>
      <c r="J284">
        <v>0.51864297359330835</v>
      </c>
      <c r="L284">
        <v>10888.469989020772</v>
      </c>
      <c r="M284">
        <v>11.100923665203865</v>
      </c>
      <c r="N284">
        <v>10.028563979009355</v>
      </c>
      <c r="O284">
        <v>19618.852753972413</v>
      </c>
      <c r="P284">
        <v>11.975023954408373</v>
      </c>
      <c r="Q284">
        <v>11.079057610007773</v>
      </c>
      <c r="S284">
        <f t="shared" si="18"/>
        <v>991967.92791191477</v>
      </c>
      <c r="T284">
        <f t="shared" si="19"/>
        <v>1088286.908246805</v>
      </c>
      <c r="V284">
        <f t="shared" si="16"/>
        <v>0</v>
      </c>
      <c r="W284">
        <f t="shared" si="17"/>
        <v>1</v>
      </c>
    </row>
    <row r="285" spans="1:23" x14ac:dyDescent="0.2">
      <c r="A285">
        <v>280</v>
      </c>
      <c r="B285">
        <v>349.17898440372534</v>
      </c>
      <c r="C285">
        <v>2363.0296897918452</v>
      </c>
      <c r="D285">
        <v>960.48632512500285</v>
      </c>
      <c r="E285">
        <v>1205.1399302150071</v>
      </c>
      <c r="F285">
        <v>0.94975936705989317</v>
      </c>
      <c r="G285">
        <v>0.74559576894852408</v>
      </c>
      <c r="H285">
        <v>9.4795379326419443E-3</v>
      </c>
      <c r="I285">
        <v>0.15255233858964057</v>
      </c>
      <c r="J285">
        <v>0.47211676427868599</v>
      </c>
      <c r="L285">
        <v>8988.4593608629748</v>
      </c>
      <c r="M285">
        <v>10.307170006155793</v>
      </c>
      <c r="N285">
        <v>9.288661024500545</v>
      </c>
      <c r="O285">
        <v>17231.662081819675</v>
      </c>
      <c r="P285">
        <v>11.564839761545421</v>
      </c>
      <c r="Q285">
        <v>10.639652097511823</v>
      </c>
      <c r="S285">
        <f t="shared" si="18"/>
        <v>919877.64308919152</v>
      </c>
      <c r="T285">
        <f t="shared" si="19"/>
        <v>1046733.5476693625</v>
      </c>
      <c r="V285">
        <f t="shared" si="16"/>
        <v>0</v>
      </c>
      <c r="W285">
        <f t="shared" si="17"/>
        <v>1</v>
      </c>
    </row>
    <row r="286" spans="1:23" x14ac:dyDescent="0.2">
      <c r="A286">
        <v>281</v>
      </c>
      <c r="B286">
        <v>726.58820759264108</v>
      </c>
      <c r="C286">
        <v>3104.7960295170947</v>
      </c>
      <c r="D286">
        <v>1005.6838761861071</v>
      </c>
      <c r="E286">
        <v>825.65767527665685</v>
      </c>
      <c r="F286">
        <v>0.93744297785698438</v>
      </c>
      <c r="G286">
        <v>0.78156075611379972</v>
      </c>
      <c r="H286">
        <v>9.8540708319576134E-3</v>
      </c>
      <c r="I286">
        <v>0.10918535173312301</v>
      </c>
      <c r="J286">
        <v>0.55690080334144343</v>
      </c>
      <c r="L286">
        <v>15308.856509020043</v>
      </c>
      <c r="M286">
        <v>10.775985586083067</v>
      </c>
      <c r="N286">
        <v>9.6295470479432286</v>
      </c>
      <c r="O286">
        <v>23508.645209391801</v>
      </c>
      <c r="P286">
        <v>11.641087460777811</v>
      </c>
      <c r="Q286">
        <v>10.55656836460734</v>
      </c>
      <c r="S286">
        <f t="shared" si="18"/>
        <v>947645.84828530275</v>
      </c>
      <c r="T286">
        <f t="shared" si="19"/>
        <v>1032148.1912513422</v>
      </c>
      <c r="V286">
        <f t="shared" si="16"/>
        <v>0</v>
      </c>
      <c r="W286">
        <f t="shared" si="17"/>
        <v>1</v>
      </c>
    </row>
    <row r="287" spans="1:23" x14ac:dyDescent="0.2">
      <c r="A287">
        <v>282</v>
      </c>
      <c r="B287">
        <v>599.20504731614801</v>
      </c>
      <c r="C287">
        <v>2026.0960772381561</v>
      </c>
      <c r="D287">
        <v>848.16363183761598</v>
      </c>
      <c r="E287">
        <v>1087.1486449000608</v>
      </c>
      <c r="F287">
        <v>0.96873906971817014</v>
      </c>
      <c r="G287">
        <v>0.81379580540272578</v>
      </c>
      <c r="H287">
        <v>9.4400583946307338E-3</v>
      </c>
      <c r="I287">
        <v>0.16246469626914706</v>
      </c>
      <c r="J287">
        <v>0.47298163956491379</v>
      </c>
      <c r="L287">
        <v>9892.8641070259691</v>
      </c>
      <c r="M287">
        <v>10.217852560599624</v>
      </c>
      <c r="N287">
        <v>9.5341214480444556</v>
      </c>
      <c r="O287">
        <v>17873.947151336128</v>
      </c>
      <c r="P287">
        <v>11.504218451600563</v>
      </c>
      <c r="Q287">
        <v>10.893693977344146</v>
      </c>
      <c r="S287">
        <f t="shared" si="18"/>
        <v>943519.28069741954</v>
      </c>
      <c r="T287">
        <f t="shared" si="19"/>
        <v>1071495.4505830784</v>
      </c>
      <c r="V287">
        <f t="shared" si="16"/>
        <v>0</v>
      </c>
      <c r="W287">
        <f t="shared" si="17"/>
        <v>1</v>
      </c>
    </row>
    <row r="288" spans="1:23" x14ac:dyDescent="0.2">
      <c r="A288">
        <v>283</v>
      </c>
      <c r="B288">
        <v>360.65169106439077</v>
      </c>
      <c r="C288">
        <v>3119.7409623645244</v>
      </c>
      <c r="D288">
        <v>838.96934961398404</v>
      </c>
      <c r="E288">
        <v>944.00345326285697</v>
      </c>
      <c r="F288">
        <v>0.94992782744146698</v>
      </c>
      <c r="G288">
        <v>0.63388886272412615</v>
      </c>
      <c r="H288">
        <v>1.0098731258945703E-2</v>
      </c>
      <c r="I288">
        <v>0.14101720529935893</v>
      </c>
      <c r="J288">
        <v>0.47683285234945649</v>
      </c>
      <c r="L288">
        <v>11364.254026430266</v>
      </c>
      <c r="M288">
        <v>10.319477095677671</v>
      </c>
      <c r="N288">
        <v>8.9676416401262209</v>
      </c>
      <c r="O288">
        <v>17626.725094001205</v>
      </c>
      <c r="P288">
        <v>11.538003355959701</v>
      </c>
      <c r="Q288">
        <v>10.377599624638538</v>
      </c>
      <c r="S288">
        <f t="shared" si="18"/>
        <v>885399.90998619178</v>
      </c>
      <c r="T288">
        <f t="shared" si="19"/>
        <v>1020133.2373698527</v>
      </c>
      <c r="V288">
        <f t="shared" si="16"/>
        <v>0</v>
      </c>
      <c r="W288">
        <f t="shared" si="17"/>
        <v>1</v>
      </c>
    </row>
    <row r="289" spans="1:23" x14ac:dyDescent="0.2">
      <c r="A289">
        <v>284</v>
      </c>
      <c r="B289">
        <v>459.47953030565793</v>
      </c>
      <c r="C289">
        <v>2611.8020685369497</v>
      </c>
      <c r="D289">
        <v>1028.2332828644253</v>
      </c>
      <c r="E289">
        <v>1210.4455394795202</v>
      </c>
      <c r="F289">
        <v>0.9702058426040483</v>
      </c>
      <c r="G289">
        <v>0.86625390897820986</v>
      </c>
      <c r="H289">
        <v>1.0875054173862203E-2</v>
      </c>
      <c r="I289">
        <v>0.11774106009177042</v>
      </c>
      <c r="J289">
        <v>0.52630928813720768</v>
      </c>
      <c r="L289">
        <v>11763.981215589947</v>
      </c>
      <c r="M289">
        <v>10.494003643030659</v>
      </c>
      <c r="N289">
        <v>9.866875219367321</v>
      </c>
      <c r="O289">
        <v>19941.552821093625</v>
      </c>
      <c r="P289">
        <v>11.491126302487602</v>
      </c>
      <c r="Q289">
        <v>10.915178873624372</v>
      </c>
      <c r="S289">
        <f t="shared" si="18"/>
        <v>974923.5407211422</v>
      </c>
      <c r="T289">
        <f t="shared" si="19"/>
        <v>1071576.3345413434</v>
      </c>
      <c r="V289">
        <f t="shared" si="16"/>
        <v>0</v>
      </c>
      <c r="W289">
        <f t="shared" si="17"/>
        <v>1</v>
      </c>
    </row>
    <row r="290" spans="1:23" x14ac:dyDescent="0.2">
      <c r="A290">
        <v>285</v>
      </c>
      <c r="B290">
        <v>444.68740226228277</v>
      </c>
      <c r="C290">
        <v>3329.6374519742267</v>
      </c>
      <c r="D290">
        <v>879.10346768391992</v>
      </c>
      <c r="E290">
        <v>818.0287138072963</v>
      </c>
      <c r="F290">
        <v>0.96055262388417328</v>
      </c>
      <c r="G290">
        <v>0.62279148963064013</v>
      </c>
      <c r="H290">
        <v>1.000412621622406E-2</v>
      </c>
      <c r="I290">
        <v>0.14422329988250096</v>
      </c>
      <c r="J290">
        <v>0.50932195877157271</v>
      </c>
      <c r="L290">
        <v>12376.745954203017</v>
      </c>
      <c r="M290">
        <v>10.299804843724836</v>
      </c>
      <c r="N290">
        <v>9.0165699003022794</v>
      </c>
      <c r="O290">
        <v>19117.211678316202</v>
      </c>
      <c r="P290">
        <v>11.427606220723328</v>
      </c>
      <c r="Q290">
        <v>10.342357512872265</v>
      </c>
      <c r="S290">
        <f t="shared" si="18"/>
        <v>889280.24407602486</v>
      </c>
      <c r="T290">
        <f t="shared" si="19"/>
        <v>1015118.5396089103</v>
      </c>
      <c r="V290">
        <f t="shared" si="16"/>
        <v>0</v>
      </c>
      <c r="W290">
        <f t="shared" si="17"/>
        <v>1</v>
      </c>
    </row>
    <row r="291" spans="1:23" x14ac:dyDescent="0.2">
      <c r="A291">
        <v>286</v>
      </c>
      <c r="B291">
        <v>400.73159474810302</v>
      </c>
      <c r="C291">
        <v>2710.8868726223013</v>
      </c>
      <c r="D291">
        <v>964.05305163631931</v>
      </c>
      <c r="E291">
        <v>1322.2939401402948</v>
      </c>
      <c r="F291">
        <v>0.97178804667721808</v>
      </c>
      <c r="G291">
        <v>0.7297972807491655</v>
      </c>
      <c r="H291">
        <v>9.7815422617701809E-3</v>
      </c>
      <c r="I291">
        <v>0.17842217953073813</v>
      </c>
      <c r="J291">
        <v>0.52935780810989241</v>
      </c>
      <c r="L291">
        <v>9718.3555489439896</v>
      </c>
      <c r="M291">
        <v>10.008475365090534</v>
      </c>
      <c r="N291">
        <v>9.1836373207585567</v>
      </c>
      <c r="O291">
        <v>17863.620972174267</v>
      </c>
      <c r="P291">
        <v>11.166204629257509</v>
      </c>
      <c r="Q291">
        <v>10.449787191672391</v>
      </c>
      <c r="S291">
        <f t="shared" si="18"/>
        <v>908645.37652691174</v>
      </c>
      <c r="T291">
        <f t="shared" si="19"/>
        <v>1027115.0981950648</v>
      </c>
      <c r="V291">
        <f t="shared" si="16"/>
        <v>0</v>
      </c>
      <c r="W291">
        <f t="shared" si="17"/>
        <v>1</v>
      </c>
    </row>
    <row r="292" spans="1:23" x14ac:dyDescent="0.2">
      <c r="A292">
        <v>287</v>
      </c>
      <c r="B292">
        <v>644.92576093875221</v>
      </c>
      <c r="C292">
        <v>3418.7945097689244</v>
      </c>
      <c r="D292">
        <v>967.90286986102547</v>
      </c>
      <c r="E292">
        <v>788.66251945756687</v>
      </c>
      <c r="F292">
        <v>0.897695752506663</v>
      </c>
      <c r="G292">
        <v>0.7782455990208893</v>
      </c>
      <c r="H292">
        <v>1.156902385298296E-2</v>
      </c>
      <c r="I292">
        <v>0.18200645698597639</v>
      </c>
      <c r="J292">
        <v>0.4938074621337854</v>
      </c>
      <c r="L292">
        <v>13105.49994989416</v>
      </c>
      <c r="M292">
        <v>9.653431590671385</v>
      </c>
      <c r="N292">
        <v>8.3841606240621083</v>
      </c>
      <c r="O292">
        <v>21065.143683657901</v>
      </c>
      <c r="P292">
        <v>10.97493596588513</v>
      </c>
      <c r="Q292">
        <v>9.6460067787007553</v>
      </c>
      <c r="S292">
        <f t="shared" si="18"/>
        <v>825310.56245631666</v>
      </c>
      <c r="T292">
        <f t="shared" si="19"/>
        <v>943535.5341864177</v>
      </c>
      <c r="V292">
        <f t="shared" si="16"/>
        <v>0</v>
      </c>
      <c r="W292">
        <f t="shared" si="17"/>
        <v>1</v>
      </c>
    </row>
    <row r="293" spans="1:23" x14ac:dyDescent="0.2">
      <c r="A293">
        <v>288</v>
      </c>
      <c r="B293">
        <v>515.93986806194141</v>
      </c>
      <c r="C293">
        <v>2975.5435799886832</v>
      </c>
      <c r="D293">
        <v>864.35259744404516</v>
      </c>
      <c r="E293">
        <v>1186.8597376204436</v>
      </c>
      <c r="F293">
        <v>0.93362267970436275</v>
      </c>
      <c r="G293">
        <v>0.83395784423678898</v>
      </c>
      <c r="H293">
        <v>9.831057868287996E-3</v>
      </c>
      <c r="I293">
        <v>0.15043152077210797</v>
      </c>
      <c r="J293">
        <v>0.47496675940744598</v>
      </c>
      <c r="L293">
        <v>11920.304017716266</v>
      </c>
      <c r="M293">
        <v>10.26372046300526</v>
      </c>
      <c r="N293">
        <v>9.3321664309900125</v>
      </c>
      <c r="O293">
        <v>18985.602858377457</v>
      </c>
      <c r="P293">
        <v>11.515223672237727</v>
      </c>
      <c r="Q293">
        <v>10.577185900947134</v>
      </c>
      <c r="S293">
        <f t="shared" si="18"/>
        <v>921296.33908128494</v>
      </c>
      <c r="T293">
        <f t="shared" si="19"/>
        <v>1038732.987236336</v>
      </c>
      <c r="V293">
        <f t="shared" si="16"/>
        <v>0</v>
      </c>
      <c r="W293">
        <f t="shared" si="17"/>
        <v>1</v>
      </c>
    </row>
    <row r="294" spans="1:23" x14ac:dyDescent="0.2">
      <c r="A294">
        <v>289</v>
      </c>
      <c r="B294">
        <v>497.97767449346048</v>
      </c>
      <c r="C294">
        <v>2526.2829301603679</v>
      </c>
      <c r="D294">
        <v>892.19952889276829</v>
      </c>
      <c r="E294">
        <v>707.90826472641515</v>
      </c>
      <c r="F294">
        <v>0.96218701887249525</v>
      </c>
      <c r="G294">
        <v>0.60826992963912141</v>
      </c>
      <c r="H294">
        <v>8.7844747241739556E-3</v>
      </c>
      <c r="I294">
        <v>0.14724152665382662</v>
      </c>
      <c r="J294">
        <v>0.50869014567104109</v>
      </c>
      <c r="L294">
        <v>10405.007095537063</v>
      </c>
      <c r="M294">
        <v>10.496617587608901</v>
      </c>
      <c r="N294">
        <v>9.2403782789015043</v>
      </c>
      <c r="O294">
        <v>18265.099260700732</v>
      </c>
      <c r="P294">
        <v>11.603545618617629</v>
      </c>
      <c r="Q294">
        <v>10.555834932623066</v>
      </c>
      <c r="S294">
        <f t="shared" si="18"/>
        <v>913632.82079461345</v>
      </c>
      <c r="T294">
        <f t="shared" si="19"/>
        <v>1037318.3940016058</v>
      </c>
      <c r="V294">
        <f t="shared" si="16"/>
        <v>0</v>
      </c>
      <c r="W294">
        <f t="shared" si="17"/>
        <v>1</v>
      </c>
    </row>
    <row r="295" spans="1:23" x14ac:dyDescent="0.2">
      <c r="A295">
        <v>290</v>
      </c>
      <c r="B295">
        <v>586.89222854043612</v>
      </c>
      <c r="C295">
        <v>3274.4019901306419</v>
      </c>
      <c r="D295">
        <v>905.91311667200284</v>
      </c>
      <c r="E295">
        <v>1393.9573352031887</v>
      </c>
      <c r="F295">
        <v>0.95943981720217852</v>
      </c>
      <c r="G295">
        <v>0.81088092151763236</v>
      </c>
      <c r="H295">
        <v>1.0566256054295715E-2</v>
      </c>
      <c r="I295">
        <v>0.18308618751844763</v>
      </c>
      <c r="J295">
        <v>0.54699598046205333</v>
      </c>
      <c r="L295">
        <v>12444.303969273065</v>
      </c>
      <c r="M295">
        <v>9.820136530041129</v>
      </c>
      <c r="N295">
        <v>9.084552917729539</v>
      </c>
      <c r="O295">
        <v>19865.502314493799</v>
      </c>
      <c r="P295">
        <v>10.947723679706678</v>
      </c>
      <c r="Q295">
        <v>10.24674813418733</v>
      </c>
      <c r="S295">
        <f t="shared" si="18"/>
        <v>896010.98780368082</v>
      </c>
      <c r="T295">
        <f t="shared" si="19"/>
        <v>1004809.3111042392</v>
      </c>
      <c r="V295">
        <f t="shared" si="16"/>
        <v>0</v>
      </c>
      <c r="W295">
        <f t="shared" si="17"/>
        <v>1</v>
      </c>
    </row>
    <row r="296" spans="1:23" x14ac:dyDescent="0.2">
      <c r="A296">
        <v>291</v>
      </c>
      <c r="B296">
        <v>478.36245905988324</v>
      </c>
      <c r="C296">
        <v>2777.2002921191115</v>
      </c>
      <c r="D296">
        <v>956.73981298663273</v>
      </c>
      <c r="E296">
        <v>1124.6329725130302</v>
      </c>
      <c r="F296">
        <v>0.89424154890037</v>
      </c>
      <c r="G296">
        <v>0.70524557048832548</v>
      </c>
      <c r="H296">
        <v>1.1106653099843978E-2</v>
      </c>
      <c r="I296">
        <v>0.15305409319798069</v>
      </c>
      <c r="J296">
        <v>0.42602961295789099</v>
      </c>
      <c r="L296">
        <v>11228.847973033504</v>
      </c>
      <c r="M296">
        <v>10.015141167043904</v>
      </c>
      <c r="N296">
        <v>8.4635359222650948</v>
      </c>
      <c r="O296">
        <v>19101.494549057621</v>
      </c>
      <c r="P296">
        <v>11.476648032012232</v>
      </c>
      <c r="Q296">
        <v>9.9344700352554351</v>
      </c>
      <c r="S296">
        <f t="shared" si="18"/>
        <v>835124.74425347592</v>
      </c>
      <c r="T296">
        <f t="shared" si="19"/>
        <v>974345.50897648581</v>
      </c>
      <c r="V296">
        <f t="shared" si="16"/>
        <v>0</v>
      </c>
      <c r="W296">
        <f t="shared" si="17"/>
        <v>1</v>
      </c>
    </row>
    <row r="297" spans="1:23" x14ac:dyDescent="0.2">
      <c r="A297">
        <v>292</v>
      </c>
      <c r="B297">
        <v>641.15516541474869</v>
      </c>
      <c r="C297">
        <v>1787.0696517809181</v>
      </c>
      <c r="D297">
        <v>838.16760501746717</v>
      </c>
      <c r="E297">
        <v>792.90002134800363</v>
      </c>
      <c r="F297">
        <v>0.96922246999429273</v>
      </c>
      <c r="G297">
        <v>0.77902758836890851</v>
      </c>
      <c r="H297">
        <v>9.1062889239598051E-3</v>
      </c>
      <c r="I297">
        <v>0.15668473820581408</v>
      </c>
      <c r="J297">
        <v>0.52763009203563283</v>
      </c>
      <c r="L297">
        <v>9640.1784380457011</v>
      </c>
      <c r="M297">
        <v>10.338647017101337</v>
      </c>
      <c r="N297">
        <v>9.5695004859150963</v>
      </c>
      <c r="O297">
        <v>17652.081499579173</v>
      </c>
      <c r="P297">
        <v>11.427951839798197</v>
      </c>
      <c r="Q297">
        <v>10.747576739718891</v>
      </c>
      <c r="S297">
        <f t="shared" si="18"/>
        <v>947309.87015346391</v>
      </c>
      <c r="T297">
        <f t="shared" si="19"/>
        <v>1057105.5924723099</v>
      </c>
      <c r="V297">
        <f t="shared" si="16"/>
        <v>0</v>
      </c>
      <c r="W297">
        <f t="shared" si="17"/>
        <v>1</v>
      </c>
    </row>
    <row r="298" spans="1:23" x14ac:dyDescent="0.2">
      <c r="A298">
        <v>293</v>
      </c>
      <c r="B298">
        <v>613.20812781735663</v>
      </c>
      <c r="C298">
        <v>2726.6771855343532</v>
      </c>
      <c r="D298">
        <v>994.90061205157281</v>
      </c>
      <c r="E298">
        <v>893.63156112080787</v>
      </c>
      <c r="F298">
        <v>0.9234445622573213</v>
      </c>
      <c r="G298">
        <v>0.70567151366923764</v>
      </c>
      <c r="H298">
        <v>8.6528818831455249E-3</v>
      </c>
      <c r="I298">
        <v>0.20624058702200321</v>
      </c>
      <c r="J298">
        <v>0.48952289157961643</v>
      </c>
      <c r="L298">
        <v>10585.002871535085</v>
      </c>
      <c r="M298">
        <v>10.038494838416558</v>
      </c>
      <c r="N298">
        <v>8.8502017619471989</v>
      </c>
      <c r="O298">
        <v>20011.919209367428</v>
      </c>
      <c r="P298">
        <v>11.357240439341313</v>
      </c>
      <c r="Q298">
        <v>10.195565932444069</v>
      </c>
      <c r="S298">
        <f t="shared" si="18"/>
        <v>874435.17332318472</v>
      </c>
      <c r="T298">
        <f t="shared" si="19"/>
        <v>999544.67403503938</v>
      </c>
      <c r="V298">
        <f t="shared" si="16"/>
        <v>0</v>
      </c>
      <c r="W298">
        <f t="shared" si="17"/>
        <v>1</v>
      </c>
    </row>
    <row r="299" spans="1:23" x14ac:dyDescent="0.2">
      <c r="A299">
        <v>294</v>
      </c>
      <c r="B299">
        <v>543.0917257812996</v>
      </c>
      <c r="C299">
        <v>3014.9626465279784</v>
      </c>
      <c r="D299">
        <v>875.58959156359117</v>
      </c>
      <c r="E299">
        <v>1190.8996603883018</v>
      </c>
      <c r="F299">
        <v>0.95417220615839449</v>
      </c>
      <c r="G299">
        <v>0.56712074329406914</v>
      </c>
      <c r="H299">
        <v>9.291134115216447E-3</v>
      </c>
      <c r="I299">
        <v>0.14094733358915704</v>
      </c>
      <c r="J299">
        <v>0.48614985799819982</v>
      </c>
      <c r="L299">
        <v>12426.42204512733</v>
      </c>
      <c r="M299">
        <v>10.465560442759106</v>
      </c>
      <c r="N299">
        <v>8.9972994296020712</v>
      </c>
      <c r="O299">
        <v>19638.202999471068</v>
      </c>
      <c r="P299">
        <v>11.632983051622499</v>
      </c>
      <c r="Q299">
        <v>10.412114071879497</v>
      </c>
      <c r="S299">
        <f t="shared" si="18"/>
        <v>887303.52091507975</v>
      </c>
      <c r="T299">
        <f t="shared" si="19"/>
        <v>1021573.2041884785</v>
      </c>
      <c r="V299">
        <f t="shared" si="16"/>
        <v>0</v>
      </c>
      <c r="W299">
        <f t="shared" si="17"/>
        <v>1</v>
      </c>
    </row>
    <row r="300" spans="1:23" x14ac:dyDescent="0.2">
      <c r="A300">
        <v>295</v>
      </c>
      <c r="B300">
        <v>416.94122902125133</v>
      </c>
      <c r="C300">
        <v>3244.0724531989076</v>
      </c>
      <c r="D300">
        <v>1027.1342391820272</v>
      </c>
      <c r="E300">
        <v>1184.7277551606335</v>
      </c>
      <c r="F300">
        <v>0.97533884448897012</v>
      </c>
      <c r="G300">
        <v>0.68076352785838534</v>
      </c>
      <c r="H300">
        <v>9.6934085052290068E-3</v>
      </c>
      <c r="I300">
        <v>0.16433257414695734</v>
      </c>
      <c r="J300">
        <v>0.55131311362626056</v>
      </c>
      <c r="L300">
        <v>11361.56671500938</v>
      </c>
      <c r="M300">
        <v>10.151366917474723</v>
      </c>
      <c r="N300">
        <v>9.206063883128893</v>
      </c>
      <c r="O300">
        <v>19730.161197672958</v>
      </c>
      <c r="P300">
        <v>11.204696853985226</v>
      </c>
      <c r="Q300">
        <v>10.404151396677005</v>
      </c>
      <c r="S300">
        <f t="shared" si="18"/>
        <v>909244.82159787987</v>
      </c>
      <c r="T300">
        <f t="shared" si="19"/>
        <v>1020684.9784700276</v>
      </c>
      <c r="V300">
        <f t="shared" si="16"/>
        <v>0</v>
      </c>
      <c r="W300">
        <f t="shared" si="17"/>
        <v>1</v>
      </c>
    </row>
    <row r="301" spans="1:23" x14ac:dyDescent="0.2">
      <c r="A301">
        <v>296</v>
      </c>
      <c r="B301">
        <v>405.62068603089199</v>
      </c>
      <c r="C301">
        <v>3734.1765496142161</v>
      </c>
      <c r="D301">
        <v>924.98754405423483</v>
      </c>
      <c r="E301">
        <v>942.73197701490585</v>
      </c>
      <c r="F301">
        <v>0.96180329202830239</v>
      </c>
      <c r="G301">
        <v>0.72235228089518666</v>
      </c>
      <c r="H301">
        <v>1.1424781022548961E-2</v>
      </c>
      <c r="I301">
        <v>0.1751182150355618</v>
      </c>
      <c r="J301">
        <v>0.52464684192992594</v>
      </c>
      <c r="L301">
        <v>12370.287649444414</v>
      </c>
      <c r="M301">
        <v>9.7403597845677279</v>
      </c>
      <c r="N301">
        <v>8.7912529905629366</v>
      </c>
      <c r="O301">
        <v>19213.666941129861</v>
      </c>
      <c r="P301">
        <v>10.935978330420847</v>
      </c>
      <c r="Q301">
        <v>10.083651699205058</v>
      </c>
      <c r="S301">
        <f t="shared" si="18"/>
        <v>866755.01140684925</v>
      </c>
      <c r="T301">
        <f t="shared" si="19"/>
        <v>989151.502979376</v>
      </c>
      <c r="V301">
        <f t="shared" si="16"/>
        <v>0</v>
      </c>
      <c r="W301">
        <f t="shared" si="17"/>
        <v>1</v>
      </c>
    </row>
    <row r="302" spans="1:23" x14ac:dyDescent="0.2">
      <c r="A302">
        <v>297</v>
      </c>
      <c r="B302">
        <v>370.17818883565701</v>
      </c>
      <c r="C302">
        <v>3250.7025237726625</v>
      </c>
      <c r="D302">
        <v>944.72840409648506</v>
      </c>
      <c r="E302">
        <v>1346.8893141830142</v>
      </c>
      <c r="F302">
        <v>0.96208740747122712</v>
      </c>
      <c r="G302">
        <v>0.85337123404938342</v>
      </c>
      <c r="H302">
        <v>7.2113740870112276E-3</v>
      </c>
      <c r="I302">
        <v>0.15825863596160938</v>
      </c>
      <c r="J302">
        <v>0.47292069165139744</v>
      </c>
      <c r="L302">
        <v>10542.642785659837</v>
      </c>
      <c r="M302">
        <v>10.740331541776966</v>
      </c>
      <c r="N302">
        <v>10.102371205577514</v>
      </c>
      <c r="O302">
        <v>18668.155387608207</v>
      </c>
      <c r="P302">
        <v>11.920796710204206</v>
      </c>
      <c r="Q302">
        <v>11.31741031594113</v>
      </c>
      <c r="S302">
        <f t="shared" si="18"/>
        <v>999694.47777209152</v>
      </c>
      <c r="T302">
        <f t="shared" si="19"/>
        <v>1113072.8762065049</v>
      </c>
      <c r="V302">
        <f t="shared" si="16"/>
        <v>0</v>
      </c>
      <c r="W302">
        <f t="shared" si="17"/>
        <v>1</v>
      </c>
    </row>
    <row r="303" spans="1:23" x14ac:dyDescent="0.2">
      <c r="A303">
        <v>298</v>
      </c>
      <c r="B303">
        <v>489.99433296270576</v>
      </c>
      <c r="C303">
        <v>3143.8166055200395</v>
      </c>
      <c r="D303">
        <v>780.95304400057739</v>
      </c>
      <c r="E303">
        <v>1229.2807491999356</v>
      </c>
      <c r="F303">
        <v>0.96281868273498461</v>
      </c>
      <c r="G303">
        <v>0.84553801215966695</v>
      </c>
      <c r="H303">
        <v>9.5460330950445961E-3</v>
      </c>
      <c r="I303">
        <v>0.14635349371389153</v>
      </c>
      <c r="J303">
        <v>0.52802652268138472</v>
      </c>
      <c r="L303">
        <v>12228.770282464104</v>
      </c>
      <c r="M303">
        <v>10.359371835986478</v>
      </c>
      <c r="N303">
        <v>9.6781638722202743</v>
      </c>
      <c r="O303">
        <v>18323.497643000028</v>
      </c>
      <c r="P303">
        <v>11.427888797201691</v>
      </c>
      <c r="Q303">
        <v>10.78592352011106</v>
      </c>
      <c r="S303">
        <f t="shared" si="18"/>
        <v>955587.6169395633</v>
      </c>
      <c r="T303">
        <f t="shared" si="19"/>
        <v>1060268.854368106</v>
      </c>
      <c r="V303">
        <f t="shared" si="16"/>
        <v>0</v>
      </c>
      <c r="W303">
        <f t="shared" si="17"/>
        <v>1</v>
      </c>
    </row>
    <row r="304" spans="1:23" x14ac:dyDescent="0.2">
      <c r="A304">
        <v>299</v>
      </c>
      <c r="B304">
        <v>523.02242939505697</v>
      </c>
      <c r="C304">
        <v>2715.9634886884037</v>
      </c>
      <c r="D304">
        <v>1115.3850126427851</v>
      </c>
      <c r="E304">
        <v>1152.518348215443</v>
      </c>
      <c r="F304">
        <v>0.91872179346453853</v>
      </c>
      <c r="G304">
        <v>0.70926480221620425</v>
      </c>
      <c r="H304">
        <v>1.0618640600837188E-2</v>
      </c>
      <c r="I304">
        <v>0.21768414823340376</v>
      </c>
      <c r="J304">
        <v>0.50330645691545417</v>
      </c>
      <c r="L304">
        <v>9911.5357162491418</v>
      </c>
      <c r="M304">
        <v>9.5481768023205422</v>
      </c>
      <c r="N304">
        <v>8.3506351870186784</v>
      </c>
      <c r="O304">
        <v>19812.812635971652</v>
      </c>
      <c r="P304">
        <v>10.898194647945814</v>
      </c>
      <c r="Q304">
        <v>9.7038258391237058</v>
      </c>
      <c r="S304">
        <f t="shared" si="18"/>
        <v>825151.98298561864</v>
      </c>
      <c r="T304">
        <f t="shared" si="19"/>
        <v>950569.77127639891</v>
      </c>
      <c r="V304">
        <f t="shared" si="16"/>
        <v>0</v>
      </c>
      <c r="W304">
        <f t="shared" si="17"/>
        <v>1</v>
      </c>
    </row>
    <row r="305" spans="1:23" x14ac:dyDescent="0.2">
      <c r="A305">
        <v>300</v>
      </c>
      <c r="B305">
        <v>568.02830374100586</v>
      </c>
      <c r="C305">
        <v>1760.1286780699872</v>
      </c>
      <c r="D305">
        <v>853.47767585257759</v>
      </c>
      <c r="E305">
        <v>1076.3791803844115</v>
      </c>
      <c r="F305">
        <v>0.97829915436194059</v>
      </c>
      <c r="G305">
        <v>0.78193478618077816</v>
      </c>
      <c r="H305">
        <v>8.735448836764215E-3</v>
      </c>
      <c r="I305">
        <v>0.14847142382287837</v>
      </c>
      <c r="J305">
        <v>0.47837401321374112</v>
      </c>
      <c r="L305">
        <v>9218.6104498717559</v>
      </c>
      <c r="M305">
        <v>10.493968117575696</v>
      </c>
      <c r="N305">
        <v>9.7930554882288892</v>
      </c>
      <c r="O305">
        <v>17442.067552472166</v>
      </c>
      <c r="P305">
        <v>11.693395386583092</v>
      </c>
      <c r="Q305">
        <v>11.116654199527087</v>
      </c>
      <c r="S305">
        <f t="shared" si="18"/>
        <v>970086.93837301712</v>
      </c>
      <c r="T305">
        <f t="shared" si="19"/>
        <v>1094223.3524002365</v>
      </c>
      <c r="V305">
        <f t="shared" si="16"/>
        <v>0</v>
      </c>
      <c r="W305">
        <f t="shared" si="17"/>
        <v>1</v>
      </c>
    </row>
    <row r="306" spans="1:23" x14ac:dyDescent="0.2">
      <c r="A306">
        <v>301</v>
      </c>
      <c r="B306">
        <v>543.31106965487868</v>
      </c>
      <c r="C306">
        <v>3138.0475457372045</v>
      </c>
      <c r="D306">
        <v>862.02058435010838</v>
      </c>
      <c r="E306">
        <v>871.077192780269</v>
      </c>
      <c r="F306">
        <v>0.93680018188841763</v>
      </c>
      <c r="G306">
        <v>0.76294006026562933</v>
      </c>
      <c r="H306">
        <v>9.7667091606386258E-3</v>
      </c>
      <c r="I306">
        <v>0.14357796868486528</v>
      </c>
      <c r="J306">
        <v>0.55786482385331548</v>
      </c>
      <c r="L306">
        <v>12635.276169489849</v>
      </c>
      <c r="M306">
        <v>10.349278537794547</v>
      </c>
      <c r="N306">
        <v>9.2469470674782723</v>
      </c>
      <c r="O306">
        <v>19551.305187414509</v>
      </c>
      <c r="P306">
        <v>11.328688574959537</v>
      </c>
      <c r="Q306">
        <v>10.27293571319022</v>
      </c>
      <c r="S306">
        <f t="shared" si="18"/>
        <v>912059.4305783374</v>
      </c>
      <c r="T306">
        <f t="shared" si="19"/>
        <v>1007742.2661316075</v>
      </c>
      <c r="V306">
        <f t="shared" si="16"/>
        <v>0</v>
      </c>
      <c r="W306">
        <f t="shared" si="17"/>
        <v>1</v>
      </c>
    </row>
    <row r="307" spans="1:23" x14ac:dyDescent="0.2">
      <c r="A307">
        <v>302</v>
      </c>
      <c r="B307">
        <v>423.33879968353779</v>
      </c>
      <c r="C307">
        <v>4056.944364939869</v>
      </c>
      <c r="D307">
        <v>916.53270429499469</v>
      </c>
      <c r="E307">
        <v>771.27594679627509</v>
      </c>
      <c r="F307">
        <v>0.90880549505195607</v>
      </c>
      <c r="G307">
        <v>0.71935603849113716</v>
      </c>
      <c r="H307">
        <v>1.0988295625218098E-2</v>
      </c>
      <c r="I307">
        <v>0.16609976476098487</v>
      </c>
      <c r="J307">
        <v>0.44616090147060022</v>
      </c>
      <c r="L307">
        <v>13447.274561161481</v>
      </c>
      <c r="M307">
        <v>9.9003720333413714</v>
      </c>
      <c r="N307">
        <v>8.5313537434521134</v>
      </c>
      <c r="O307">
        <v>19979.98739693797</v>
      </c>
      <c r="P307">
        <v>11.333596554951061</v>
      </c>
      <c r="Q307">
        <v>9.9807929628245304</v>
      </c>
      <c r="S307">
        <f t="shared" si="18"/>
        <v>839688.09978404979</v>
      </c>
      <c r="T307">
        <f t="shared" si="19"/>
        <v>978099.30888551497</v>
      </c>
      <c r="V307">
        <f t="shared" si="16"/>
        <v>0</v>
      </c>
      <c r="W307">
        <f t="shared" si="17"/>
        <v>1</v>
      </c>
    </row>
    <row r="308" spans="1:23" x14ac:dyDescent="0.2">
      <c r="A308">
        <v>303</v>
      </c>
      <c r="B308">
        <v>459.81615269759453</v>
      </c>
      <c r="C308">
        <v>3657.7651114530486</v>
      </c>
      <c r="D308">
        <v>933.95889268106339</v>
      </c>
      <c r="E308">
        <v>1342.2474828122156</v>
      </c>
      <c r="F308">
        <v>0.97959134265898651</v>
      </c>
      <c r="G308">
        <v>0.77023878333043605</v>
      </c>
      <c r="H308">
        <v>1.2592642944214994E-2</v>
      </c>
      <c r="I308">
        <v>0.1704561073970482</v>
      </c>
      <c r="J308">
        <v>0.55847143197665128</v>
      </c>
      <c r="L308">
        <v>13122.937531442292</v>
      </c>
      <c r="M308">
        <v>9.5995366452819884</v>
      </c>
      <c r="N308">
        <v>8.8715627736620934</v>
      </c>
      <c r="O308">
        <v>19879.085706935959</v>
      </c>
      <c r="P308">
        <v>10.686405819289172</v>
      </c>
      <c r="Q308">
        <v>10.04968350508226</v>
      </c>
      <c r="S308">
        <f t="shared" si="18"/>
        <v>874033.33983476704</v>
      </c>
      <c r="T308">
        <f t="shared" si="19"/>
        <v>985089.26480129012</v>
      </c>
      <c r="V308">
        <f t="shared" si="16"/>
        <v>0</v>
      </c>
      <c r="W308">
        <f t="shared" si="17"/>
        <v>1</v>
      </c>
    </row>
    <row r="309" spans="1:23" x14ac:dyDescent="0.2">
      <c r="A309">
        <v>304</v>
      </c>
      <c r="B309">
        <v>391.60557499868332</v>
      </c>
      <c r="C309">
        <v>2316.7979015180654</v>
      </c>
      <c r="D309">
        <v>1003.9568136575767</v>
      </c>
      <c r="E309">
        <v>1983.7685991090618</v>
      </c>
      <c r="F309">
        <v>0.93881434677286613</v>
      </c>
      <c r="G309">
        <v>0.66897005969644185</v>
      </c>
      <c r="H309">
        <v>1.0572100161460936E-2</v>
      </c>
      <c r="I309">
        <v>0.16357352301287065</v>
      </c>
      <c r="J309">
        <v>0.40814682034705269</v>
      </c>
      <c r="L309">
        <v>9424.7074215992798</v>
      </c>
      <c r="M309">
        <v>9.9973510501909786</v>
      </c>
      <c r="N309">
        <v>8.7247825012291038</v>
      </c>
      <c r="O309">
        <v>18087.061087832717</v>
      </c>
      <c r="P309">
        <v>11.549931095455097</v>
      </c>
      <c r="Q309">
        <v>10.416851916706653</v>
      </c>
      <c r="S309">
        <f t="shared" si="18"/>
        <v>863053.54270131106</v>
      </c>
      <c r="T309">
        <f t="shared" si="19"/>
        <v>1023598.1305828326</v>
      </c>
      <c r="V309">
        <f t="shared" si="16"/>
        <v>0</v>
      </c>
      <c r="W309">
        <f t="shared" si="17"/>
        <v>1</v>
      </c>
    </row>
    <row r="310" spans="1:23" x14ac:dyDescent="0.2">
      <c r="A310">
        <v>305</v>
      </c>
      <c r="B310">
        <v>386.45988414808039</v>
      </c>
      <c r="C310">
        <v>3811.3213841400457</v>
      </c>
      <c r="D310">
        <v>1223.7205884631687</v>
      </c>
      <c r="E310">
        <v>1181.974898920115</v>
      </c>
      <c r="F310">
        <v>0.90504453379103433</v>
      </c>
      <c r="G310">
        <v>0.82851502060842086</v>
      </c>
      <c r="H310">
        <v>1.062508798876516E-2</v>
      </c>
      <c r="I310">
        <v>0.12549602252308559</v>
      </c>
      <c r="J310">
        <v>0.45808607606100266</v>
      </c>
      <c r="L310">
        <v>14356.885861965275</v>
      </c>
      <c r="M310">
        <v>10.424664760064596</v>
      </c>
      <c r="N310">
        <v>9.2135804697701413</v>
      </c>
      <c r="O310">
        <v>23417.080143104096</v>
      </c>
      <c r="P310">
        <v>11.64987449047762</v>
      </c>
      <c r="Q310">
        <v>10.391907864481301</v>
      </c>
      <c r="S310">
        <f t="shared" si="18"/>
        <v>907001.16111504892</v>
      </c>
      <c r="T310">
        <f t="shared" si="19"/>
        <v>1015773.706305026</v>
      </c>
      <c r="V310">
        <f t="shared" si="16"/>
        <v>0</v>
      </c>
      <c r="W310">
        <f t="shared" si="17"/>
        <v>1</v>
      </c>
    </row>
    <row r="311" spans="1:23" x14ac:dyDescent="0.2">
      <c r="A311">
        <v>306</v>
      </c>
      <c r="B311">
        <v>328.9337784771368</v>
      </c>
      <c r="C311">
        <v>2943.7774570209217</v>
      </c>
      <c r="D311">
        <v>947.98601774870588</v>
      </c>
      <c r="E311">
        <v>1100.4345973781037</v>
      </c>
      <c r="F311">
        <v>0.94279136128404184</v>
      </c>
      <c r="G311">
        <v>0.60715548650674434</v>
      </c>
      <c r="H311">
        <v>1.1523817914808641E-2</v>
      </c>
      <c r="I311">
        <v>0.18068202669920053</v>
      </c>
      <c r="J311">
        <v>0.58222063800232737</v>
      </c>
      <c r="L311">
        <v>9840.6587509459368</v>
      </c>
      <c r="M311">
        <v>9.6728686308132144</v>
      </c>
      <c r="N311">
        <v>8.3251705841126569</v>
      </c>
      <c r="O311">
        <v>17168.297803376918</v>
      </c>
      <c r="P311">
        <v>10.696742186673101</v>
      </c>
      <c r="Q311">
        <v>9.4534542881075581</v>
      </c>
      <c r="S311">
        <f t="shared" si="18"/>
        <v>822676.39966031979</v>
      </c>
      <c r="T311">
        <f t="shared" si="19"/>
        <v>928177.13100737892</v>
      </c>
      <c r="V311">
        <f t="shared" si="16"/>
        <v>0</v>
      </c>
      <c r="W311">
        <f t="shared" si="17"/>
        <v>1</v>
      </c>
    </row>
    <row r="312" spans="1:23" x14ac:dyDescent="0.2">
      <c r="A312">
        <v>307</v>
      </c>
      <c r="B312">
        <v>411.40562489714404</v>
      </c>
      <c r="C312">
        <v>3302.3730025907871</v>
      </c>
      <c r="D312">
        <v>886.20513885788273</v>
      </c>
      <c r="E312">
        <v>1059.8995706248454</v>
      </c>
      <c r="F312">
        <v>0.93046825652535758</v>
      </c>
      <c r="G312">
        <v>0.72721777617275674</v>
      </c>
      <c r="H312">
        <v>1.0725070381925463E-2</v>
      </c>
      <c r="I312">
        <v>0.21801094004156918</v>
      </c>
      <c r="J312">
        <v>0.56554156271339051</v>
      </c>
      <c r="L312">
        <v>10217.889093208747</v>
      </c>
      <c r="M312">
        <v>9.5254949603024599</v>
      </c>
      <c r="N312">
        <v>8.4530908996757841</v>
      </c>
      <c r="O312">
        <v>17347.911617154223</v>
      </c>
      <c r="P312">
        <v>10.660902295257516</v>
      </c>
      <c r="Q312">
        <v>9.6001684843000987</v>
      </c>
      <c r="S312">
        <f t="shared" si="18"/>
        <v>835091.20087436971</v>
      </c>
      <c r="T312">
        <f t="shared" si="19"/>
        <v>942668.93681285565</v>
      </c>
      <c r="V312">
        <f t="shared" si="16"/>
        <v>0</v>
      </c>
      <c r="W312">
        <f t="shared" si="17"/>
        <v>1</v>
      </c>
    </row>
    <row r="313" spans="1:23" x14ac:dyDescent="0.2">
      <c r="A313">
        <v>308</v>
      </c>
      <c r="B313">
        <v>599.5387399305755</v>
      </c>
      <c r="C313">
        <v>3069.3150200316436</v>
      </c>
      <c r="D313">
        <v>1028.339400375801</v>
      </c>
      <c r="E313">
        <v>1029.4740878574876</v>
      </c>
      <c r="F313">
        <v>0.96511375500895125</v>
      </c>
      <c r="G313">
        <v>0.73248452796699004</v>
      </c>
      <c r="H313">
        <v>8.8862230854547374E-3</v>
      </c>
      <c r="I313">
        <v>0.19228436076321131</v>
      </c>
      <c r="J313">
        <v>0.4349835617952883</v>
      </c>
      <c r="L313">
        <v>11508.073952304379</v>
      </c>
      <c r="M313">
        <v>10.083869196218952</v>
      </c>
      <c r="N313">
        <v>9.255752418841638</v>
      </c>
      <c r="O313">
        <v>21013.952373463475</v>
      </c>
      <c r="P313">
        <v>11.568024259309057</v>
      </c>
      <c r="Q313">
        <v>10.854745787130263</v>
      </c>
      <c r="S313">
        <f t="shared" si="18"/>
        <v>914067.16793185938</v>
      </c>
      <c r="T313">
        <f t="shared" si="19"/>
        <v>1064460.6263395629</v>
      </c>
      <c r="V313">
        <f t="shared" si="16"/>
        <v>0</v>
      </c>
      <c r="W313">
        <f t="shared" si="17"/>
        <v>1</v>
      </c>
    </row>
    <row r="314" spans="1:23" x14ac:dyDescent="0.2">
      <c r="A314">
        <v>309</v>
      </c>
      <c r="B314">
        <v>389.45969615402424</v>
      </c>
      <c r="C314">
        <v>3275.9134587012627</v>
      </c>
      <c r="D314">
        <v>916.51429367400135</v>
      </c>
      <c r="E314">
        <v>798.54869629047028</v>
      </c>
      <c r="F314">
        <v>0.88906916180933104</v>
      </c>
      <c r="G314">
        <v>0.74367100501906469</v>
      </c>
      <c r="H314">
        <v>9.2300747064665862E-3</v>
      </c>
      <c r="I314">
        <v>0.16232886185019035</v>
      </c>
      <c r="J314">
        <v>0.48916479242280986</v>
      </c>
      <c r="L314">
        <v>11025.704204810623</v>
      </c>
      <c r="M314">
        <v>10.260493015620959</v>
      </c>
      <c r="N314">
        <v>8.7834048201644084</v>
      </c>
      <c r="O314">
        <v>18426.57452989621</v>
      </c>
      <c r="P314">
        <v>11.48781474497758</v>
      </c>
      <c r="Q314">
        <v>9.9763594305212226</v>
      </c>
      <c r="S314">
        <f t="shared" si="18"/>
        <v>867314.77781163016</v>
      </c>
      <c r="T314">
        <f t="shared" si="19"/>
        <v>979209.368522226</v>
      </c>
      <c r="V314">
        <f t="shared" si="16"/>
        <v>0</v>
      </c>
      <c r="W314">
        <f t="shared" si="17"/>
        <v>1</v>
      </c>
    </row>
    <row r="315" spans="1:23" x14ac:dyDescent="0.2">
      <c r="A315">
        <v>310</v>
      </c>
      <c r="B315">
        <v>436.07827700771963</v>
      </c>
      <c r="C315">
        <v>3546.1655419244007</v>
      </c>
      <c r="D315">
        <v>1037.714416071906</v>
      </c>
      <c r="E315">
        <v>860.6593790201606</v>
      </c>
      <c r="F315">
        <v>0.95702673431423479</v>
      </c>
      <c r="G315">
        <v>0.7374863170069671</v>
      </c>
      <c r="H315">
        <v>1.0171394000941601E-2</v>
      </c>
      <c r="I315">
        <v>0.17886101853155423</v>
      </c>
      <c r="J315">
        <v>0.44223028504008827</v>
      </c>
      <c r="L315">
        <v>11749.15944672809</v>
      </c>
      <c r="M315">
        <v>9.9298257443909108</v>
      </c>
      <c r="N315">
        <v>9.0041035744109816</v>
      </c>
      <c r="O315">
        <v>20199.832576311659</v>
      </c>
      <c r="P315">
        <v>11.395825995407407</v>
      </c>
      <c r="Q315">
        <v>10.570362078006639</v>
      </c>
      <c r="S315">
        <f t="shared" si="18"/>
        <v>888661.19799437013</v>
      </c>
      <c r="T315">
        <f t="shared" si="19"/>
        <v>1036836.3752243521</v>
      </c>
      <c r="V315">
        <f t="shared" si="16"/>
        <v>0</v>
      </c>
      <c r="W315">
        <f t="shared" si="17"/>
        <v>1</v>
      </c>
    </row>
    <row r="316" spans="1:23" x14ac:dyDescent="0.2">
      <c r="A316">
        <v>311</v>
      </c>
      <c r="B316">
        <v>428.4829246987382</v>
      </c>
      <c r="C316">
        <v>3309.1145219054797</v>
      </c>
      <c r="D316">
        <v>1038.3685214113946</v>
      </c>
      <c r="E316">
        <v>912.95995236260342</v>
      </c>
      <c r="F316">
        <v>0.94305800749558866</v>
      </c>
      <c r="G316">
        <v>0.76848398917877403</v>
      </c>
      <c r="H316">
        <v>1.0765824432949348E-2</v>
      </c>
      <c r="I316">
        <v>0.12271012552525376</v>
      </c>
      <c r="J316">
        <v>0.5500413816695312</v>
      </c>
      <c r="L316">
        <v>13281.949498312817</v>
      </c>
      <c r="M316">
        <v>10.440548433375257</v>
      </c>
      <c r="N316">
        <v>9.3322159698075176</v>
      </c>
      <c r="O316">
        <v>21079.48128803189</v>
      </c>
      <c r="P316">
        <v>11.390352535144595</v>
      </c>
      <c r="Q316">
        <v>10.351261287890161</v>
      </c>
      <c r="S316">
        <f t="shared" si="18"/>
        <v>919939.64748243894</v>
      </c>
      <c r="T316">
        <f t="shared" si="19"/>
        <v>1014046.6475009841</v>
      </c>
      <c r="V316">
        <f t="shared" si="16"/>
        <v>0</v>
      </c>
      <c r="W316">
        <f t="shared" si="17"/>
        <v>1</v>
      </c>
    </row>
    <row r="317" spans="1:23" x14ac:dyDescent="0.2">
      <c r="A317">
        <v>312</v>
      </c>
      <c r="B317">
        <v>378.36981918214155</v>
      </c>
      <c r="C317">
        <v>3070.7148733665135</v>
      </c>
      <c r="D317">
        <v>1096.8391951074047</v>
      </c>
      <c r="E317">
        <v>874.69913683659411</v>
      </c>
      <c r="F317">
        <v>0.96078052764178934</v>
      </c>
      <c r="G317">
        <v>0.81852146974371176</v>
      </c>
      <c r="H317">
        <v>9.2265453858896423E-3</v>
      </c>
      <c r="I317">
        <v>0.1430578313396019</v>
      </c>
      <c r="J317">
        <v>0.51124990083033217</v>
      </c>
      <c r="L317">
        <v>11066.47393240394</v>
      </c>
      <c r="M317">
        <v>10.454642735814987</v>
      </c>
      <c r="N317">
        <v>9.6855836201922276</v>
      </c>
      <c r="O317">
        <v>20151.957137759378</v>
      </c>
      <c r="P317">
        <v>11.553327969667432</v>
      </c>
      <c r="Q317">
        <v>10.843217398815879</v>
      </c>
      <c r="S317">
        <f t="shared" si="18"/>
        <v>957491.88808681886</v>
      </c>
      <c r="T317">
        <f t="shared" si="19"/>
        <v>1064169.7827438286</v>
      </c>
      <c r="V317">
        <f t="shared" si="16"/>
        <v>0</v>
      </c>
      <c r="W317">
        <f t="shared" si="17"/>
        <v>1</v>
      </c>
    </row>
    <row r="318" spans="1:23" x14ac:dyDescent="0.2">
      <c r="A318">
        <v>313</v>
      </c>
      <c r="B318">
        <v>242.1398225784346</v>
      </c>
      <c r="C318">
        <v>2524.9387908461854</v>
      </c>
      <c r="D318">
        <v>986.60703923911069</v>
      </c>
      <c r="E318">
        <v>820.04413220754327</v>
      </c>
      <c r="F318">
        <v>0.8874681254216199</v>
      </c>
      <c r="G318">
        <v>0.79827702777238074</v>
      </c>
      <c r="H318">
        <v>1.0106319526214835E-2</v>
      </c>
      <c r="I318">
        <v>0.15308412991362708</v>
      </c>
      <c r="J318">
        <v>0.45217662583240481</v>
      </c>
      <c r="L318">
        <v>8514.5065109781335</v>
      </c>
      <c r="M318">
        <v>10.18620402580628</v>
      </c>
      <c r="N318">
        <v>8.8159469025463046</v>
      </c>
      <c r="O318">
        <v>16588.038675629945</v>
      </c>
      <c r="P318">
        <v>11.529680522030446</v>
      </c>
      <c r="Q318">
        <v>10.0803454666463</v>
      </c>
      <c r="S318">
        <f t="shared" si="18"/>
        <v>873080.18374365242</v>
      </c>
      <c r="T318">
        <f t="shared" si="19"/>
        <v>991446.50798899995</v>
      </c>
      <c r="V318">
        <f t="shared" si="16"/>
        <v>0</v>
      </c>
      <c r="W318">
        <f t="shared" si="17"/>
        <v>1</v>
      </c>
    </row>
    <row r="319" spans="1:23" x14ac:dyDescent="0.2">
      <c r="A319">
        <v>314</v>
      </c>
      <c r="B319">
        <v>639.28358218837502</v>
      </c>
      <c r="C319">
        <v>1999.1078442482058</v>
      </c>
      <c r="D319">
        <v>1046.1096995833084</v>
      </c>
      <c r="E319">
        <v>1106.5415079755082</v>
      </c>
      <c r="F319">
        <v>0.97601541974194295</v>
      </c>
      <c r="G319">
        <v>0.83628352057166799</v>
      </c>
      <c r="H319">
        <v>1.0743453081575644E-2</v>
      </c>
      <c r="I319">
        <v>0.1707687018009445</v>
      </c>
      <c r="J319">
        <v>0.57083126162913012</v>
      </c>
      <c r="L319">
        <v>10037.225893763909</v>
      </c>
      <c r="M319">
        <v>9.8981685092073821</v>
      </c>
      <c r="N319">
        <v>9.3260941477064172</v>
      </c>
      <c r="O319">
        <v>19353.457946650939</v>
      </c>
      <c r="P319">
        <v>10.926273497619489</v>
      </c>
      <c r="Q319">
        <v>10.403362082280658</v>
      </c>
      <c r="S319">
        <f t="shared" si="18"/>
        <v>922572.18887687777</v>
      </c>
      <c r="T319">
        <f t="shared" si="19"/>
        <v>1020982.7502814149</v>
      </c>
      <c r="V319">
        <f t="shared" si="16"/>
        <v>0</v>
      </c>
      <c r="W319">
        <f t="shared" si="17"/>
        <v>1</v>
      </c>
    </row>
    <row r="320" spans="1:23" x14ac:dyDescent="0.2">
      <c r="A320">
        <v>315</v>
      </c>
      <c r="B320">
        <v>429.73081673551542</v>
      </c>
      <c r="C320">
        <v>3732.4624967253417</v>
      </c>
      <c r="D320">
        <v>1052.0761131615193</v>
      </c>
      <c r="E320">
        <v>865.74254392010994</v>
      </c>
      <c r="F320">
        <v>0.96668921172790323</v>
      </c>
      <c r="G320">
        <v>0.71359657595637549</v>
      </c>
      <c r="H320">
        <v>1.0411762691712257E-2</v>
      </c>
      <c r="I320">
        <v>0.14758820940424003</v>
      </c>
      <c r="J320">
        <v>0.40018423004483056</v>
      </c>
      <c r="L320">
        <v>13300.188609323346</v>
      </c>
      <c r="M320">
        <v>10.191573587905349</v>
      </c>
      <c r="N320">
        <v>9.1939517404881741</v>
      </c>
      <c r="O320">
        <v>21261.450040935051</v>
      </c>
      <c r="P320">
        <v>11.703491412258929</v>
      </c>
      <c r="Q320">
        <v>10.896597085815209</v>
      </c>
      <c r="S320">
        <f t="shared" si="18"/>
        <v>906094.98543949402</v>
      </c>
      <c r="T320">
        <f t="shared" si="19"/>
        <v>1068398.2585405859</v>
      </c>
      <c r="V320">
        <f t="shared" si="16"/>
        <v>0</v>
      </c>
      <c r="W320">
        <f t="shared" si="17"/>
        <v>1</v>
      </c>
    </row>
    <row r="321" spans="1:23" x14ac:dyDescent="0.2">
      <c r="A321">
        <v>316</v>
      </c>
      <c r="B321">
        <v>485.28862603233324</v>
      </c>
      <c r="C321">
        <v>3171.7146680307246</v>
      </c>
      <c r="D321">
        <v>1082.7171446162936</v>
      </c>
      <c r="E321">
        <v>611.66278321842526</v>
      </c>
      <c r="F321">
        <v>0.92937273348946781</v>
      </c>
      <c r="G321">
        <v>0.73832926739234872</v>
      </c>
      <c r="H321">
        <v>7.8913691402921465E-3</v>
      </c>
      <c r="I321">
        <v>0.13215213765498438</v>
      </c>
      <c r="J321">
        <v>0.44935633192966379</v>
      </c>
      <c r="L321">
        <v>12097.275492734432</v>
      </c>
      <c r="M321">
        <v>10.838823695080025</v>
      </c>
      <c r="N321">
        <v>9.6012787269961581</v>
      </c>
      <c r="O321">
        <v>21532.521551988615</v>
      </c>
      <c r="P321">
        <v>12.02652857031808</v>
      </c>
      <c r="Q321">
        <v>10.873772987719315</v>
      </c>
      <c r="S321">
        <f t="shared" si="18"/>
        <v>948030.59720688139</v>
      </c>
      <c r="T321">
        <f t="shared" si="19"/>
        <v>1065844.777219943</v>
      </c>
      <c r="V321">
        <f t="shared" si="16"/>
        <v>0</v>
      </c>
      <c r="W321">
        <f t="shared" si="17"/>
        <v>1</v>
      </c>
    </row>
    <row r="322" spans="1:23" x14ac:dyDescent="0.2">
      <c r="A322">
        <v>317</v>
      </c>
      <c r="B322">
        <v>400.72656997313635</v>
      </c>
      <c r="C322">
        <v>4150.0930707500602</v>
      </c>
      <c r="D322">
        <v>1025.9629774604086</v>
      </c>
      <c r="E322">
        <v>909.79269450999539</v>
      </c>
      <c r="F322">
        <v>0.92553048287577633</v>
      </c>
      <c r="G322">
        <v>0.70317048645353319</v>
      </c>
      <c r="H322">
        <v>1.0134504584513022E-2</v>
      </c>
      <c r="I322">
        <v>0.15875186476469072</v>
      </c>
      <c r="J322">
        <v>0.43920063447447949</v>
      </c>
      <c r="L322">
        <v>13620.625923483483</v>
      </c>
      <c r="M322">
        <v>10.123289274036237</v>
      </c>
      <c r="N322">
        <v>8.8232516837719945</v>
      </c>
      <c r="O322">
        <v>21155.694672082605</v>
      </c>
      <c r="P322">
        <v>11.532463009091678</v>
      </c>
      <c r="Q322">
        <v>10.309037602754648</v>
      </c>
      <c r="S322">
        <f t="shared" si="18"/>
        <v>868704.54245371593</v>
      </c>
      <c r="T322">
        <f t="shared" si="19"/>
        <v>1009748.0656033823</v>
      </c>
      <c r="V322">
        <f t="shared" si="16"/>
        <v>0</v>
      </c>
      <c r="W322">
        <f t="shared" si="17"/>
        <v>1</v>
      </c>
    </row>
    <row r="323" spans="1:23" x14ac:dyDescent="0.2">
      <c r="A323">
        <v>318</v>
      </c>
      <c r="B323">
        <v>660.87671307057713</v>
      </c>
      <c r="C323">
        <v>2867.8526061301436</v>
      </c>
      <c r="D323">
        <v>1039.629750166077</v>
      </c>
      <c r="E323">
        <v>957.19901263238819</v>
      </c>
      <c r="F323">
        <v>0.93057856918332849</v>
      </c>
      <c r="G323">
        <v>0.72169482442684707</v>
      </c>
      <c r="H323">
        <v>1.0528445099950216E-2</v>
      </c>
      <c r="I323">
        <v>0.14124251971520013</v>
      </c>
      <c r="J323">
        <v>0.53232382802666811</v>
      </c>
      <c r="L323">
        <v>13056.079075143922</v>
      </c>
      <c r="M323">
        <v>10.243800004445621</v>
      </c>
      <c r="N323">
        <v>8.9720348295742536</v>
      </c>
      <c r="O323">
        <v>21832.144959646259</v>
      </c>
      <c r="P323">
        <v>11.303723903306581</v>
      </c>
      <c r="Q323">
        <v>10.100433460881023</v>
      </c>
      <c r="S323">
        <f t="shared" si="18"/>
        <v>884147.40388228151</v>
      </c>
      <c r="T323">
        <f t="shared" si="19"/>
        <v>988211.20112845604</v>
      </c>
      <c r="V323">
        <f t="shared" si="16"/>
        <v>0</v>
      </c>
      <c r="W323">
        <f t="shared" si="17"/>
        <v>1</v>
      </c>
    </row>
    <row r="324" spans="1:23" x14ac:dyDescent="0.2">
      <c r="A324">
        <v>319</v>
      </c>
      <c r="B324">
        <v>685.40227566572776</v>
      </c>
      <c r="C324">
        <v>3117.3802362051297</v>
      </c>
      <c r="D324">
        <v>1089.0914033362717</v>
      </c>
      <c r="E324">
        <v>1107.9170037524136</v>
      </c>
      <c r="F324">
        <v>0.94921282767327786</v>
      </c>
      <c r="G324">
        <v>0.72847003516901121</v>
      </c>
      <c r="H324">
        <v>9.4951802962068895E-3</v>
      </c>
      <c r="I324">
        <v>0.12245362021259995</v>
      </c>
      <c r="J324">
        <v>0.43662984754448358</v>
      </c>
      <c r="L324">
        <v>14490.164101157096</v>
      </c>
      <c r="M324">
        <v>10.650563414124708</v>
      </c>
      <c r="N324">
        <v>9.4914999168891647</v>
      </c>
      <c r="O324">
        <v>23809.682469424006</v>
      </c>
      <c r="P324">
        <v>11.895181466526299</v>
      </c>
      <c r="Q324">
        <v>10.887696339153653</v>
      </c>
      <c r="S324">
        <f t="shared" si="18"/>
        <v>934659.82758775936</v>
      </c>
      <c r="T324">
        <f t="shared" si="19"/>
        <v>1064959.9514459411</v>
      </c>
      <c r="V324">
        <f t="shared" si="16"/>
        <v>0</v>
      </c>
      <c r="W324">
        <f t="shared" si="17"/>
        <v>1</v>
      </c>
    </row>
    <row r="325" spans="1:23" x14ac:dyDescent="0.2">
      <c r="A325">
        <v>320</v>
      </c>
      <c r="B325">
        <v>475.7204298151658</v>
      </c>
      <c r="C325">
        <v>2332.417375945909</v>
      </c>
      <c r="D325">
        <v>955.06370731081256</v>
      </c>
      <c r="E325">
        <v>709.3167265218807</v>
      </c>
      <c r="F325">
        <v>0.97320663739516622</v>
      </c>
      <c r="G325">
        <v>0.6924478534373727</v>
      </c>
      <c r="H325">
        <v>1.1786897854331827E-2</v>
      </c>
      <c r="I325">
        <v>0.12986345412894124</v>
      </c>
      <c r="J325">
        <v>0.4635466958526453</v>
      </c>
      <c r="L325">
        <v>10593.125053150254</v>
      </c>
      <c r="M325">
        <v>10.190965555193447</v>
      </c>
      <c r="N325">
        <v>9.0902414607443642</v>
      </c>
      <c r="O325">
        <v>18433.602653381302</v>
      </c>
      <c r="P325">
        <v>11.442218948035043</v>
      </c>
      <c r="Q325">
        <v>10.55300365730154</v>
      </c>
      <c r="S325">
        <f t="shared" si="18"/>
        <v>898431.02102128614</v>
      </c>
      <c r="T325">
        <f t="shared" si="19"/>
        <v>1036866.7630767726</v>
      </c>
      <c r="V325">
        <f t="shared" si="16"/>
        <v>0</v>
      </c>
      <c r="W325">
        <f t="shared" si="17"/>
        <v>1</v>
      </c>
    </row>
    <row r="326" spans="1:23" x14ac:dyDescent="0.2">
      <c r="A326">
        <v>321</v>
      </c>
      <c r="B326">
        <v>521.2459773471096</v>
      </c>
      <c r="C326">
        <v>3680.5156380884782</v>
      </c>
      <c r="D326">
        <v>860.98213679023115</v>
      </c>
      <c r="E326">
        <v>1115.0965366032331</v>
      </c>
      <c r="F326">
        <v>0.97841349327040095</v>
      </c>
      <c r="G326">
        <v>0.75680637658328331</v>
      </c>
      <c r="H326">
        <v>1.0295955545217342E-2</v>
      </c>
      <c r="I326">
        <v>0.15105970146436831</v>
      </c>
      <c r="J326">
        <v>0.41661464949915894</v>
      </c>
      <c r="L326">
        <v>13793.228114372943</v>
      </c>
      <c r="M326">
        <v>10.173978302339215</v>
      </c>
      <c r="N326">
        <v>9.3889659868104918</v>
      </c>
      <c r="O326">
        <v>20165.471845050135</v>
      </c>
      <c r="P326">
        <v>11.63805213862055</v>
      </c>
      <c r="Q326">
        <v>11.020374289439642</v>
      </c>
      <c r="S326">
        <f t="shared" si="18"/>
        <v>925103.37056667625</v>
      </c>
      <c r="T326">
        <f t="shared" si="19"/>
        <v>1081871.9570989141</v>
      </c>
      <c r="V326">
        <f t="shared" ref="V326:V389" si="20">IF(S326=MAX($S326:$T326),1,0)</f>
        <v>0</v>
      </c>
      <c r="W326">
        <f t="shared" ref="W326:W389" si="21">IF(T326=MAX($S326:$T326),1,0)</f>
        <v>1</v>
      </c>
    </row>
    <row r="327" spans="1:23" x14ac:dyDescent="0.2">
      <c r="A327">
        <v>322</v>
      </c>
      <c r="B327">
        <v>338.56591565224795</v>
      </c>
      <c r="C327">
        <v>2762.9163614706172</v>
      </c>
      <c r="D327">
        <v>918.25669035801286</v>
      </c>
      <c r="E327">
        <v>1016.2608912405832</v>
      </c>
      <c r="F327">
        <v>0.98237552153319985</v>
      </c>
      <c r="G327">
        <v>0.68024849546856914</v>
      </c>
      <c r="H327">
        <v>9.8974617125648211E-3</v>
      </c>
      <c r="I327">
        <v>0.15126250549910703</v>
      </c>
      <c r="J327">
        <v>0.46203080960242154</v>
      </c>
      <c r="L327">
        <v>9937.0353088035845</v>
      </c>
      <c r="M327">
        <v>10.242913671858341</v>
      </c>
      <c r="N327">
        <v>9.3042630970706526</v>
      </c>
      <c r="O327">
        <v>17353.306134892435</v>
      </c>
      <c r="P327">
        <v>11.541103269956279</v>
      </c>
      <c r="Q327">
        <v>10.819257829720994</v>
      </c>
      <c r="S327">
        <f t="shared" ref="S327:S390" si="22">$T$1*N327-L327</f>
        <v>920489.27439826168</v>
      </c>
      <c r="T327">
        <f t="shared" ref="T327:T390" si="23">$T$1*Q327-O327</f>
        <v>1064572.4768372071</v>
      </c>
      <c r="V327">
        <f t="shared" si="20"/>
        <v>0</v>
      </c>
      <c r="W327">
        <f t="shared" si="21"/>
        <v>1</v>
      </c>
    </row>
    <row r="328" spans="1:23" x14ac:dyDescent="0.2">
      <c r="A328">
        <v>323</v>
      </c>
      <c r="B328">
        <v>407.45404072587917</v>
      </c>
      <c r="C328">
        <v>2977.4779995174322</v>
      </c>
      <c r="D328">
        <v>959.83143209506943</v>
      </c>
      <c r="E328">
        <v>813.86602919035465</v>
      </c>
      <c r="F328">
        <v>0.88322014705025731</v>
      </c>
      <c r="G328">
        <v>0.74174494115985912</v>
      </c>
      <c r="H328">
        <v>1.1679074659597688E-2</v>
      </c>
      <c r="I328">
        <v>0.12243409533800739</v>
      </c>
      <c r="J328">
        <v>0.51075371797731262</v>
      </c>
      <c r="L328">
        <v>12318.476304111267</v>
      </c>
      <c r="M328">
        <v>10.30948801586001</v>
      </c>
      <c r="N328">
        <v>8.6753547744271362</v>
      </c>
      <c r="O328">
        <v>19407.036509079211</v>
      </c>
      <c r="P328">
        <v>11.382221933908117</v>
      </c>
      <c r="Q328">
        <v>9.734923877506219</v>
      </c>
      <c r="S328">
        <f t="shared" si="22"/>
        <v>855217.00113860227</v>
      </c>
      <c r="T328">
        <f t="shared" si="23"/>
        <v>954085.35124154272</v>
      </c>
      <c r="V328">
        <f t="shared" si="20"/>
        <v>0</v>
      </c>
      <c r="W328">
        <f t="shared" si="21"/>
        <v>1</v>
      </c>
    </row>
    <row r="329" spans="1:23" x14ac:dyDescent="0.2">
      <c r="A329">
        <v>324</v>
      </c>
      <c r="B329">
        <v>494.15915874131076</v>
      </c>
      <c r="C329">
        <v>2681.7935274318593</v>
      </c>
      <c r="D329">
        <v>1013.9500582597281</v>
      </c>
      <c r="E329">
        <v>1346.9457620968915</v>
      </c>
      <c r="F329">
        <v>0.96941316562919666</v>
      </c>
      <c r="G329">
        <v>0.70445376246103808</v>
      </c>
      <c r="H329">
        <v>1.0530027099649555E-2</v>
      </c>
      <c r="I329">
        <v>0.14403288821479593</v>
      </c>
      <c r="J329">
        <v>0.46884756668520566</v>
      </c>
      <c r="L329">
        <v>11361.872692072906</v>
      </c>
      <c r="M329">
        <v>10.211352123971883</v>
      </c>
      <c r="N329">
        <v>9.196376524829013</v>
      </c>
      <c r="O329">
        <v>19834.917715905773</v>
      </c>
      <c r="P329">
        <v>11.477338566329401</v>
      </c>
      <c r="Q329">
        <v>10.63695803111694</v>
      </c>
      <c r="S329">
        <f t="shared" si="22"/>
        <v>908275.77979082847</v>
      </c>
      <c r="T329">
        <f t="shared" si="23"/>
        <v>1043860.8853957882</v>
      </c>
      <c r="V329">
        <f t="shared" si="20"/>
        <v>0</v>
      </c>
      <c r="W329">
        <f t="shared" si="21"/>
        <v>1</v>
      </c>
    </row>
    <row r="330" spans="1:23" x14ac:dyDescent="0.2">
      <c r="A330">
        <v>325</v>
      </c>
      <c r="B330">
        <v>385.7636329135745</v>
      </c>
      <c r="C330">
        <v>3309.4147240203065</v>
      </c>
      <c r="D330">
        <v>1139.6773315387613</v>
      </c>
      <c r="E330">
        <v>1295.2151289354479</v>
      </c>
      <c r="F330">
        <v>0.92729922183260327</v>
      </c>
      <c r="G330">
        <v>0.74511528089739976</v>
      </c>
      <c r="H330">
        <v>9.8226099696465344E-3</v>
      </c>
      <c r="I330">
        <v>0.16866556311296388</v>
      </c>
      <c r="J330">
        <v>0.54842095023219772</v>
      </c>
      <c r="L330">
        <v>11217.104717639339</v>
      </c>
      <c r="M330">
        <v>10.086543879017489</v>
      </c>
      <c r="N330">
        <v>8.9284676394504654</v>
      </c>
      <c r="O330">
        <v>20547.100767670519</v>
      </c>
      <c r="P330">
        <v>11.162067765355516</v>
      </c>
      <c r="Q330">
        <v>10.030320131420565</v>
      </c>
      <c r="S330">
        <f t="shared" si="22"/>
        <v>881629.65922740719</v>
      </c>
      <c r="T330">
        <f t="shared" si="23"/>
        <v>982484.91237438598</v>
      </c>
      <c r="V330">
        <f t="shared" si="20"/>
        <v>0</v>
      </c>
      <c r="W330">
        <f t="shared" si="21"/>
        <v>1</v>
      </c>
    </row>
    <row r="331" spans="1:23" x14ac:dyDescent="0.2">
      <c r="A331">
        <v>326</v>
      </c>
      <c r="B331">
        <v>436.80345166632225</v>
      </c>
      <c r="C331">
        <v>3084.4932907468378</v>
      </c>
      <c r="D331">
        <v>949.58242331917563</v>
      </c>
      <c r="E331">
        <v>818.61878383253941</v>
      </c>
      <c r="F331">
        <v>0.98740035496183809</v>
      </c>
      <c r="G331">
        <v>0.83519296948543764</v>
      </c>
      <c r="H331">
        <v>1.079632949519189E-2</v>
      </c>
      <c r="I331">
        <v>0.13318551887216429</v>
      </c>
      <c r="J331">
        <v>0.40905068392942351</v>
      </c>
      <c r="L331">
        <v>12240.584059767545</v>
      </c>
      <c r="M331">
        <v>10.29785456183625</v>
      </c>
      <c r="N331">
        <v>9.7406195926215435</v>
      </c>
      <c r="O331">
        <v>19527.96415671668</v>
      </c>
      <c r="P331">
        <v>11.723999848821732</v>
      </c>
      <c r="Q331">
        <v>11.300528432680593</v>
      </c>
      <c r="S331">
        <f t="shared" si="22"/>
        <v>961821.37520238676</v>
      </c>
      <c r="T331">
        <f t="shared" si="23"/>
        <v>1110524.8791113428</v>
      </c>
      <c r="V331">
        <f t="shared" si="20"/>
        <v>0</v>
      </c>
      <c r="W331">
        <f t="shared" si="21"/>
        <v>1</v>
      </c>
    </row>
    <row r="332" spans="1:23" x14ac:dyDescent="0.2">
      <c r="A332">
        <v>327</v>
      </c>
      <c r="B332">
        <v>666.24050995134303</v>
      </c>
      <c r="C332">
        <v>3207.2855356954874</v>
      </c>
      <c r="D332">
        <v>857.25728048755991</v>
      </c>
      <c r="E332">
        <v>944.16125984512678</v>
      </c>
      <c r="F332">
        <v>0.94606906495968879</v>
      </c>
      <c r="G332">
        <v>0.65481450709380884</v>
      </c>
      <c r="H332">
        <v>9.4260676780055768E-3</v>
      </c>
      <c r="I332">
        <v>0.15396038570420412</v>
      </c>
      <c r="J332">
        <v>0.48433283850393211</v>
      </c>
      <c r="L332">
        <v>13398.722441261703</v>
      </c>
      <c r="M332">
        <v>10.30313708221299</v>
      </c>
      <c r="N332">
        <v>9.039038703841797</v>
      </c>
      <c r="O332">
        <v>20660.834925769319</v>
      </c>
      <c r="P332">
        <v>11.525250666551868</v>
      </c>
      <c r="Q332">
        <v>10.409731218015757</v>
      </c>
      <c r="S332">
        <f t="shared" si="22"/>
        <v>890505.147942918</v>
      </c>
      <c r="T332">
        <f t="shared" si="23"/>
        <v>1020312.2868758064</v>
      </c>
      <c r="V332">
        <f t="shared" si="20"/>
        <v>0</v>
      </c>
      <c r="W332">
        <f t="shared" si="21"/>
        <v>1</v>
      </c>
    </row>
    <row r="333" spans="1:23" x14ac:dyDescent="0.2">
      <c r="A333">
        <v>328</v>
      </c>
      <c r="B333">
        <v>477.13089935458112</v>
      </c>
      <c r="C333">
        <v>3244.0637713661754</v>
      </c>
      <c r="D333">
        <v>897.52465888433414</v>
      </c>
      <c r="E333">
        <v>540.96968239504781</v>
      </c>
      <c r="F333">
        <v>0.9449096396538309</v>
      </c>
      <c r="G333">
        <v>0.87453119115285372</v>
      </c>
      <c r="H333">
        <v>9.6243140777511373E-3</v>
      </c>
      <c r="I333">
        <v>0.15007838006417551</v>
      </c>
      <c r="J333">
        <v>0.49635019942140973</v>
      </c>
      <c r="L333">
        <v>12017.98306633637</v>
      </c>
      <c r="M333">
        <v>10.30547783294679</v>
      </c>
      <c r="N333">
        <v>9.5622781297351249</v>
      </c>
      <c r="O333">
        <v>19234.28840913899</v>
      </c>
      <c r="P333">
        <v>11.482973521157936</v>
      </c>
      <c r="Q333">
        <v>10.725925192005807</v>
      </c>
      <c r="S333">
        <f t="shared" si="22"/>
        <v>944209.82990717608</v>
      </c>
      <c r="T333">
        <f t="shared" si="23"/>
        <v>1053358.2307914416</v>
      </c>
      <c r="V333">
        <f t="shared" si="20"/>
        <v>0</v>
      </c>
      <c r="W333">
        <f t="shared" si="21"/>
        <v>1</v>
      </c>
    </row>
    <row r="334" spans="1:23" x14ac:dyDescent="0.2">
      <c r="A334">
        <v>329</v>
      </c>
      <c r="B334">
        <v>382.72588833761989</v>
      </c>
      <c r="C334">
        <v>2795.5893453068279</v>
      </c>
      <c r="D334">
        <v>1005.1394023385718</v>
      </c>
      <c r="E334">
        <v>475.80266055276974</v>
      </c>
      <c r="F334">
        <v>0.96858276332855442</v>
      </c>
      <c r="G334">
        <v>0.81150156805679807</v>
      </c>
      <c r="H334">
        <v>8.6581520630202805E-3</v>
      </c>
      <c r="I334">
        <v>0.11728823732279924</v>
      </c>
      <c r="J334">
        <v>0.46348551729519627</v>
      </c>
      <c r="L334">
        <v>10965.07520481714</v>
      </c>
      <c r="M334">
        <v>10.866204269202536</v>
      </c>
      <c r="N334">
        <v>10.091734124250022</v>
      </c>
      <c r="O334">
        <v>19308.632464885992</v>
      </c>
      <c r="P334">
        <v>11.979727552848219</v>
      </c>
      <c r="Q334">
        <v>11.315456367029451</v>
      </c>
      <c r="S334">
        <f t="shared" si="22"/>
        <v>998208.33722018509</v>
      </c>
      <c r="T334">
        <f t="shared" si="23"/>
        <v>1112237.0042380593</v>
      </c>
      <c r="V334">
        <f t="shared" si="20"/>
        <v>0</v>
      </c>
      <c r="W334">
        <f t="shared" si="21"/>
        <v>1</v>
      </c>
    </row>
    <row r="335" spans="1:23" x14ac:dyDescent="0.2">
      <c r="A335">
        <v>330</v>
      </c>
      <c r="B335">
        <v>522.53836459730212</v>
      </c>
      <c r="C335">
        <v>4357.3712143561606</v>
      </c>
      <c r="D335">
        <v>1091.0952454393851</v>
      </c>
      <c r="E335">
        <v>797.44899878883177</v>
      </c>
      <c r="F335">
        <v>0.9360000778475992</v>
      </c>
      <c r="G335">
        <v>0.76517132226780515</v>
      </c>
      <c r="H335">
        <v>1.0804233571035857E-2</v>
      </c>
      <c r="I335">
        <v>0.14245962754378907</v>
      </c>
      <c r="J335">
        <v>0.38160661517005312</v>
      </c>
      <c r="L335">
        <v>15969.783477417899</v>
      </c>
      <c r="M335">
        <v>10.184045951365722</v>
      </c>
      <c r="N335">
        <v>9.0715732030627247</v>
      </c>
      <c r="O335">
        <v>23742.675894553144</v>
      </c>
      <c r="P335">
        <v>11.753281087392812</v>
      </c>
      <c r="Q335">
        <v>10.715463619879069</v>
      </c>
      <c r="S335">
        <f t="shared" si="22"/>
        <v>891187.53682885459</v>
      </c>
      <c r="T335">
        <f t="shared" si="23"/>
        <v>1047803.6860933538</v>
      </c>
      <c r="V335">
        <f t="shared" si="20"/>
        <v>0</v>
      </c>
      <c r="W335">
        <f t="shared" si="21"/>
        <v>1</v>
      </c>
    </row>
    <row r="336" spans="1:23" x14ac:dyDescent="0.2">
      <c r="A336">
        <v>331</v>
      </c>
      <c r="B336">
        <v>749.93636482998863</v>
      </c>
      <c r="C336">
        <v>3205.6060314200868</v>
      </c>
      <c r="D336">
        <v>931.98355168344119</v>
      </c>
      <c r="E336">
        <v>1211.6757549706156</v>
      </c>
      <c r="F336">
        <v>0.96923786160042269</v>
      </c>
      <c r="G336">
        <v>0.73316831757449519</v>
      </c>
      <c r="H336">
        <v>9.9794730772188572E-3</v>
      </c>
      <c r="I336">
        <v>0.18545306727782107</v>
      </c>
      <c r="J336">
        <v>0.49292157351705301</v>
      </c>
      <c r="L336">
        <v>13332.128683588786</v>
      </c>
      <c r="M336">
        <v>9.9113309806367997</v>
      </c>
      <c r="N336">
        <v>9.0868703958344028</v>
      </c>
      <c r="O336">
        <v>21604.574686956817</v>
      </c>
      <c r="P336">
        <v>11.211462945255834</v>
      </c>
      <c r="Q336">
        <v>10.495565567699446</v>
      </c>
      <c r="S336">
        <f t="shared" si="22"/>
        <v>895354.91089985147</v>
      </c>
      <c r="T336">
        <f t="shared" si="23"/>
        <v>1027951.9820829877</v>
      </c>
      <c r="V336">
        <f t="shared" si="20"/>
        <v>0</v>
      </c>
      <c r="W336">
        <f t="shared" si="21"/>
        <v>1</v>
      </c>
    </row>
    <row r="337" spans="1:23" x14ac:dyDescent="0.2">
      <c r="A337">
        <v>332</v>
      </c>
      <c r="B337">
        <v>483.32129020419285</v>
      </c>
      <c r="C337">
        <v>3819.6944477598076</v>
      </c>
      <c r="D337">
        <v>907.93126681787294</v>
      </c>
      <c r="E337">
        <v>933.4274792307383</v>
      </c>
      <c r="F337">
        <v>0.92738407543091261</v>
      </c>
      <c r="G337">
        <v>0.83019322832277065</v>
      </c>
      <c r="H337">
        <v>1.1133813746109522E-2</v>
      </c>
      <c r="I337">
        <v>0.21300796244707343</v>
      </c>
      <c r="J337">
        <v>0.5750855060631932</v>
      </c>
      <c r="L337">
        <v>11939.185836315262</v>
      </c>
      <c r="M337">
        <v>9.4835099666732674</v>
      </c>
      <c r="N337">
        <v>8.5926335574197399</v>
      </c>
      <c r="O337">
        <v>19038.794827386973</v>
      </c>
      <c r="P337">
        <v>10.584593270503238</v>
      </c>
      <c r="Q337">
        <v>9.6564337517787386</v>
      </c>
      <c r="S337">
        <f t="shared" si="22"/>
        <v>847324.16990565869</v>
      </c>
      <c r="T337">
        <f t="shared" si="23"/>
        <v>946604.58035048691</v>
      </c>
      <c r="V337">
        <f t="shared" si="20"/>
        <v>0</v>
      </c>
      <c r="W337">
        <f t="shared" si="21"/>
        <v>1</v>
      </c>
    </row>
    <row r="338" spans="1:23" x14ac:dyDescent="0.2">
      <c r="A338">
        <v>333</v>
      </c>
      <c r="B338">
        <v>765.31129233866989</v>
      </c>
      <c r="C338">
        <v>2103.8002892613472</v>
      </c>
      <c r="D338">
        <v>992.22503030108385</v>
      </c>
      <c r="E338">
        <v>658.43985099024394</v>
      </c>
      <c r="F338">
        <v>0.96624260497259162</v>
      </c>
      <c r="G338">
        <v>0.74334430115045225</v>
      </c>
      <c r="H338">
        <v>9.1470796843762334E-3</v>
      </c>
      <c r="I338">
        <v>0.18756052329456296</v>
      </c>
      <c r="J338">
        <v>0.53390031868154109</v>
      </c>
      <c r="L338">
        <v>10783.953828862748</v>
      </c>
      <c r="M338">
        <v>10.063421346456703</v>
      </c>
      <c r="N338">
        <v>9.2537702563490249</v>
      </c>
      <c r="O338">
        <v>20435.103755556938</v>
      </c>
      <c r="P338">
        <v>11.211902616607102</v>
      </c>
      <c r="Q338">
        <v>10.487143816430242</v>
      </c>
      <c r="S338">
        <f t="shared" si="22"/>
        <v>914593.07180603978</v>
      </c>
      <c r="T338">
        <f t="shared" si="23"/>
        <v>1028279.2778874673</v>
      </c>
      <c r="V338">
        <f t="shared" si="20"/>
        <v>0</v>
      </c>
      <c r="W338">
        <f t="shared" si="21"/>
        <v>1</v>
      </c>
    </row>
    <row r="339" spans="1:23" x14ac:dyDescent="0.2">
      <c r="A339">
        <v>334</v>
      </c>
      <c r="B339">
        <v>469.72475048922519</v>
      </c>
      <c r="C339">
        <v>2993.2077894547492</v>
      </c>
      <c r="D339">
        <v>753.54057354058864</v>
      </c>
      <c r="E339">
        <v>1436.0594597181641</v>
      </c>
      <c r="F339">
        <v>0.98449734604901207</v>
      </c>
      <c r="G339">
        <v>0.81037814385445206</v>
      </c>
      <c r="H339">
        <v>1.220080393617883E-2</v>
      </c>
      <c r="I339">
        <v>0.13005261536883395</v>
      </c>
      <c r="J339">
        <v>0.42903870828915941</v>
      </c>
      <c r="L339">
        <v>12843.114382382928</v>
      </c>
      <c r="M339">
        <v>10.129518421814529</v>
      </c>
      <c r="N339">
        <v>9.4530630330205998</v>
      </c>
      <c r="O339">
        <v>18035.465938753478</v>
      </c>
      <c r="P339">
        <v>11.50431247818131</v>
      </c>
      <c r="Q339">
        <v>10.973346110076301</v>
      </c>
      <c r="S339">
        <f t="shared" si="22"/>
        <v>932463.18891967705</v>
      </c>
      <c r="T339">
        <f t="shared" si="23"/>
        <v>1079299.1450688767</v>
      </c>
      <c r="V339">
        <f t="shared" si="20"/>
        <v>0</v>
      </c>
      <c r="W339">
        <f t="shared" si="21"/>
        <v>1</v>
      </c>
    </row>
    <row r="340" spans="1:23" x14ac:dyDescent="0.2">
      <c r="A340">
        <v>335</v>
      </c>
      <c r="B340">
        <v>449.13455628759567</v>
      </c>
      <c r="C340">
        <v>3054.1262079016942</v>
      </c>
      <c r="D340">
        <v>850.79077564203135</v>
      </c>
      <c r="E340">
        <v>1018.1125621603014</v>
      </c>
      <c r="F340">
        <v>0.95181588156931007</v>
      </c>
      <c r="G340">
        <v>0.83362663336451359</v>
      </c>
      <c r="H340">
        <v>1.1503104879000177E-2</v>
      </c>
      <c r="I340">
        <v>0.14058722521901404</v>
      </c>
      <c r="J340">
        <v>0.50870633804226328</v>
      </c>
      <c r="L340">
        <v>12186.641719463396</v>
      </c>
      <c r="M340">
        <v>10.095820020756697</v>
      </c>
      <c r="N340">
        <v>9.2802593448669164</v>
      </c>
      <c r="O340">
        <v>18513.794962364926</v>
      </c>
      <c r="P340">
        <v>11.241257213413123</v>
      </c>
      <c r="Q340">
        <v>10.456605052886568</v>
      </c>
      <c r="S340">
        <f t="shared" si="22"/>
        <v>915839.29276722821</v>
      </c>
      <c r="T340">
        <f t="shared" si="23"/>
        <v>1027146.7103262919</v>
      </c>
      <c r="V340">
        <f t="shared" si="20"/>
        <v>0</v>
      </c>
      <c r="W340">
        <f t="shared" si="21"/>
        <v>1</v>
      </c>
    </row>
    <row r="341" spans="1:23" x14ac:dyDescent="0.2">
      <c r="A341">
        <v>336</v>
      </c>
      <c r="B341">
        <v>616.88640692573131</v>
      </c>
      <c r="C341">
        <v>2724.6360231809431</v>
      </c>
      <c r="D341">
        <v>951.60327517854455</v>
      </c>
      <c r="E341">
        <v>1202.4358839568451</v>
      </c>
      <c r="F341">
        <v>0.96894745972564089</v>
      </c>
      <c r="G341">
        <v>0.79825200166530197</v>
      </c>
      <c r="H341">
        <v>8.1843025764546714E-3</v>
      </c>
      <c r="I341">
        <v>0.15173952554312131</v>
      </c>
      <c r="J341">
        <v>0.61094067995607537</v>
      </c>
      <c r="L341">
        <v>11815.436438980618</v>
      </c>
      <c r="M341">
        <v>10.5766692776544</v>
      </c>
      <c r="N341">
        <v>9.8538963688491048</v>
      </c>
      <c r="O341">
        <v>20294.40426218995</v>
      </c>
      <c r="P341">
        <v>11.400441027965803</v>
      </c>
      <c r="Q341">
        <v>10.738737374491578</v>
      </c>
      <c r="S341">
        <f t="shared" si="22"/>
        <v>973574.20044592989</v>
      </c>
      <c r="T341">
        <f t="shared" si="23"/>
        <v>1053579.3331869678</v>
      </c>
      <c r="V341">
        <f t="shared" si="20"/>
        <v>0</v>
      </c>
      <c r="W341">
        <f t="shared" si="21"/>
        <v>1</v>
      </c>
    </row>
    <row r="342" spans="1:23" x14ac:dyDescent="0.2">
      <c r="A342">
        <v>337</v>
      </c>
      <c r="B342">
        <v>563.66086368869207</v>
      </c>
      <c r="C342">
        <v>2928.0679770125435</v>
      </c>
      <c r="D342">
        <v>1030.0128539459088</v>
      </c>
      <c r="E342">
        <v>910.19147327767894</v>
      </c>
      <c r="F342">
        <v>0.96237023995616056</v>
      </c>
      <c r="G342">
        <v>0.76612765461517907</v>
      </c>
      <c r="H342">
        <v>1.0257230438371859E-2</v>
      </c>
      <c r="I342">
        <v>0.14209396032324245</v>
      </c>
      <c r="J342">
        <v>0.5362920107659146</v>
      </c>
      <c r="L342">
        <v>12394.209528267598</v>
      </c>
      <c r="M342">
        <v>10.279824481248408</v>
      </c>
      <c r="N342">
        <v>9.3736260148136719</v>
      </c>
      <c r="O342">
        <v>20943.100525859772</v>
      </c>
      <c r="P342">
        <v>11.325875172292751</v>
      </c>
      <c r="Q342">
        <v>10.51177224320667</v>
      </c>
      <c r="S342">
        <f t="shared" si="22"/>
        <v>924968.39195309952</v>
      </c>
      <c r="T342">
        <f t="shared" si="23"/>
        <v>1030234.1237948071</v>
      </c>
      <c r="V342">
        <f t="shared" si="20"/>
        <v>0</v>
      </c>
      <c r="W342">
        <f t="shared" si="21"/>
        <v>1</v>
      </c>
    </row>
    <row r="343" spans="1:23" x14ac:dyDescent="0.2">
      <c r="A343">
        <v>338</v>
      </c>
      <c r="B343">
        <v>344.89887273739748</v>
      </c>
      <c r="C343">
        <v>2196.9673280380134</v>
      </c>
      <c r="D343">
        <v>827.50228383025205</v>
      </c>
      <c r="E343">
        <v>990.21298610435178</v>
      </c>
      <c r="F343">
        <v>0.97706469379838157</v>
      </c>
      <c r="G343">
        <v>0.61448310409958207</v>
      </c>
      <c r="H343">
        <v>1.0143352844518649E-2</v>
      </c>
      <c r="I343">
        <v>0.16707717456921944</v>
      </c>
      <c r="J343">
        <v>0.47018862920827587</v>
      </c>
      <c r="L343">
        <v>8257.6056578705047</v>
      </c>
      <c r="M343">
        <v>10.041055853811258</v>
      </c>
      <c r="N343">
        <v>8.9491141869886857</v>
      </c>
      <c r="O343">
        <v>15298.954001594568</v>
      </c>
      <c r="P343">
        <v>11.371634536944052</v>
      </c>
      <c r="Q343">
        <v>10.511550497651546</v>
      </c>
      <c r="S343">
        <f t="shared" si="22"/>
        <v>886653.81304099807</v>
      </c>
      <c r="T343">
        <f t="shared" si="23"/>
        <v>1035856.0957635602</v>
      </c>
      <c r="V343">
        <f t="shared" si="20"/>
        <v>0</v>
      </c>
      <c r="W343">
        <f t="shared" si="21"/>
        <v>1</v>
      </c>
    </row>
    <row r="344" spans="1:23" x14ac:dyDescent="0.2">
      <c r="A344">
        <v>339</v>
      </c>
      <c r="B344">
        <v>478.19626624074527</v>
      </c>
      <c r="C344">
        <v>3008.9555898798762</v>
      </c>
      <c r="D344">
        <v>1055.4201013941044</v>
      </c>
      <c r="E344">
        <v>704.56017720050556</v>
      </c>
      <c r="F344">
        <v>0.98873851938361934</v>
      </c>
      <c r="G344">
        <v>0.66692956039987095</v>
      </c>
      <c r="H344">
        <v>9.0083757066876935E-3</v>
      </c>
      <c r="I344">
        <v>0.1301450138011003</v>
      </c>
      <c r="J344">
        <v>0.48745134854442346</v>
      </c>
      <c r="L344">
        <v>12022.461733133636</v>
      </c>
      <c r="M344">
        <v>10.641909042613277</v>
      </c>
      <c r="N344">
        <v>9.6712305612676932</v>
      </c>
      <c r="O344">
        <v>20895.398341452543</v>
      </c>
      <c r="P344">
        <v>11.755764121856387</v>
      </c>
      <c r="Q344">
        <v>11.034693659313874</v>
      </c>
      <c r="S344">
        <f t="shared" si="22"/>
        <v>955100.59439363563</v>
      </c>
      <c r="T344">
        <f t="shared" si="23"/>
        <v>1082573.9675899348</v>
      </c>
      <c r="V344">
        <f t="shared" si="20"/>
        <v>0</v>
      </c>
      <c r="W344">
        <f t="shared" si="21"/>
        <v>1</v>
      </c>
    </row>
    <row r="345" spans="1:23" x14ac:dyDescent="0.2">
      <c r="A345">
        <v>340</v>
      </c>
      <c r="B345">
        <v>360.67541407512442</v>
      </c>
      <c r="C345">
        <v>2738.9848270342945</v>
      </c>
      <c r="D345">
        <v>983.7705862223645</v>
      </c>
      <c r="E345">
        <v>1054.5988326062284</v>
      </c>
      <c r="F345">
        <v>0.9032031929873493</v>
      </c>
      <c r="G345">
        <v>0.77110471196245989</v>
      </c>
      <c r="H345">
        <v>1.0497344407696646E-2</v>
      </c>
      <c r="I345">
        <v>0.19215359114145503</v>
      </c>
      <c r="J345">
        <v>0.4338563757741663</v>
      </c>
      <c r="L345">
        <v>9172.2617473627724</v>
      </c>
      <c r="M345">
        <v>9.7583470197327546</v>
      </c>
      <c r="N345">
        <v>8.5244552771047815</v>
      </c>
      <c r="O345">
        <v>17544.307359974478</v>
      </c>
      <c r="P345">
        <v>11.304346177812652</v>
      </c>
      <c r="Q345">
        <v>10.016072087714299</v>
      </c>
      <c r="S345">
        <f t="shared" si="22"/>
        <v>843273.26596311538</v>
      </c>
      <c r="T345">
        <f t="shared" si="23"/>
        <v>984062.90141145547</v>
      </c>
      <c r="V345">
        <f t="shared" si="20"/>
        <v>0</v>
      </c>
      <c r="W345">
        <f t="shared" si="21"/>
        <v>1</v>
      </c>
    </row>
    <row r="346" spans="1:23" x14ac:dyDescent="0.2">
      <c r="A346">
        <v>341</v>
      </c>
      <c r="B346">
        <v>447.64024715257045</v>
      </c>
      <c r="C346">
        <v>3115.0363425342525</v>
      </c>
      <c r="D346">
        <v>987.51317675537643</v>
      </c>
      <c r="E346">
        <v>790.4709379182267</v>
      </c>
      <c r="F346">
        <v>0.95242037667880897</v>
      </c>
      <c r="G346">
        <v>0.70792177851622329</v>
      </c>
      <c r="H346">
        <v>9.5968513895154772E-3</v>
      </c>
      <c r="I346">
        <v>0.16114905428778226</v>
      </c>
      <c r="J346">
        <v>0.50922999849801553</v>
      </c>
      <c r="L346">
        <v>11216.705218607109</v>
      </c>
      <c r="M346">
        <v>10.200022372520857</v>
      </c>
      <c r="N346">
        <v>9.132873444588034</v>
      </c>
      <c r="O346">
        <v>19417.822374503627</v>
      </c>
      <c r="P346">
        <v>11.371111798121756</v>
      </c>
      <c r="Q346">
        <v>10.41088927699955</v>
      </c>
      <c r="S346">
        <f t="shared" si="22"/>
        <v>902070.63924019632</v>
      </c>
      <c r="T346">
        <f t="shared" si="23"/>
        <v>1021671.1053254514</v>
      </c>
      <c r="V346">
        <f t="shared" si="20"/>
        <v>0</v>
      </c>
      <c r="W346">
        <f t="shared" si="21"/>
        <v>1</v>
      </c>
    </row>
    <row r="347" spans="1:23" x14ac:dyDescent="0.2">
      <c r="A347">
        <v>342</v>
      </c>
      <c r="B347">
        <v>525.01902267638116</v>
      </c>
      <c r="C347">
        <v>2941.5205975128201</v>
      </c>
      <c r="D347">
        <v>967.17626637813635</v>
      </c>
      <c r="E347">
        <v>618.3632470551247</v>
      </c>
      <c r="F347">
        <v>0.975187634438202</v>
      </c>
      <c r="G347">
        <v>0.60258113744867514</v>
      </c>
      <c r="H347">
        <v>6.837396681765473E-3</v>
      </c>
      <c r="I347">
        <v>0.11776424874817773</v>
      </c>
      <c r="J347">
        <v>0.4986536130708541</v>
      </c>
      <c r="L347">
        <v>12025.335750568802</v>
      </c>
      <c r="M347">
        <v>11.226937538565915</v>
      </c>
      <c r="N347">
        <v>10.030674047161693</v>
      </c>
      <c r="O347">
        <v>20677.790196914037</v>
      </c>
      <c r="P347">
        <v>12.17632859202914</v>
      </c>
      <c r="Q347">
        <v>11.260190502484976</v>
      </c>
      <c r="S347">
        <f t="shared" si="22"/>
        <v>991042.06896560045</v>
      </c>
      <c r="T347">
        <f t="shared" si="23"/>
        <v>1105341.2600515836</v>
      </c>
      <c r="V347">
        <f t="shared" si="20"/>
        <v>0</v>
      </c>
      <c r="W347">
        <f t="shared" si="21"/>
        <v>1</v>
      </c>
    </row>
    <row r="348" spans="1:23" x14ac:dyDescent="0.2">
      <c r="A348">
        <v>343</v>
      </c>
      <c r="B348">
        <v>684.74787694649137</v>
      </c>
      <c r="C348">
        <v>3850.1086810043166</v>
      </c>
      <c r="D348">
        <v>969.89577743318023</v>
      </c>
      <c r="E348">
        <v>1036.6140617816095</v>
      </c>
      <c r="F348">
        <v>0.95632839514199897</v>
      </c>
      <c r="G348">
        <v>0.70200887488344643</v>
      </c>
      <c r="H348">
        <v>1.1128159113871224E-2</v>
      </c>
      <c r="I348">
        <v>0.15820694637630917</v>
      </c>
      <c r="J348">
        <v>0.4811789119222506</v>
      </c>
      <c r="L348">
        <v>15315.718112986517</v>
      </c>
      <c r="M348">
        <v>9.9566751189228349</v>
      </c>
      <c r="N348">
        <v>8.8727224336662296</v>
      </c>
      <c r="O348">
        <v>22910.793651618082</v>
      </c>
      <c r="P348">
        <v>11.244546284763565</v>
      </c>
      <c r="Q348">
        <v>10.289447782175266</v>
      </c>
      <c r="S348">
        <f t="shared" si="22"/>
        <v>871956.52525363641</v>
      </c>
      <c r="T348">
        <f t="shared" si="23"/>
        <v>1006033.9845659086</v>
      </c>
      <c r="V348">
        <f t="shared" si="20"/>
        <v>0</v>
      </c>
      <c r="W348">
        <f t="shared" si="21"/>
        <v>1</v>
      </c>
    </row>
    <row r="349" spans="1:23" x14ac:dyDescent="0.2">
      <c r="A349">
        <v>344</v>
      </c>
      <c r="B349">
        <v>448.57000894047587</v>
      </c>
      <c r="C349">
        <v>3136.3866142608235</v>
      </c>
      <c r="D349">
        <v>1022.5908025655035</v>
      </c>
      <c r="E349">
        <v>763.87433943311373</v>
      </c>
      <c r="F349">
        <v>0.91965120050508276</v>
      </c>
      <c r="G349">
        <v>0.72572872682738909</v>
      </c>
      <c r="H349">
        <v>9.9725452884060258E-3</v>
      </c>
      <c r="I349">
        <v>0.19765945622366377</v>
      </c>
      <c r="J349">
        <v>0.49147931545594048</v>
      </c>
      <c r="L349">
        <v>10379.082301576582</v>
      </c>
      <c r="M349">
        <v>9.8172616609348697</v>
      </c>
      <c r="N349">
        <v>8.6202720992096111</v>
      </c>
      <c r="O349">
        <v>19134.921103753932</v>
      </c>
      <c r="P349">
        <v>11.151705780560635</v>
      </c>
      <c r="Q349">
        <v>9.9642994685488393</v>
      </c>
      <c r="S349">
        <f t="shared" si="22"/>
        <v>851648.12761938444</v>
      </c>
      <c r="T349">
        <f t="shared" si="23"/>
        <v>977295.02575112996</v>
      </c>
      <c r="V349">
        <f t="shared" si="20"/>
        <v>0</v>
      </c>
      <c r="W349">
        <f t="shared" si="21"/>
        <v>1</v>
      </c>
    </row>
    <row r="350" spans="1:23" x14ac:dyDescent="0.2">
      <c r="A350">
        <v>345</v>
      </c>
      <c r="B350">
        <v>700.20819556842855</v>
      </c>
      <c r="C350">
        <v>3002.2494271222449</v>
      </c>
      <c r="D350">
        <v>1161.1383465064516</v>
      </c>
      <c r="E350">
        <v>888.31575985846553</v>
      </c>
      <c r="F350">
        <v>0.89926802643795156</v>
      </c>
      <c r="G350">
        <v>0.83589710700650843</v>
      </c>
      <c r="H350">
        <v>9.0443799768186849E-3</v>
      </c>
      <c r="I350">
        <v>0.13250267459452456</v>
      </c>
      <c r="J350">
        <v>0.39747381739072146</v>
      </c>
      <c r="L350">
        <v>13768.722606300937</v>
      </c>
      <c r="M350">
        <v>10.607452853790587</v>
      </c>
      <c r="N350">
        <v>9.3728704216727134</v>
      </c>
      <c r="O350">
        <v>24361.660172441287</v>
      </c>
      <c r="P350">
        <v>12.006591786766855</v>
      </c>
      <c r="Q350">
        <v>10.695777782542743</v>
      </c>
      <c r="S350">
        <f t="shared" si="22"/>
        <v>923518.31956097041</v>
      </c>
      <c r="T350">
        <f t="shared" si="23"/>
        <v>1045216.118081833</v>
      </c>
      <c r="V350">
        <f t="shared" si="20"/>
        <v>0</v>
      </c>
      <c r="W350">
        <f t="shared" si="21"/>
        <v>1</v>
      </c>
    </row>
    <row r="351" spans="1:23" x14ac:dyDescent="0.2">
      <c r="A351">
        <v>346</v>
      </c>
      <c r="B351">
        <v>558.31592345969614</v>
      </c>
      <c r="C351">
        <v>3436.6650889911803</v>
      </c>
      <c r="D351">
        <v>936.70000132151881</v>
      </c>
      <c r="E351">
        <v>1192.4696431757636</v>
      </c>
      <c r="F351">
        <v>0.93277695689427798</v>
      </c>
      <c r="G351">
        <v>0.76558703835178998</v>
      </c>
      <c r="H351">
        <v>8.5437435858559934E-3</v>
      </c>
      <c r="I351">
        <v>0.15898863934010998</v>
      </c>
      <c r="J351">
        <v>0.47881682124300978</v>
      </c>
      <c r="L351">
        <v>12837.03760703369</v>
      </c>
      <c r="M351">
        <v>10.432138700113381</v>
      </c>
      <c r="N351">
        <v>9.3487005010383513</v>
      </c>
      <c r="O351">
        <v>20748.26278935494</v>
      </c>
      <c r="P351">
        <v>11.657909909678802</v>
      </c>
      <c r="Q351">
        <v>10.613823728607976</v>
      </c>
      <c r="S351">
        <f t="shared" si="22"/>
        <v>922033.01249680144</v>
      </c>
      <c r="T351">
        <f t="shared" si="23"/>
        <v>1040634.1100714428</v>
      </c>
      <c r="V351">
        <f t="shared" si="20"/>
        <v>0</v>
      </c>
      <c r="W351">
        <f t="shared" si="21"/>
        <v>1</v>
      </c>
    </row>
    <row r="352" spans="1:23" x14ac:dyDescent="0.2">
      <c r="A352">
        <v>347</v>
      </c>
      <c r="B352">
        <v>420.39413925592913</v>
      </c>
      <c r="C352">
        <v>2898.5057363343712</v>
      </c>
      <c r="D352">
        <v>879.28520510116437</v>
      </c>
      <c r="E352">
        <v>693.90908356146087</v>
      </c>
      <c r="F352">
        <v>0.94720520988938528</v>
      </c>
      <c r="G352">
        <v>0.88263271045580027</v>
      </c>
      <c r="H352">
        <v>1.0042958803361186E-2</v>
      </c>
      <c r="I352">
        <v>0.17039580212525429</v>
      </c>
      <c r="J352">
        <v>0.46538377031783584</v>
      </c>
      <c r="L352">
        <v>10282.393699833121</v>
      </c>
      <c r="M352">
        <v>10.029046443273147</v>
      </c>
      <c r="N352">
        <v>9.3486946860501554</v>
      </c>
      <c r="O352">
        <v>17565.221252758016</v>
      </c>
      <c r="P352">
        <v>11.383512818589153</v>
      </c>
      <c r="Q352">
        <v>10.678341710525807</v>
      </c>
      <c r="S352">
        <f t="shared" si="22"/>
        <v>924587.07490518247</v>
      </c>
      <c r="T352">
        <f t="shared" si="23"/>
        <v>1050268.9497998226</v>
      </c>
      <c r="V352">
        <f t="shared" si="20"/>
        <v>0</v>
      </c>
      <c r="W352">
        <f t="shared" si="21"/>
        <v>1</v>
      </c>
    </row>
    <row r="353" spans="1:23" x14ac:dyDescent="0.2">
      <c r="A353">
        <v>348</v>
      </c>
      <c r="B353">
        <v>384.44628144574642</v>
      </c>
      <c r="C353">
        <v>2895.845026595955</v>
      </c>
      <c r="D353">
        <v>1069.4725820182318</v>
      </c>
      <c r="E353">
        <v>1298.1982368618515</v>
      </c>
      <c r="F353">
        <v>0.96739894642354807</v>
      </c>
      <c r="G353">
        <v>0.70433328832122399</v>
      </c>
      <c r="H353">
        <v>1.0580644182615716E-2</v>
      </c>
      <c r="I353">
        <v>0.15185968281576101</v>
      </c>
      <c r="J353">
        <v>0.53827713195201898</v>
      </c>
      <c r="L353">
        <v>10850.466032568036</v>
      </c>
      <c r="M353">
        <v>10.11613442149689</v>
      </c>
      <c r="N353">
        <v>9.1102200942501863</v>
      </c>
      <c r="O353">
        <v>19442.957111292006</v>
      </c>
      <c r="P353">
        <v>11.19187176722771</v>
      </c>
      <c r="Q353">
        <v>10.318087996959475</v>
      </c>
      <c r="S353">
        <f t="shared" si="22"/>
        <v>900171.54339245067</v>
      </c>
      <c r="T353">
        <f t="shared" si="23"/>
        <v>1012365.8425846555</v>
      </c>
      <c r="V353">
        <f t="shared" si="20"/>
        <v>0</v>
      </c>
      <c r="W353">
        <f t="shared" si="21"/>
        <v>1</v>
      </c>
    </row>
    <row r="354" spans="1:23" x14ac:dyDescent="0.2">
      <c r="A354">
        <v>349</v>
      </c>
      <c r="B354">
        <v>824.765741429282</v>
      </c>
      <c r="C354">
        <v>2883.4309848010766</v>
      </c>
      <c r="D354">
        <v>876.75199623968706</v>
      </c>
      <c r="E354">
        <v>1128.6116596907059</v>
      </c>
      <c r="F354">
        <v>0.9514382325430325</v>
      </c>
      <c r="G354">
        <v>0.67852809201436204</v>
      </c>
      <c r="H354">
        <v>1.0323514393046884E-2</v>
      </c>
      <c r="I354">
        <v>0.15152854601433086</v>
      </c>
      <c r="J354">
        <v>0.49192458796311817</v>
      </c>
      <c r="L354">
        <v>14066.541342111756</v>
      </c>
      <c r="M354">
        <v>10.164154884451522</v>
      </c>
      <c r="N354">
        <v>8.9749133434506589</v>
      </c>
      <c r="O354">
        <v>21821.450533152205</v>
      </c>
      <c r="P354">
        <v>11.377660353338801</v>
      </c>
      <c r="Q354">
        <v>10.32847954074674</v>
      </c>
      <c r="S354">
        <f t="shared" si="22"/>
        <v>883424.7930029541</v>
      </c>
      <c r="T354">
        <f t="shared" si="23"/>
        <v>1011026.5035415217</v>
      </c>
      <c r="V354">
        <f t="shared" si="20"/>
        <v>0</v>
      </c>
      <c r="W354">
        <f t="shared" si="21"/>
        <v>1</v>
      </c>
    </row>
    <row r="355" spans="1:23" x14ac:dyDescent="0.2">
      <c r="A355">
        <v>350</v>
      </c>
      <c r="B355">
        <v>600.19900120716841</v>
      </c>
      <c r="C355">
        <v>3730.9858270098675</v>
      </c>
      <c r="D355">
        <v>795.66216719155739</v>
      </c>
      <c r="E355">
        <v>699.33247332015833</v>
      </c>
      <c r="F355">
        <v>0.96179212266455072</v>
      </c>
      <c r="G355">
        <v>0.78510067160481178</v>
      </c>
      <c r="H355">
        <v>1.0711494196744459E-2</v>
      </c>
      <c r="I355">
        <v>0.12761168778117293</v>
      </c>
      <c r="J355">
        <v>0.51932813040219272</v>
      </c>
      <c r="L355">
        <v>15478.524882550237</v>
      </c>
      <c r="M355">
        <v>10.383044344610601</v>
      </c>
      <c r="N355">
        <v>9.4789433964797922</v>
      </c>
      <c r="O355">
        <v>21094.247116249458</v>
      </c>
      <c r="P355">
        <v>11.436097832520952</v>
      </c>
      <c r="Q355">
        <v>10.625190966949432</v>
      </c>
      <c r="S355">
        <f t="shared" si="22"/>
        <v>932415.81476542901</v>
      </c>
      <c r="T355">
        <f t="shared" si="23"/>
        <v>1041424.8495786939</v>
      </c>
      <c r="V355">
        <f t="shared" si="20"/>
        <v>0</v>
      </c>
      <c r="W355">
        <f t="shared" si="21"/>
        <v>1</v>
      </c>
    </row>
    <row r="356" spans="1:23" x14ac:dyDescent="0.2">
      <c r="A356">
        <v>351</v>
      </c>
      <c r="B356">
        <v>339.60824364034079</v>
      </c>
      <c r="C356">
        <v>2116.2997361343146</v>
      </c>
      <c r="D356">
        <v>1186.7091428430672</v>
      </c>
      <c r="E356">
        <v>874.25107430988839</v>
      </c>
      <c r="F356">
        <v>0.97358944203769648</v>
      </c>
      <c r="G356">
        <v>0.89839193314244581</v>
      </c>
      <c r="H356">
        <v>1.1975208384369879E-2</v>
      </c>
      <c r="I356">
        <v>0.15104123919402601</v>
      </c>
      <c r="J356">
        <v>0.48577731295142135</v>
      </c>
      <c r="L356">
        <v>8519.7825617832568</v>
      </c>
      <c r="M356">
        <v>9.9006153753680426</v>
      </c>
      <c r="N356">
        <v>9.4359494351098014</v>
      </c>
      <c r="O356">
        <v>18456.739286547061</v>
      </c>
      <c r="P356">
        <v>11.163799508995634</v>
      </c>
      <c r="Q356">
        <v>10.721355822122199</v>
      </c>
      <c r="S356">
        <f t="shared" si="22"/>
        <v>935075.1609491969</v>
      </c>
      <c r="T356">
        <f t="shared" si="23"/>
        <v>1053678.8429256729</v>
      </c>
      <c r="V356">
        <f t="shared" si="20"/>
        <v>0</v>
      </c>
      <c r="W356">
        <f t="shared" si="21"/>
        <v>1</v>
      </c>
    </row>
    <row r="357" spans="1:23" x14ac:dyDescent="0.2">
      <c r="A357">
        <v>352</v>
      </c>
      <c r="B357">
        <v>422.940201737623</v>
      </c>
      <c r="C357">
        <v>3386.7247389446029</v>
      </c>
      <c r="D357">
        <v>1095.0437632311698</v>
      </c>
      <c r="E357">
        <v>872.47681037614893</v>
      </c>
      <c r="F357">
        <v>0.967181481035021</v>
      </c>
      <c r="G357">
        <v>0.61407134163944532</v>
      </c>
      <c r="H357">
        <v>7.8510497016434991E-3</v>
      </c>
      <c r="I357">
        <v>0.15197391401457372</v>
      </c>
      <c r="J357">
        <v>0.60086561332688149</v>
      </c>
      <c r="L357">
        <v>11516.968423803944</v>
      </c>
      <c r="M357">
        <v>10.647426494446316</v>
      </c>
      <c r="N357">
        <v>9.4981482878943773</v>
      </c>
      <c r="O357">
        <v>20926.605180895636</v>
      </c>
      <c r="P357">
        <v>11.488823171627939</v>
      </c>
      <c r="Q357">
        <v>10.496583076894213</v>
      </c>
      <c r="S357">
        <f t="shared" si="22"/>
        <v>938297.86036563385</v>
      </c>
      <c r="T357">
        <f t="shared" si="23"/>
        <v>1028731.7025085257</v>
      </c>
      <c r="V357">
        <f t="shared" si="20"/>
        <v>0</v>
      </c>
      <c r="W357">
        <f t="shared" si="21"/>
        <v>1</v>
      </c>
    </row>
    <row r="358" spans="1:23" x14ac:dyDescent="0.2">
      <c r="A358">
        <v>353</v>
      </c>
      <c r="B358">
        <v>395.14526174260698</v>
      </c>
      <c r="C358">
        <v>3115.6374119633119</v>
      </c>
      <c r="D358">
        <v>959.91092345444201</v>
      </c>
      <c r="E358">
        <v>774.37341695855673</v>
      </c>
      <c r="F358">
        <v>0.98206531288409771</v>
      </c>
      <c r="G358">
        <v>0.73239987627398329</v>
      </c>
      <c r="H358">
        <v>1.0525685083253723E-2</v>
      </c>
      <c r="I358">
        <v>0.1044359238502118</v>
      </c>
      <c r="J358">
        <v>0.50506129561268431</v>
      </c>
      <c r="L358">
        <v>13175.183346164027</v>
      </c>
      <c r="M358">
        <v>10.747736592314601</v>
      </c>
      <c r="N358">
        <v>9.7592672719169542</v>
      </c>
      <c r="O358">
        <v>20133.51300692427</v>
      </c>
      <c r="P358">
        <v>11.736142571391945</v>
      </c>
      <c r="Q358">
        <v>10.952100898531022</v>
      </c>
      <c r="S358">
        <f t="shared" si="22"/>
        <v>962751.54384553141</v>
      </c>
      <c r="T358">
        <f t="shared" si="23"/>
        <v>1075076.5768461779</v>
      </c>
      <c r="V358">
        <f t="shared" si="20"/>
        <v>0</v>
      </c>
      <c r="W358">
        <f t="shared" si="21"/>
        <v>1</v>
      </c>
    </row>
    <row r="359" spans="1:23" x14ac:dyDescent="0.2">
      <c r="A359">
        <v>354</v>
      </c>
      <c r="B359">
        <v>549.99669534853672</v>
      </c>
      <c r="C359">
        <v>3435.3003236909944</v>
      </c>
      <c r="D359">
        <v>922.82943945518764</v>
      </c>
      <c r="E359">
        <v>701.19010205999575</v>
      </c>
      <c r="F359">
        <v>0.96442582265939825</v>
      </c>
      <c r="G359">
        <v>0.82578379579728345</v>
      </c>
      <c r="H359">
        <v>1.0465128332740329E-2</v>
      </c>
      <c r="I359">
        <v>0.14083611774663257</v>
      </c>
      <c r="J359">
        <v>0.52073344988472647</v>
      </c>
      <c r="L359">
        <v>13646.589755578791</v>
      </c>
      <c r="M359">
        <v>10.259129978017679</v>
      </c>
      <c r="N359">
        <v>9.5222918763449655</v>
      </c>
      <c r="O359">
        <v>20793.112147164738</v>
      </c>
      <c r="P359">
        <v>11.350915641980276</v>
      </c>
      <c r="Q359">
        <v>10.673011385107731</v>
      </c>
      <c r="S359">
        <f t="shared" si="22"/>
        <v>938582.59787891782</v>
      </c>
      <c r="T359">
        <f t="shared" si="23"/>
        <v>1046508.0263636084</v>
      </c>
      <c r="V359">
        <f t="shared" si="20"/>
        <v>0</v>
      </c>
      <c r="W359">
        <f t="shared" si="21"/>
        <v>1</v>
      </c>
    </row>
    <row r="360" spans="1:23" x14ac:dyDescent="0.2">
      <c r="A360">
        <v>355</v>
      </c>
      <c r="B360">
        <v>565.05348100602112</v>
      </c>
      <c r="C360">
        <v>3085.1539122376485</v>
      </c>
      <c r="D360">
        <v>826.09342826620673</v>
      </c>
      <c r="E360">
        <v>1015.9896856419937</v>
      </c>
      <c r="F360">
        <v>0.96672956324754478</v>
      </c>
      <c r="G360">
        <v>0.64331343531718965</v>
      </c>
      <c r="H360">
        <v>9.5510002567022866E-3</v>
      </c>
      <c r="I360">
        <v>0.15615916897848003</v>
      </c>
      <c r="J360">
        <v>0.46783813579518857</v>
      </c>
      <c r="L360">
        <v>12288.256788804985</v>
      </c>
      <c r="M360">
        <v>10.257388299242839</v>
      </c>
      <c r="N360">
        <v>9.132283208661871</v>
      </c>
      <c r="O360">
        <v>19134.347572870771</v>
      </c>
      <c r="P360">
        <v>11.54333883523239</v>
      </c>
      <c r="Q360">
        <v>10.622338163787031</v>
      </c>
      <c r="S360">
        <f t="shared" si="22"/>
        <v>900940.06407738209</v>
      </c>
      <c r="T360">
        <f t="shared" si="23"/>
        <v>1043099.4688058323</v>
      </c>
      <c r="V360">
        <f t="shared" si="20"/>
        <v>0</v>
      </c>
      <c r="W360">
        <f t="shared" si="21"/>
        <v>1</v>
      </c>
    </row>
    <row r="361" spans="1:23" x14ac:dyDescent="0.2">
      <c r="A361">
        <v>356</v>
      </c>
      <c r="B361">
        <v>676.16059077155671</v>
      </c>
      <c r="C361">
        <v>2179.9689028147832</v>
      </c>
      <c r="D361">
        <v>876.66205122255371</v>
      </c>
      <c r="E361">
        <v>835.62558454061696</v>
      </c>
      <c r="F361">
        <v>0.93233614685476462</v>
      </c>
      <c r="G361">
        <v>0.9090250155747448</v>
      </c>
      <c r="H361">
        <v>8.6604744618265905E-3</v>
      </c>
      <c r="I361">
        <v>0.14151132007366349</v>
      </c>
      <c r="J361">
        <v>0.46272854004776204</v>
      </c>
      <c r="L361">
        <v>11165.305705182305</v>
      </c>
      <c r="M361">
        <v>10.581051755820836</v>
      </c>
      <c r="N361">
        <v>9.8074562975237551</v>
      </c>
      <c r="O361">
        <v>19552.298330378653</v>
      </c>
      <c r="P361">
        <v>11.799668474420622</v>
      </c>
      <c r="Q361">
        <v>10.962806540666911</v>
      </c>
      <c r="S361">
        <f t="shared" si="22"/>
        <v>969580.32404719328</v>
      </c>
      <c r="T361">
        <f t="shared" si="23"/>
        <v>1076728.3557363125</v>
      </c>
      <c r="V361">
        <f t="shared" si="20"/>
        <v>0</v>
      </c>
      <c r="W361">
        <f t="shared" si="21"/>
        <v>1</v>
      </c>
    </row>
    <row r="362" spans="1:23" x14ac:dyDescent="0.2">
      <c r="A362">
        <v>357</v>
      </c>
      <c r="B362">
        <v>538.3299630678988</v>
      </c>
      <c r="C362">
        <v>4208.7475232078004</v>
      </c>
      <c r="D362">
        <v>897.68408026831389</v>
      </c>
      <c r="E362">
        <v>892.89005342825476</v>
      </c>
      <c r="F362">
        <v>0.98226166369136914</v>
      </c>
      <c r="G362">
        <v>0.68737050828555557</v>
      </c>
      <c r="H362">
        <v>9.6037805800251019E-3</v>
      </c>
      <c r="I362">
        <v>0.14863879258770232</v>
      </c>
      <c r="J362">
        <v>0.46551380573987688</v>
      </c>
      <c r="L362">
        <v>15088.985273976945</v>
      </c>
      <c r="M362">
        <v>10.324389339844895</v>
      </c>
      <c r="N362">
        <v>9.4022236621838573</v>
      </c>
      <c r="O362">
        <v>21620.132382365497</v>
      </c>
      <c r="P362">
        <v>11.593123735197041</v>
      </c>
      <c r="Q362">
        <v>10.882819096488955</v>
      </c>
      <c r="S362">
        <f t="shared" si="22"/>
        <v>925133.38094440883</v>
      </c>
      <c r="T362">
        <f t="shared" si="23"/>
        <v>1066661.7772665301</v>
      </c>
      <c r="V362">
        <f t="shared" si="20"/>
        <v>0</v>
      </c>
      <c r="W362">
        <f t="shared" si="21"/>
        <v>1</v>
      </c>
    </row>
    <row r="363" spans="1:23" x14ac:dyDescent="0.2">
      <c r="A363">
        <v>358</v>
      </c>
      <c r="B363">
        <v>566.85711982647467</v>
      </c>
      <c r="C363">
        <v>3142.6580107733525</v>
      </c>
      <c r="D363">
        <v>970.04973215107452</v>
      </c>
      <c r="E363">
        <v>1261.8149608106585</v>
      </c>
      <c r="F363">
        <v>0.96170616269742903</v>
      </c>
      <c r="G363">
        <v>0.8135136352420449</v>
      </c>
      <c r="H363">
        <v>9.5589051398472617E-3</v>
      </c>
      <c r="I363">
        <v>0.1333368678240216</v>
      </c>
      <c r="J363">
        <v>0.55517757091488906</v>
      </c>
      <c r="L363">
        <v>13287.855576958214</v>
      </c>
      <c r="M363">
        <v>10.503991418924306</v>
      </c>
      <c r="N363">
        <v>9.7057019071648227</v>
      </c>
      <c r="O363">
        <v>21174.259611081521</v>
      </c>
      <c r="P363">
        <v>11.455114473764088</v>
      </c>
      <c r="Q363">
        <v>10.718329872636382</v>
      </c>
      <c r="S363">
        <f t="shared" si="22"/>
        <v>957282.33513952408</v>
      </c>
      <c r="T363">
        <f t="shared" si="23"/>
        <v>1050658.7276525565</v>
      </c>
      <c r="V363">
        <f t="shared" si="20"/>
        <v>0</v>
      </c>
      <c r="W363">
        <f t="shared" si="21"/>
        <v>1</v>
      </c>
    </row>
    <row r="364" spans="1:23" x14ac:dyDescent="0.2">
      <c r="A364">
        <v>359</v>
      </c>
      <c r="B364">
        <v>270.0868046735493</v>
      </c>
      <c r="C364">
        <v>3254.6888616281931</v>
      </c>
      <c r="D364">
        <v>1180.049956225002</v>
      </c>
      <c r="E364">
        <v>1079.1908477209172</v>
      </c>
      <c r="F364">
        <v>0.94683444833268604</v>
      </c>
      <c r="G364">
        <v>0.78575580291034219</v>
      </c>
      <c r="H364">
        <v>1.0587642826222328E-2</v>
      </c>
      <c r="I364">
        <v>0.13950266357504137</v>
      </c>
      <c r="J364">
        <v>0.43743679214308073</v>
      </c>
      <c r="L364">
        <v>11266.816234858599</v>
      </c>
      <c r="M364">
        <v>10.254436203081791</v>
      </c>
      <c r="N364">
        <v>9.2726806715232737</v>
      </c>
      <c r="O364">
        <v>20378.697328656657</v>
      </c>
      <c r="P364">
        <v>11.607197897114155</v>
      </c>
      <c r="Q364">
        <v>10.69788845266357</v>
      </c>
      <c r="S364">
        <f t="shared" si="22"/>
        <v>916001.2509174688</v>
      </c>
      <c r="T364">
        <f t="shared" si="23"/>
        <v>1049410.1479377004</v>
      </c>
      <c r="V364">
        <f t="shared" si="20"/>
        <v>0</v>
      </c>
      <c r="W364">
        <f t="shared" si="21"/>
        <v>1</v>
      </c>
    </row>
    <row r="365" spans="1:23" x14ac:dyDescent="0.2">
      <c r="A365">
        <v>360</v>
      </c>
      <c r="B365">
        <v>498.27503055746291</v>
      </c>
      <c r="C365">
        <v>3777.2374902594852</v>
      </c>
      <c r="D365">
        <v>1119.5192395372612</v>
      </c>
      <c r="E365">
        <v>1265.5231703849358</v>
      </c>
      <c r="F365">
        <v>0.9586114673386118</v>
      </c>
      <c r="G365">
        <v>0.6782511583478299</v>
      </c>
      <c r="H365">
        <v>1.200851294643834E-2</v>
      </c>
      <c r="I365">
        <v>0.17302637599810333</v>
      </c>
      <c r="J365">
        <v>0.53715292711213491</v>
      </c>
      <c r="L365">
        <v>13469.563861872011</v>
      </c>
      <c r="M365">
        <v>9.6648081090704476</v>
      </c>
      <c r="N365">
        <v>8.5711885540228963</v>
      </c>
      <c r="O365">
        <v>22022.360479415169</v>
      </c>
      <c r="P365">
        <v>10.821449279868109</v>
      </c>
      <c r="Q365">
        <v>9.8412934929829472</v>
      </c>
      <c r="S365">
        <f t="shared" si="22"/>
        <v>843649.29154041759</v>
      </c>
      <c r="T365">
        <f t="shared" si="23"/>
        <v>962106.98881887959</v>
      </c>
      <c r="V365">
        <f t="shared" si="20"/>
        <v>0</v>
      </c>
      <c r="W365">
        <f t="shared" si="21"/>
        <v>1</v>
      </c>
    </row>
    <row r="366" spans="1:23" x14ac:dyDescent="0.2">
      <c r="A366">
        <v>361</v>
      </c>
      <c r="B366">
        <v>384.83815115898193</v>
      </c>
      <c r="C366">
        <v>2460.0286893994826</v>
      </c>
      <c r="D366">
        <v>1043.2282931457678</v>
      </c>
      <c r="E366">
        <v>1070.5384975249842</v>
      </c>
      <c r="F366">
        <v>0.94364955526938488</v>
      </c>
      <c r="G366">
        <v>0.83745121488342544</v>
      </c>
      <c r="H366">
        <v>9.0285019940648803E-3</v>
      </c>
      <c r="I366">
        <v>0.17449788990286286</v>
      </c>
      <c r="J366">
        <v>0.5163085686007004</v>
      </c>
      <c r="L366">
        <v>8903.8521041129898</v>
      </c>
      <c r="M366">
        <v>10.193734259450475</v>
      </c>
      <c r="N366">
        <v>9.3854642277000693</v>
      </c>
      <c r="O366">
        <v>18161.045010435715</v>
      </c>
      <c r="P366">
        <v>11.363269855967665</v>
      </c>
      <c r="Q366">
        <v>10.554464043208805</v>
      </c>
      <c r="S366">
        <f t="shared" si="22"/>
        <v>929642.57066589396</v>
      </c>
      <c r="T366">
        <f t="shared" si="23"/>
        <v>1037285.3593104448</v>
      </c>
      <c r="V366">
        <f t="shared" si="20"/>
        <v>0</v>
      </c>
      <c r="W366">
        <f t="shared" si="21"/>
        <v>1</v>
      </c>
    </row>
    <row r="367" spans="1:23" x14ac:dyDescent="0.2">
      <c r="A367">
        <v>362</v>
      </c>
      <c r="B367">
        <v>454.60802651690364</v>
      </c>
      <c r="C367">
        <v>2797.424461504098</v>
      </c>
      <c r="D367">
        <v>1157.7936797114235</v>
      </c>
      <c r="E367">
        <v>1334.2414424753122</v>
      </c>
      <c r="F367">
        <v>0.95451035694876663</v>
      </c>
      <c r="G367">
        <v>0.81465171616404741</v>
      </c>
      <c r="H367">
        <v>9.6028183958437752E-3</v>
      </c>
      <c r="I367">
        <v>0.18521353253660655</v>
      </c>
      <c r="J367">
        <v>0.56611486064060357</v>
      </c>
      <c r="L367">
        <v>10158.84436957131</v>
      </c>
      <c r="M367">
        <v>9.9878436515723443</v>
      </c>
      <c r="N367">
        <v>9.2301079753719755</v>
      </c>
      <c r="O367">
        <v>20183.347754584709</v>
      </c>
      <c r="P367">
        <v>11.041781754295208</v>
      </c>
      <c r="Q367">
        <v>10.307114488175362</v>
      </c>
      <c r="S367">
        <f t="shared" si="22"/>
        <v>912851.95316762628</v>
      </c>
      <c r="T367">
        <f t="shared" si="23"/>
        <v>1010528.1010629515</v>
      </c>
      <c r="V367">
        <f t="shared" si="20"/>
        <v>0</v>
      </c>
      <c r="W367">
        <f t="shared" si="21"/>
        <v>1</v>
      </c>
    </row>
    <row r="368" spans="1:23" x14ac:dyDescent="0.2">
      <c r="A368">
        <v>363</v>
      </c>
      <c r="B368">
        <v>496.48319427941527</v>
      </c>
      <c r="C368">
        <v>3211.7512815012337</v>
      </c>
      <c r="D368">
        <v>1040.3557987027248</v>
      </c>
      <c r="E368">
        <v>1133.9890706960907</v>
      </c>
      <c r="F368">
        <v>0.92050196589678812</v>
      </c>
      <c r="G368">
        <v>0.78927418660409354</v>
      </c>
      <c r="H368">
        <v>9.4563167048269739E-3</v>
      </c>
      <c r="I368">
        <v>0.12415740007981173</v>
      </c>
      <c r="J368">
        <v>0.62247585858072274</v>
      </c>
      <c r="L368">
        <v>13201.6814700503</v>
      </c>
      <c r="M368">
        <v>10.635310839903852</v>
      </c>
      <c r="N368">
        <v>9.4258577393683556</v>
      </c>
      <c r="O368">
        <v>21518.994798893829</v>
      </c>
      <c r="P368">
        <v>11.384796161791844</v>
      </c>
      <c r="Q368">
        <v>10.189013730060761</v>
      </c>
      <c r="S368">
        <f t="shared" si="22"/>
        <v>929384.09246678534</v>
      </c>
      <c r="T368">
        <f t="shared" si="23"/>
        <v>997382.37820718228</v>
      </c>
      <c r="V368">
        <f t="shared" si="20"/>
        <v>0</v>
      </c>
      <c r="W368">
        <f t="shared" si="21"/>
        <v>1</v>
      </c>
    </row>
    <row r="369" spans="1:23" x14ac:dyDescent="0.2">
      <c r="A369">
        <v>364</v>
      </c>
      <c r="B369">
        <v>929.61593657695039</v>
      </c>
      <c r="C369">
        <v>2673.2733389627192</v>
      </c>
      <c r="D369">
        <v>968.0624916279246</v>
      </c>
      <c r="E369">
        <v>1251.3757125637312</v>
      </c>
      <c r="F369">
        <v>0.97275304752474046</v>
      </c>
      <c r="G369">
        <v>0.6632068357727946</v>
      </c>
      <c r="H369">
        <v>1.1477511845891306E-2</v>
      </c>
      <c r="I369">
        <v>0.11399575711257173</v>
      </c>
      <c r="J369">
        <v>0.50759752440971995</v>
      </c>
      <c r="L369">
        <v>15658.739615131319</v>
      </c>
      <c r="M369">
        <v>10.462586529500655</v>
      </c>
      <c r="N369">
        <v>9.2039719011770131</v>
      </c>
      <c r="O369">
        <v>23952.395955590709</v>
      </c>
      <c r="P369">
        <v>11.505096542582885</v>
      </c>
      <c r="Q369">
        <v>10.477148098092236</v>
      </c>
      <c r="S369">
        <f t="shared" si="22"/>
        <v>904738.45050257002</v>
      </c>
      <c r="T369">
        <f t="shared" si="23"/>
        <v>1023762.4138536329</v>
      </c>
      <c r="V369">
        <f t="shared" si="20"/>
        <v>0</v>
      </c>
      <c r="W369">
        <f t="shared" si="21"/>
        <v>1</v>
      </c>
    </row>
    <row r="370" spans="1:23" x14ac:dyDescent="0.2">
      <c r="A370">
        <v>365</v>
      </c>
      <c r="B370">
        <v>547.17445244826433</v>
      </c>
      <c r="C370">
        <v>2066.0768956805964</v>
      </c>
      <c r="D370">
        <v>1004.8467079739713</v>
      </c>
      <c r="E370">
        <v>1336.1644435372214</v>
      </c>
      <c r="F370">
        <v>0.92559897209318653</v>
      </c>
      <c r="G370">
        <v>0.69610466187462094</v>
      </c>
      <c r="H370">
        <v>1.0532606229479439E-2</v>
      </c>
      <c r="I370">
        <v>0.11020732647572047</v>
      </c>
      <c r="J370">
        <v>0.58089668602051525</v>
      </c>
      <c r="L370">
        <v>10992.628885819468</v>
      </c>
      <c r="M370">
        <v>10.656666149220531</v>
      </c>
      <c r="N370">
        <v>9.1528510230423308</v>
      </c>
      <c r="O370">
        <v>19407.41029531712</v>
      </c>
      <c r="P370">
        <v>11.477137827633387</v>
      </c>
      <c r="Q370">
        <v>10.069836698031141</v>
      </c>
      <c r="S370">
        <f t="shared" si="22"/>
        <v>904292.47341841366</v>
      </c>
      <c r="T370">
        <f t="shared" si="23"/>
        <v>987576.25950779708</v>
      </c>
      <c r="V370">
        <f t="shared" si="20"/>
        <v>0</v>
      </c>
      <c r="W370">
        <f t="shared" si="21"/>
        <v>1</v>
      </c>
    </row>
    <row r="371" spans="1:23" x14ac:dyDescent="0.2">
      <c r="A371">
        <v>366</v>
      </c>
      <c r="B371">
        <v>567.32340493379104</v>
      </c>
      <c r="C371">
        <v>2580.6717678585155</v>
      </c>
      <c r="D371">
        <v>1038.025106859769</v>
      </c>
      <c r="E371">
        <v>813.24788331432865</v>
      </c>
      <c r="F371">
        <v>0.90039659456159304</v>
      </c>
      <c r="G371">
        <v>0.72002616787416196</v>
      </c>
      <c r="H371">
        <v>1.088502985080711E-2</v>
      </c>
      <c r="I371">
        <v>0.10392685454708103</v>
      </c>
      <c r="J371">
        <v>0.42888982161651501</v>
      </c>
      <c r="L371">
        <v>12866.74469368075</v>
      </c>
      <c r="M371">
        <v>10.704691059450766</v>
      </c>
      <c r="N371">
        <v>9.0543565142359235</v>
      </c>
      <c r="O371">
        <v>21385.842395468826</v>
      </c>
      <c r="P371">
        <v>11.910478716805551</v>
      </c>
      <c r="Q371">
        <v>10.338619190550457</v>
      </c>
      <c r="S371">
        <f t="shared" si="22"/>
        <v>892568.90672991157</v>
      </c>
      <c r="T371">
        <f t="shared" si="23"/>
        <v>1012476.0766595769</v>
      </c>
      <c r="V371">
        <f t="shared" si="20"/>
        <v>0</v>
      </c>
      <c r="W371">
        <f t="shared" si="21"/>
        <v>1</v>
      </c>
    </row>
    <row r="372" spans="1:23" x14ac:dyDescent="0.2">
      <c r="A372">
        <v>367</v>
      </c>
      <c r="B372">
        <v>330.45220848189524</v>
      </c>
      <c r="C372">
        <v>2352.0432897592282</v>
      </c>
      <c r="D372">
        <v>1056.119142470804</v>
      </c>
      <c r="E372">
        <v>840.45930507395008</v>
      </c>
      <c r="F372">
        <v>0.97768640934247819</v>
      </c>
      <c r="G372">
        <v>0.72578139560234112</v>
      </c>
      <c r="H372">
        <v>9.250722683781935E-3</v>
      </c>
      <c r="I372">
        <v>0.16992159817068198</v>
      </c>
      <c r="J372">
        <v>0.49405895987341503</v>
      </c>
      <c r="L372">
        <v>8266.8497017520531</v>
      </c>
      <c r="M372">
        <v>10.187558957825624</v>
      </c>
      <c r="N372">
        <v>9.3899087688683203</v>
      </c>
      <c r="O372">
        <v>17605.779712352687</v>
      </c>
      <c r="P372">
        <v>11.42205049069214</v>
      </c>
      <c r="Q372">
        <v>10.76526353438789</v>
      </c>
      <c r="S372">
        <f t="shared" si="22"/>
        <v>930724.02718507999</v>
      </c>
      <c r="T372">
        <f t="shared" si="23"/>
        <v>1058920.5737264364</v>
      </c>
      <c r="V372">
        <f t="shared" si="20"/>
        <v>0</v>
      </c>
      <c r="W372">
        <f t="shared" si="21"/>
        <v>1</v>
      </c>
    </row>
    <row r="373" spans="1:23" x14ac:dyDescent="0.2">
      <c r="A373">
        <v>368</v>
      </c>
      <c r="B373">
        <v>384.69384990893809</v>
      </c>
      <c r="C373">
        <v>1994.9041930864266</v>
      </c>
      <c r="D373">
        <v>868.88694969574635</v>
      </c>
      <c r="E373">
        <v>1248.2616226180292</v>
      </c>
      <c r="F373">
        <v>0.94910248138149733</v>
      </c>
      <c r="G373">
        <v>0.71835806348336484</v>
      </c>
      <c r="H373">
        <v>1.0410638844183032E-2</v>
      </c>
      <c r="I373">
        <v>0.13869647463592466</v>
      </c>
      <c r="J373">
        <v>0.5479306205626322</v>
      </c>
      <c r="L373">
        <v>8778.2188429786493</v>
      </c>
      <c r="M373">
        <v>10.293414712248815</v>
      </c>
      <c r="N373">
        <v>9.1460571513627329</v>
      </c>
      <c r="O373">
        <v>16032.54803070163</v>
      </c>
      <c r="P373">
        <v>11.297837766853526</v>
      </c>
      <c r="Q373">
        <v>10.250999284135107</v>
      </c>
      <c r="S373">
        <f t="shared" si="22"/>
        <v>905827.49629329459</v>
      </c>
      <c r="T373">
        <f t="shared" si="23"/>
        <v>1009067.3803828091</v>
      </c>
      <c r="V373">
        <f t="shared" si="20"/>
        <v>0</v>
      </c>
      <c r="W373">
        <f t="shared" si="21"/>
        <v>1</v>
      </c>
    </row>
    <row r="374" spans="1:23" x14ac:dyDescent="0.2">
      <c r="A374">
        <v>369</v>
      </c>
      <c r="B374">
        <v>380.80010662874344</v>
      </c>
      <c r="C374">
        <v>2869.3209552278722</v>
      </c>
      <c r="D374">
        <v>871.99454473073786</v>
      </c>
      <c r="E374">
        <v>1129.6291082526179</v>
      </c>
      <c r="F374">
        <v>0.95414721282365422</v>
      </c>
      <c r="G374">
        <v>0.80638541884590553</v>
      </c>
      <c r="H374">
        <v>8.8577788236356477E-3</v>
      </c>
      <c r="I374">
        <v>0.16387509327538918</v>
      </c>
      <c r="J374">
        <v>0.44965288878435233</v>
      </c>
      <c r="L374">
        <v>10017.434276408316</v>
      </c>
      <c r="M374">
        <v>10.321889633540373</v>
      </c>
      <c r="N374">
        <v>9.5122048935272865</v>
      </c>
      <c r="O374">
        <v>17327.760858222209</v>
      </c>
      <c r="P374">
        <v>11.66873571413274</v>
      </c>
      <c r="Q374">
        <v>10.911494169572874</v>
      </c>
      <c r="S374">
        <f t="shared" si="22"/>
        <v>941203.05507632042</v>
      </c>
      <c r="T374">
        <f t="shared" si="23"/>
        <v>1073821.6560990652</v>
      </c>
      <c r="V374">
        <f t="shared" si="20"/>
        <v>0</v>
      </c>
      <c r="W374">
        <f t="shared" si="21"/>
        <v>1</v>
      </c>
    </row>
    <row r="375" spans="1:23" x14ac:dyDescent="0.2">
      <c r="A375">
        <v>370</v>
      </c>
      <c r="B375">
        <v>595.9958461200855</v>
      </c>
      <c r="C375">
        <v>3510.3467775672889</v>
      </c>
      <c r="D375">
        <v>1100.6725211887831</v>
      </c>
      <c r="E375">
        <v>894.98796455752097</v>
      </c>
      <c r="F375">
        <v>0.95134026697293572</v>
      </c>
      <c r="G375">
        <v>0.77296317679921422</v>
      </c>
      <c r="H375">
        <v>8.6262292148729987E-3</v>
      </c>
      <c r="I375">
        <v>0.15355444799677587</v>
      </c>
      <c r="J375">
        <v>0.43039210413260243</v>
      </c>
      <c r="L375">
        <v>13399.174160143551</v>
      </c>
      <c r="M375">
        <v>10.466110507160018</v>
      </c>
      <c r="N375">
        <v>9.5382463665275417</v>
      </c>
      <c r="O375">
        <v>22994.627554918145</v>
      </c>
      <c r="P375">
        <v>11.830017865221492</v>
      </c>
      <c r="Q375">
        <v>10.987140527261442</v>
      </c>
      <c r="S375">
        <f t="shared" si="22"/>
        <v>940425.46249261056</v>
      </c>
      <c r="T375">
        <f t="shared" si="23"/>
        <v>1075719.425171226</v>
      </c>
      <c r="V375">
        <f t="shared" si="20"/>
        <v>0</v>
      </c>
      <c r="W375">
        <f t="shared" si="21"/>
        <v>1</v>
      </c>
    </row>
    <row r="376" spans="1:23" x14ac:dyDescent="0.2">
      <c r="A376">
        <v>371</v>
      </c>
      <c r="B376">
        <v>484.75549377921658</v>
      </c>
      <c r="C376">
        <v>3100.073583979728</v>
      </c>
      <c r="D376">
        <v>992.49719573900416</v>
      </c>
      <c r="E376">
        <v>1243.1631275434368</v>
      </c>
      <c r="F376">
        <v>0.9504454365130941</v>
      </c>
      <c r="G376">
        <v>0.65532705064740471</v>
      </c>
      <c r="H376">
        <v>9.0043366357145677E-3</v>
      </c>
      <c r="I376">
        <v>0.19022124131357743</v>
      </c>
      <c r="J376">
        <v>0.56041365693214151</v>
      </c>
      <c r="L376">
        <v>10798.831107336604</v>
      </c>
      <c r="M376">
        <v>10.073597319961738</v>
      </c>
      <c r="N376">
        <v>8.962227814447548</v>
      </c>
      <c r="O376">
        <v>19372.782067841155</v>
      </c>
      <c r="P376">
        <v>11.1414911684048</v>
      </c>
      <c r="Q376">
        <v>10.126854961944687</v>
      </c>
      <c r="S376">
        <f t="shared" si="22"/>
        <v>885423.95033741824</v>
      </c>
      <c r="T376">
        <f t="shared" si="23"/>
        <v>993312.71412662754</v>
      </c>
      <c r="V376">
        <f t="shared" si="20"/>
        <v>0</v>
      </c>
      <c r="W376">
        <f t="shared" si="21"/>
        <v>1</v>
      </c>
    </row>
    <row r="377" spans="1:23" x14ac:dyDescent="0.2">
      <c r="A377">
        <v>372</v>
      </c>
      <c r="B377">
        <v>528.3876055297801</v>
      </c>
      <c r="C377">
        <v>2605.0017882952261</v>
      </c>
      <c r="D377">
        <v>847.59913754228455</v>
      </c>
      <c r="E377">
        <v>1113.9640561760257</v>
      </c>
      <c r="F377">
        <v>0.96406730221439285</v>
      </c>
      <c r="G377">
        <v>0.82059036910082228</v>
      </c>
      <c r="H377">
        <v>1.2769777751702616E-2</v>
      </c>
      <c r="I377">
        <v>0.11538608679757191</v>
      </c>
      <c r="J377">
        <v>0.44037856748606868</v>
      </c>
      <c r="L377">
        <v>12592.513818525491</v>
      </c>
      <c r="M377">
        <v>10.269009077601115</v>
      </c>
      <c r="N377">
        <v>9.4337315414761242</v>
      </c>
      <c r="O377">
        <v>18934.642549969609</v>
      </c>
      <c r="P377">
        <v>11.540924977168643</v>
      </c>
      <c r="Q377">
        <v>10.803406044729215</v>
      </c>
      <c r="S377">
        <f t="shared" si="22"/>
        <v>930780.64032908692</v>
      </c>
      <c r="T377">
        <f t="shared" si="23"/>
        <v>1061405.9619229517</v>
      </c>
      <c r="V377">
        <f t="shared" si="20"/>
        <v>0</v>
      </c>
      <c r="W377">
        <f t="shared" si="21"/>
        <v>1</v>
      </c>
    </row>
    <row r="378" spans="1:23" x14ac:dyDescent="0.2">
      <c r="A378">
        <v>373</v>
      </c>
      <c r="B378">
        <v>610.83494834291798</v>
      </c>
      <c r="C378">
        <v>2721.0594667555702</v>
      </c>
      <c r="D378">
        <v>828.40565241820252</v>
      </c>
      <c r="E378">
        <v>1033.7847423453309</v>
      </c>
      <c r="F378">
        <v>0.95516611804741158</v>
      </c>
      <c r="G378">
        <v>0.6153826674634838</v>
      </c>
      <c r="H378">
        <v>9.2774844336456427E-3</v>
      </c>
      <c r="I378">
        <v>0.17744496922167008</v>
      </c>
      <c r="J378">
        <v>0.50312814335797618</v>
      </c>
      <c r="L378">
        <v>11231.214012558126</v>
      </c>
      <c r="M378">
        <v>10.117560440720311</v>
      </c>
      <c r="N378">
        <v>8.915687708706578</v>
      </c>
      <c r="O378">
        <v>18627.88015715835</v>
      </c>
      <c r="P378">
        <v>11.343931914898555</v>
      </c>
      <c r="Q378">
        <v>10.301699326360396</v>
      </c>
      <c r="S378">
        <f t="shared" si="22"/>
        <v>880337.55685809965</v>
      </c>
      <c r="T378">
        <f t="shared" si="23"/>
        <v>1011542.0524788812</v>
      </c>
      <c r="V378">
        <f t="shared" si="20"/>
        <v>0</v>
      </c>
      <c r="W378">
        <f t="shared" si="21"/>
        <v>1</v>
      </c>
    </row>
    <row r="379" spans="1:23" x14ac:dyDescent="0.2">
      <c r="A379">
        <v>374</v>
      </c>
      <c r="B379">
        <v>284.97860095824825</v>
      </c>
      <c r="C379">
        <v>1696.5867672928409</v>
      </c>
      <c r="D379">
        <v>977.98781823836191</v>
      </c>
      <c r="E379">
        <v>1452.1558601202705</v>
      </c>
      <c r="F379">
        <v>0.97476798237362572</v>
      </c>
      <c r="G379">
        <v>0.83647824103073143</v>
      </c>
      <c r="H379">
        <v>1.0980520981154514E-2</v>
      </c>
      <c r="I379">
        <v>0.15027526675849101</v>
      </c>
      <c r="J379">
        <v>0.51957117935228792</v>
      </c>
      <c r="L379">
        <v>7146.2602050670721</v>
      </c>
      <c r="M379">
        <v>10.066314227554452</v>
      </c>
      <c r="N379">
        <v>9.4493722664962512</v>
      </c>
      <c r="O379">
        <v>15417.509951234235</v>
      </c>
      <c r="P379">
        <v>11.201549838480087</v>
      </c>
      <c r="Q379">
        <v>10.649409665026001</v>
      </c>
      <c r="S379">
        <f t="shared" si="22"/>
        <v>937790.966444558</v>
      </c>
      <c r="T379">
        <f t="shared" si="23"/>
        <v>1049523.4565513658</v>
      </c>
      <c r="V379">
        <f t="shared" si="20"/>
        <v>0</v>
      </c>
      <c r="W379">
        <f t="shared" si="21"/>
        <v>1</v>
      </c>
    </row>
    <row r="380" spans="1:23" x14ac:dyDescent="0.2">
      <c r="A380">
        <v>375</v>
      </c>
      <c r="B380">
        <v>590.90220509823996</v>
      </c>
      <c r="C380">
        <v>2032.6501853475188</v>
      </c>
      <c r="D380">
        <v>1138.7171721146692</v>
      </c>
      <c r="E380">
        <v>995.2782010956995</v>
      </c>
      <c r="F380">
        <v>0.92402129968269342</v>
      </c>
      <c r="G380">
        <v>0.67276530363713294</v>
      </c>
      <c r="H380">
        <v>9.2308292657531221E-3</v>
      </c>
      <c r="I380">
        <v>0.13496453099017516</v>
      </c>
      <c r="J380">
        <v>0.50840608042277979</v>
      </c>
      <c r="L380">
        <v>10351.734709298464</v>
      </c>
      <c r="M380">
        <v>10.544311037284736</v>
      </c>
      <c r="N380">
        <v>9.0861907389087264</v>
      </c>
      <c r="O380">
        <v>20918.649218192924</v>
      </c>
      <c r="P380">
        <v>11.623174514436123</v>
      </c>
      <c r="Q380">
        <v>10.271865608573547</v>
      </c>
      <c r="S380">
        <f t="shared" si="22"/>
        <v>898267.33918157418</v>
      </c>
      <c r="T380">
        <f t="shared" si="23"/>
        <v>1006267.9116391618</v>
      </c>
      <c r="V380">
        <f t="shared" si="20"/>
        <v>0</v>
      </c>
      <c r="W380">
        <f t="shared" si="21"/>
        <v>1</v>
      </c>
    </row>
    <row r="381" spans="1:23" x14ac:dyDescent="0.2">
      <c r="A381">
        <v>376</v>
      </c>
      <c r="B381">
        <v>580.01001894346234</v>
      </c>
      <c r="C381">
        <v>2408.7770427919013</v>
      </c>
      <c r="D381">
        <v>918.63815912560074</v>
      </c>
      <c r="E381">
        <v>885.97776640488507</v>
      </c>
      <c r="F381">
        <v>0.96131241541477119</v>
      </c>
      <c r="G381">
        <v>0.7318533759920427</v>
      </c>
      <c r="H381">
        <v>9.2809198226207219E-3</v>
      </c>
      <c r="I381">
        <v>0.15257726725431653</v>
      </c>
      <c r="J381">
        <v>0.51668764517452892</v>
      </c>
      <c r="L381">
        <v>10773.714392715163</v>
      </c>
      <c r="M381">
        <v>10.344933652015881</v>
      </c>
      <c r="N381">
        <v>9.3869924182299158</v>
      </c>
      <c r="O381">
        <v>19007.540631335298</v>
      </c>
      <c r="P381">
        <v>11.459408048038251</v>
      </c>
      <c r="Q381">
        <v>10.613501782654255</v>
      </c>
      <c r="S381">
        <f t="shared" si="22"/>
        <v>927925.5274302765</v>
      </c>
      <c r="T381">
        <f t="shared" si="23"/>
        <v>1042342.6376340903</v>
      </c>
      <c r="V381">
        <f t="shared" si="20"/>
        <v>0</v>
      </c>
      <c r="W381">
        <f t="shared" si="21"/>
        <v>1</v>
      </c>
    </row>
    <row r="382" spans="1:23" x14ac:dyDescent="0.2">
      <c r="A382">
        <v>377</v>
      </c>
      <c r="B382">
        <v>743.51507883730756</v>
      </c>
      <c r="C382">
        <v>2727.5737167546072</v>
      </c>
      <c r="D382">
        <v>937.14696944828938</v>
      </c>
      <c r="E382">
        <v>1045.504881284973</v>
      </c>
      <c r="F382">
        <v>0.93504490457847456</v>
      </c>
      <c r="G382">
        <v>0.79905028508869846</v>
      </c>
      <c r="H382">
        <v>9.4857048092280051E-3</v>
      </c>
      <c r="I382">
        <v>0.18323189107888505</v>
      </c>
      <c r="J382">
        <v>0.47577299093668157</v>
      </c>
      <c r="L382">
        <v>12186.432489375582</v>
      </c>
      <c r="M382">
        <v>10.02750891715851</v>
      </c>
      <c r="N382">
        <v>9.0804555511066507</v>
      </c>
      <c r="O382">
        <v>20970.99261051901</v>
      </c>
      <c r="P382">
        <v>11.366414926246469</v>
      </c>
      <c r="Q382">
        <v>10.422999889986681</v>
      </c>
      <c r="S382">
        <f t="shared" si="22"/>
        <v>895859.12262128945</v>
      </c>
      <c r="T382">
        <f t="shared" si="23"/>
        <v>1021328.996388149</v>
      </c>
      <c r="V382">
        <f t="shared" si="20"/>
        <v>0</v>
      </c>
      <c r="W382">
        <f t="shared" si="21"/>
        <v>1</v>
      </c>
    </row>
    <row r="383" spans="1:23" x14ac:dyDescent="0.2">
      <c r="A383">
        <v>378</v>
      </c>
      <c r="B383">
        <v>452.14145702662501</v>
      </c>
      <c r="C383">
        <v>1928.7381516550056</v>
      </c>
      <c r="D383">
        <v>956.74357230496571</v>
      </c>
      <c r="E383">
        <v>1223.2360676689946</v>
      </c>
      <c r="F383">
        <v>0.97398854725129547</v>
      </c>
      <c r="G383">
        <v>0.76625873411994672</v>
      </c>
      <c r="H383">
        <v>1.1590171687855134E-2</v>
      </c>
      <c r="I383">
        <v>0.14815223832217431</v>
      </c>
      <c r="J383">
        <v>0.5038626821851333</v>
      </c>
      <c r="L383">
        <v>8998.6877136995772</v>
      </c>
      <c r="M383">
        <v>9.9928003710138249</v>
      </c>
      <c r="N383">
        <v>9.1714501126189401</v>
      </c>
      <c r="O383">
        <v>17147.763722653955</v>
      </c>
      <c r="P383">
        <v>11.180814996877208</v>
      </c>
      <c r="Q383">
        <v>10.476563405519581</v>
      </c>
      <c r="S383">
        <f t="shared" si="22"/>
        <v>908146.32354819449</v>
      </c>
      <c r="T383">
        <f t="shared" si="23"/>
        <v>1030508.5768293041</v>
      </c>
      <c r="V383">
        <f t="shared" si="20"/>
        <v>0</v>
      </c>
      <c r="W383">
        <f t="shared" si="21"/>
        <v>1</v>
      </c>
    </row>
    <row r="384" spans="1:23" x14ac:dyDescent="0.2">
      <c r="A384">
        <v>379</v>
      </c>
      <c r="B384">
        <v>254.6882716251755</v>
      </c>
      <c r="C384">
        <v>3321.5654557533826</v>
      </c>
      <c r="D384">
        <v>1105.4820221114694</v>
      </c>
      <c r="E384">
        <v>951.16466290641517</v>
      </c>
      <c r="F384">
        <v>0.95812750809318137</v>
      </c>
      <c r="G384">
        <v>0.76235285386817164</v>
      </c>
      <c r="H384">
        <v>8.5003237741048589E-3</v>
      </c>
      <c r="I384">
        <v>9.884482823100324E-2</v>
      </c>
      <c r="J384">
        <v>0.52609138057060323</v>
      </c>
      <c r="L384">
        <v>12300.135443837986</v>
      </c>
      <c r="M384">
        <v>11.15329264977059</v>
      </c>
      <c r="N384">
        <v>10.100387106966803</v>
      </c>
      <c r="O384">
        <v>20733.448554391565</v>
      </c>
      <c r="P384">
        <v>12.01643531372962</v>
      </c>
      <c r="Q384">
        <v>11.095227497763192</v>
      </c>
      <c r="S384">
        <f t="shared" si="22"/>
        <v>997738.57525284239</v>
      </c>
      <c r="T384">
        <f t="shared" si="23"/>
        <v>1088789.3012219276</v>
      </c>
      <c r="V384">
        <f t="shared" si="20"/>
        <v>0</v>
      </c>
      <c r="W384">
        <f t="shared" si="21"/>
        <v>1</v>
      </c>
    </row>
    <row r="385" spans="1:23" x14ac:dyDescent="0.2">
      <c r="A385">
        <v>380</v>
      </c>
      <c r="B385">
        <v>524.67238379118419</v>
      </c>
      <c r="C385">
        <v>2498.3079052796916</v>
      </c>
      <c r="D385">
        <v>892.23755622596968</v>
      </c>
      <c r="E385">
        <v>1121.7470203132664</v>
      </c>
      <c r="F385">
        <v>0.96609263459432293</v>
      </c>
      <c r="G385">
        <v>0.72860557727903341</v>
      </c>
      <c r="H385">
        <v>8.6712684202208297E-3</v>
      </c>
      <c r="I385">
        <v>0.11154370053151259</v>
      </c>
      <c r="J385">
        <v>0.38764659034015209</v>
      </c>
      <c r="L385">
        <v>11691.265282073964</v>
      </c>
      <c r="M385">
        <v>10.940436390641127</v>
      </c>
      <c r="N385">
        <v>9.8960704683170082</v>
      </c>
      <c r="O385">
        <v>19368.43938044662</v>
      </c>
      <c r="P385">
        <v>12.239699206628583</v>
      </c>
      <c r="Q385">
        <v>11.425915351093765</v>
      </c>
      <c r="S385">
        <f t="shared" si="22"/>
        <v>977915.78154962684</v>
      </c>
      <c r="T385">
        <f t="shared" si="23"/>
        <v>1123223.0957289299</v>
      </c>
      <c r="V385">
        <f t="shared" si="20"/>
        <v>0</v>
      </c>
      <c r="W385">
        <f t="shared" si="21"/>
        <v>1</v>
      </c>
    </row>
    <row r="386" spans="1:23" x14ac:dyDescent="0.2">
      <c r="A386">
        <v>381</v>
      </c>
      <c r="B386">
        <v>629.8327408282413</v>
      </c>
      <c r="C386">
        <v>2885.5709722029737</v>
      </c>
      <c r="D386">
        <v>1186.4003428711624</v>
      </c>
      <c r="E386">
        <v>925.99144345158084</v>
      </c>
      <c r="F386">
        <v>0.96533831823844618</v>
      </c>
      <c r="G386">
        <v>0.77774035524188168</v>
      </c>
      <c r="H386">
        <v>1.0975533896620752E-2</v>
      </c>
      <c r="I386">
        <v>0.11851178258341764</v>
      </c>
      <c r="J386">
        <v>0.55722432709378666</v>
      </c>
      <c r="L386">
        <v>13748.387516432309</v>
      </c>
      <c r="M386">
        <v>10.467938316198818</v>
      </c>
      <c r="N386">
        <v>9.5376369371820058</v>
      </c>
      <c r="O386">
        <v>23413.870458076137</v>
      </c>
      <c r="P386">
        <v>11.385946502882236</v>
      </c>
      <c r="Q386">
        <v>10.556242176364762</v>
      </c>
      <c r="S386">
        <f t="shared" si="22"/>
        <v>940015.30620176822</v>
      </c>
      <c r="T386">
        <f t="shared" si="23"/>
        <v>1032210.3471784001</v>
      </c>
      <c r="V386">
        <f t="shared" si="20"/>
        <v>0</v>
      </c>
      <c r="W386">
        <f t="shared" si="21"/>
        <v>1</v>
      </c>
    </row>
    <row r="387" spans="1:23" x14ac:dyDescent="0.2">
      <c r="A387">
        <v>382</v>
      </c>
      <c r="B387">
        <v>393.43015002912188</v>
      </c>
      <c r="C387">
        <v>2462.553149761326</v>
      </c>
      <c r="D387">
        <v>918.74728420674069</v>
      </c>
      <c r="E387">
        <v>715.98420934387195</v>
      </c>
      <c r="F387">
        <v>0.93368200336359297</v>
      </c>
      <c r="G387">
        <v>0.80691236562436197</v>
      </c>
      <c r="H387">
        <v>1.1508743781191431E-2</v>
      </c>
      <c r="I387">
        <v>0.25601425917702325</v>
      </c>
      <c r="J387">
        <v>0.49451803332359262</v>
      </c>
      <c r="L387">
        <v>7731.555270930101</v>
      </c>
      <c r="M387">
        <v>9.1450861599383639</v>
      </c>
      <c r="N387">
        <v>8.3059574299092418</v>
      </c>
      <c r="O387">
        <v>15729.622297382315</v>
      </c>
      <c r="P387">
        <v>10.612220875177711</v>
      </c>
      <c r="Q387">
        <v>9.7369165854655098</v>
      </c>
      <c r="S387">
        <f t="shared" si="22"/>
        <v>822864.18771999411</v>
      </c>
      <c r="T387">
        <f t="shared" si="23"/>
        <v>957962.03624916868</v>
      </c>
      <c r="V387">
        <f t="shared" si="20"/>
        <v>0</v>
      </c>
      <c r="W387">
        <f t="shared" si="21"/>
        <v>1</v>
      </c>
    </row>
    <row r="388" spans="1:23" x14ac:dyDescent="0.2">
      <c r="A388">
        <v>383</v>
      </c>
      <c r="B388">
        <v>444.14347375689709</v>
      </c>
      <c r="C388">
        <v>3360.657704035179</v>
      </c>
      <c r="D388">
        <v>872.55044131290367</v>
      </c>
      <c r="E388">
        <v>1066.3857244067337</v>
      </c>
      <c r="F388">
        <v>0.89206254644759564</v>
      </c>
      <c r="G388">
        <v>0.5693742616619395</v>
      </c>
      <c r="H388">
        <v>8.9999037270880808E-3</v>
      </c>
      <c r="I388">
        <v>0.14632438797058459</v>
      </c>
      <c r="J388">
        <v>0.53375618091621435</v>
      </c>
      <c r="L388">
        <v>12214.661203478583</v>
      </c>
      <c r="M388">
        <v>10.46352432516651</v>
      </c>
      <c r="N388">
        <v>8.5393727814078453</v>
      </c>
      <c r="O388">
        <v>19106.82632793723</v>
      </c>
      <c r="P388">
        <v>11.501697057068741</v>
      </c>
      <c r="Q388">
        <v>9.679011698560549</v>
      </c>
      <c r="S388">
        <f t="shared" si="22"/>
        <v>841722.61693730589</v>
      </c>
      <c r="T388">
        <f t="shared" si="23"/>
        <v>948794.34352811775</v>
      </c>
      <c r="V388">
        <f t="shared" si="20"/>
        <v>0</v>
      </c>
      <c r="W388">
        <f t="shared" si="21"/>
        <v>1</v>
      </c>
    </row>
    <row r="389" spans="1:23" x14ac:dyDescent="0.2">
      <c r="A389">
        <v>384</v>
      </c>
      <c r="B389">
        <v>423.59130637249024</v>
      </c>
      <c r="C389">
        <v>2997.7108591735182</v>
      </c>
      <c r="D389">
        <v>983.1824313928646</v>
      </c>
      <c r="E389">
        <v>1089.810981019971</v>
      </c>
      <c r="F389">
        <v>0.98500335250945659</v>
      </c>
      <c r="G389">
        <v>0.86517587347793257</v>
      </c>
      <c r="H389">
        <v>1.4254256229962931E-2</v>
      </c>
      <c r="I389">
        <v>0.17258966101577733</v>
      </c>
      <c r="J389">
        <v>0.52256593170564181</v>
      </c>
      <c r="L389">
        <v>11215.733992899168</v>
      </c>
      <c r="M389">
        <v>9.3417140644541661</v>
      </c>
      <c r="N389">
        <v>8.8867313574711613</v>
      </c>
      <c r="O389">
        <v>18489.051234644347</v>
      </c>
      <c r="P389">
        <v>10.565932816467956</v>
      </c>
      <c r="Q389">
        <v>10.163303381125962</v>
      </c>
      <c r="S389">
        <f t="shared" si="22"/>
        <v>877457.40175421699</v>
      </c>
      <c r="T389">
        <f t="shared" si="23"/>
        <v>997841.28687795182</v>
      </c>
      <c r="V389">
        <f t="shared" si="20"/>
        <v>0</v>
      </c>
      <c r="W389">
        <f t="shared" si="21"/>
        <v>1</v>
      </c>
    </row>
    <row r="390" spans="1:23" x14ac:dyDescent="0.2">
      <c r="A390">
        <v>385</v>
      </c>
      <c r="B390">
        <v>542.06181535171345</v>
      </c>
      <c r="C390">
        <v>3327.0323144966746</v>
      </c>
      <c r="D390">
        <v>911.45050503101129</v>
      </c>
      <c r="E390">
        <v>1549.7444249421678</v>
      </c>
      <c r="F390">
        <v>0.92704467718689854</v>
      </c>
      <c r="G390">
        <v>0.86900142776636591</v>
      </c>
      <c r="H390">
        <v>8.4954964710251234E-3</v>
      </c>
      <c r="I390">
        <v>0.13427551155761758</v>
      </c>
      <c r="J390">
        <v>0.50252761978575455</v>
      </c>
      <c r="L390">
        <v>13369.511170566841</v>
      </c>
      <c r="M390">
        <v>10.692555203787405</v>
      </c>
      <c r="N390">
        <v>9.7656068884752916</v>
      </c>
      <c r="O390">
        <v>20776.273242348045</v>
      </c>
      <c r="P390">
        <v>11.763157501113334</v>
      </c>
      <c r="Q390">
        <v>10.802405408308765</v>
      </c>
      <c r="S390">
        <f t="shared" si="22"/>
        <v>963191.17767696222</v>
      </c>
      <c r="T390">
        <f t="shared" si="23"/>
        <v>1059464.2675885283</v>
      </c>
      <c r="V390">
        <f t="shared" ref="V390:V453" si="24">IF(S390=MAX($S390:$T390),1,0)</f>
        <v>0</v>
      </c>
      <c r="W390">
        <f t="shared" ref="W390:W453" si="25">IF(T390=MAX($S390:$T390),1,0)</f>
        <v>1</v>
      </c>
    </row>
    <row r="391" spans="1:23" x14ac:dyDescent="0.2">
      <c r="A391">
        <v>386</v>
      </c>
      <c r="B391">
        <v>484.67680525705998</v>
      </c>
      <c r="C391">
        <v>3078.8971649111327</v>
      </c>
      <c r="D391">
        <v>996.33913537401918</v>
      </c>
      <c r="E391">
        <v>715.20791930166365</v>
      </c>
      <c r="F391">
        <v>0.9581620092288099</v>
      </c>
      <c r="G391">
        <v>0.73939393718533775</v>
      </c>
      <c r="H391">
        <v>1.1070149200808654E-2</v>
      </c>
      <c r="I391">
        <v>0.13207561914498261</v>
      </c>
      <c r="J391">
        <v>0.38773784565966057</v>
      </c>
      <c r="L391">
        <v>12640.219998532224</v>
      </c>
      <c r="M391">
        <v>10.269048999471662</v>
      </c>
      <c r="N391">
        <v>9.2158986574062194</v>
      </c>
      <c r="O391">
        <v>20463.577219169805</v>
      </c>
      <c r="P391">
        <v>11.772345885826066</v>
      </c>
      <c r="Q391">
        <v>10.888316460821695</v>
      </c>
      <c r="S391">
        <f t="shared" ref="S391:S454" si="26">$T$1*N391-L391</f>
        <v>908949.64574208972</v>
      </c>
      <c r="T391">
        <f t="shared" ref="T391:T454" si="27">$T$1*Q391-O391</f>
        <v>1068368.0688629998</v>
      </c>
      <c r="V391">
        <f t="shared" si="24"/>
        <v>0</v>
      </c>
      <c r="W391">
        <f t="shared" si="25"/>
        <v>1</v>
      </c>
    </row>
    <row r="392" spans="1:23" x14ac:dyDescent="0.2">
      <c r="A392">
        <v>387</v>
      </c>
      <c r="B392">
        <v>454.76309873923469</v>
      </c>
      <c r="C392">
        <v>2963.0916779139338</v>
      </c>
      <c r="D392">
        <v>1041.0983032605131</v>
      </c>
      <c r="E392">
        <v>1162.2827181067071</v>
      </c>
      <c r="F392">
        <v>0.92100167820866718</v>
      </c>
      <c r="G392">
        <v>0.78563480498998162</v>
      </c>
      <c r="H392">
        <v>9.4069037914234002E-3</v>
      </c>
      <c r="I392">
        <v>0.18384122617726739</v>
      </c>
      <c r="J392">
        <v>0.52352855717653879</v>
      </c>
      <c r="L392">
        <v>10450.678285235512</v>
      </c>
      <c r="M392">
        <v>10.038659213788735</v>
      </c>
      <c r="N392">
        <v>8.9529342490866188</v>
      </c>
      <c r="O392">
        <v>19440.340833534214</v>
      </c>
      <c r="P392">
        <v>11.218653025021668</v>
      </c>
      <c r="Q392">
        <v>10.118280253017934</v>
      </c>
      <c r="S392">
        <f t="shared" si="26"/>
        <v>884842.74662342633</v>
      </c>
      <c r="T392">
        <f t="shared" si="27"/>
        <v>992387.6844682591</v>
      </c>
      <c r="V392">
        <f t="shared" si="24"/>
        <v>0</v>
      </c>
      <c r="W392">
        <f t="shared" si="25"/>
        <v>1</v>
      </c>
    </row>
    <row r="393" spans="1:23" x14ac:dyDescent="0.2">
      <c r="A393">
        <v>388</v>
      </c>
      <c r="B393">
        <v>479.38521427858103</v>
      </c>
      <c r="C393">
        <v>2757.5002302717312</v>
      </c>
      <c r="D393">
        <v>1054.3021646534746</v>
      </c>
      <c r="E393">
        <v>1020.3376357790042</v>
      </c>
      <c r="F393">
        <v>0.91962770998539445</v>
      </c>
      <c r="G393">
        <v>0.91357049287406011</v>
      </c>
      <c r="H393">
        <v>1.1526911371868242E-2</v>
      </c>
      <c r="I393">
        <v>0.14740242648802085</v>
      </c>
      <c r="J393">
        <v>0.54199583007491769</v>
      </c>
      <c r="L393">
        <v>11370.341780681696</v>
      </c>
      <c r="M393">
        <v>10.011285808390513</v>
      </c>
      <c r="N393">
        <v>9.1902662169370899</v>
      </c>
      <c r="O393">
        <v>19829.307826596374</v>
      </c>
      <c r="P393">
        <v>11.076798420274351</v>
      </c>
      <c r="Q393">
        <v>10.174008454771807</v>
      </c>
      <c r="S393">
        <f t="shared" si="26"/>
        <v>907656.27991302719</v>
      </c>
      <c r="T393">
        <f t="shared" si="27"/>
        <v>997571.53765058424</v>
      </c>
      <c r="V393">
        <f t="shared" si="24"/>
        <v>0</v>
      </c>
      <c r="W393">
        <f t="shared" si="25"/>
        <v>1</v>
      </c>
    </row>
    <row r="394" spans="1:23" x14ac:dyDescent="0.2">
      <c r="A394">
        <v>389</v>
      </c>
      <c r="B394">
        <v>461.97434749815648</v>
      </c>
      <c r="C394">
        <v>2170.4904526751516</v>
      </c>
      <c r="D394">
        <v>982.29788315189171</v>
      </c>
      <c r="E394">
        <v>846.82208156675688</v>
      </c>
      <c r="F394">
        <v>0.91675985787598013</v>
      </c>
      <c r="G394">
        <v>0.67358267845363973</v>
      </c>
      <c r="H394">
        <v>1.1301478239748234E-2</v>
      </c>
      <c r="I394">
        <v>0.19746440526336584</v>
      </c>
      <c r="J394">
        <v>0.5654720380274646</v>
      </c>
      <c r="L394">
        <v>8564.2434334529025</v>
      </c>
      <c r="M394">
        <v>9.5697595024438247</v>
      </c>
      <c r="N394">
        <v>8.2360234228674027</v>
      </c>
      <c r="O394">
        <v>16966.048926033702</v>
      </c>
      <c r="P394">
        <v>10.677407187326827</v>
      </c>
      <c r="Q394">
        <v>9.3681060648863248</v>
      </c>
      <c r="S394">
        <f t="shared" si="26"/>
        <v>815038.0988532874</v>
      </c>
      <c r="T394">
        <f t="shared" si="27"/>
        <v>919844.55756259884</v>
      </c>
      <c r="V394">
        <f t="shared" si="24"/>
        <v>0</v>
      </c>
      <c r="W394">
        <f t="shared" si="25"/>
        <v>1</v>
      </c>
    </row>
    <row r="395" spans="1:23" x14ac:dyDescent="0.2">
      <c r="A395">
        <v>390</v>
      </c>
      <c r="B395">
        <v>517.6644107527768</v>
      </c>
      <c r="C395">
        <v>2918.6004069947812</v>
      </c>
      <c r="D395">
        <v>1085.6749216142284</v>
      </c>
      <c r="E395">
        <v>835.1321284098982</v>
      </c>
      <c r="F395">
        <v>0.94612378725885127</v>
      </c>
      <c r="G395">
        <v>0.59574994853948648</v>
      </c>
      <c r="H395">
        <v>1.0738326000004213E-2</v>
      </c>
      <c r="I395">
        <v>0.19191384612445828</v>
      </c>
      <c r="J395">
        <v>0.54907780423863206</v>
      </c>
      <c r="L395">
        <v>10692.410675472172</v>
      </c>
      <c r="M395">
        <v>9.715498007782216</v>
      </c>
      <c r="N395">
        <v>8.4173586068852586</v>
      </c>
      <c r="O395">
        <v>19907.129961474784</v>
      </c>
      <c r="P395">
        <v>10.8579945185091</v>
      </c>
      <c r="Q395">
        <v>9.6798238962335823</v>
      </c>
      <c r="S395">
        <f t="shared" si="26"/>
        <v>831043.4500130536</v>
      </c>
      <c r="T395">
        <f t="shared" si="27"/>
        <v>948075.25966188347</v>
      </c>
      <c r="V395">
        <f t="shared" si="24"/>
        <v>0</v>
      </c>
      <c r="W395">
        <f t="shared" si="25"/>
        <v>1</v>
      </c>
    </row>
    <row r="396" spans="1:23" x14ac:dyDescent="0.2">
      <c r="A396">
        <v>391</v>
      </c>
      <c r="B396">
        <v>391.36454566142606</v>
      </c>
      <c r="C396">
        <v>2927.9328245897887</v>
      </c>
      <c r="D396">
        <v>940.41653543663267</v>
      </c>
      <c r="E396">
        <v>1451.5165038463988</v>
      </c>
      <c r="F396">
        <v>0.97770780454285622</v>
      </c>
      <c r="G396">
        <v>0.67865231396274273</v>
      </c>
      <c r="H396">
        <v>7.565864078432117E-3</v>
      </c>
      <c r="I396">
        <v>0.13641708111953119</v>
      </c>
      <c r="J396">
        <v>0.40843811426130144</v>
      </c>
      <c r="L396">
        <v>10754.740262770592</v>
      </c>
      <c r="M396">
        <v>10.863178107064725</v>
      </c>
      <c r="N396">
        <v>9.9098112378191328</v>
      </c>
      <c r="O396">
        <v>18764.334010665891</v>
      </c>
      <c r="P396">
        <v>12.1711254117059</v>
      </c>
      <c r="Q396">
        <v>11.473920819323961</v>
      </c>
      <c r="S396">
        <f t="shared" si="26"/>
        <v>980226.38351914275</v>
      </c>
      <c r="T396">
        <f t="shared" si="27"/>
        <v>1128627.7479217302</v>
      </c>
      <c r="V396">
        <f t="shared" si="24"/>
        <v>0</v>
      </c>
      <c r="W396">
        <f t="shared" si="25"/>
        <v>1</v>
      </c>
    </row>
    <row r="397" spans="1:23" x14ac:dyDescent="0.2">
      <c r="A397">
        <v>392</v>
      </c>
      <c r="B397">
        <v>386.88369800692681</v>
      </c>
      <c r="C397">
        <v>2431.6645258538433</v>
      </c>
      <c r="D397">
        <v>877.69047660284946</v>
      </c>
      <c r="E397">
        <v>1058.7408261839173</v>
      </c>
      <c r="F397">
        <v>0.93860243725200809</v>
      </c>
      <c r="G397">
        <v>0.77802122842933952</v>
      </c>
      <c r="H397">
        <v>9.4222664447060397E-3</v>
      </c>
      <c r="I397">
        <v>0.19599676794277898</v>
      </c>
      <c r="J397">
        <v>0.66453596875999177</v>
      </c>
      <c r="L397">
        <v>8508.4071501372418</v>
      </c>
      <c r="M397">
        <v>9.9418217645319888</v>
      </c>
      <c r="N397">
        <v>8.999026670680788</v>
      </c>
      <c r="O397">
        <v>15926.386268383458</v>
      </c>
      <c r="P397">
        <v>10.724013917548191</v>
      </c>
      <c r="Q397">
        <v>9.7892967877297803</v>
      </c>
      <c r="S397">
        <f t="shared" si="26"/>
        <v>891394.25991794153</v>
      </c>
      <c r="T397">
        <f t="shared" si="27"/>
        <v>963003.29250459454</v>
      </c>
      <c r="V397">
        <f t="shared" si="24"/>
        <v>0</v>
      </c>
      <c r="W397">
        <f t="shared" si="25"/>
        <v>1</v>
      </c>
    </row>
    <row r="398" spans="1:23" x14ac:dyDescent="0.2">
      <c r="A398">
        <v>393</v>
      </c>
      <c r="B398">
        <v>441.12996401772455</v>
      </c>
      <c r="C398">
        <v>2854.9788747329781</v>
      </c>
      <c r="D398">
        <v>1021.3515249841824</v>
      </c>
      <c r="E398">
        <v>1105.8274101727879</v>
      </c>
      <c r="F398">
        <v>0.95235290800417061</v>
      </c>
      <c r="G398">
        <v>0.87336608516790482</v>
      </c>
      <c r="H398">
        <v>9.0569133829512104E-3</v>
      </c>
      <c r="I398">
        <v>0.14085861884861819</v>
      </c>
      <c r="J398">
        <v>0.4675077671812275</v>
      </c>
      <c r="L398">
        <v>11132.241740483621</v>
      </c>
      <c r="M398">
        <v>10.510779976056709</v>
      </c>
      <c r="N398">
        <v>9.8103043466119253</v>
      </c>
      <c r="O398">
        <v>19798.245046875716</v>
      </c>
      <c r="P398">
        <v>11.72672255081153</v>
      </c>
      <c r="Q398">
        <v>11.032880186542695</v>
      </c>
      <c r="S398">
        <f t="shared" si="26"/>
        <v>969898.19292070891</v>
      </c>
      <c r="T398">
        <f t="shared" si="27"/>
        <v>1083489.7736073937</v>
      </c>
      <c r="V398">
        <f t="shared" si="24"/>
        <v>0</v>
      </c>
      <c r="W398">
        <f t="shared" si="25"/>
        <v>1</v>
      </c>
    </row>
    <row r="399" spans="1:23" x14ac:dyDescent="0.2">
      <c r="A399">
        <v>394</v>
      </c>
      <c r="B399">
        <v>348.82459445000643</v>
      </c>
      <c r="C399">
        <v>2473.2156726707872</v>
      </c>
      <c r="D399">
        <v>923.30073477414533</v>
      </c>
      <c r="E399">
        <v>669.15328858469184</v>
      </c>
      <c r="F399">
        <v>0.9378525627236004</v>
      </c>
      <c r="G399">
        <v>0.78680230587980826</v>
      </c>
      <c r="H399">
        <v>1.1067658871787943E-2</v>
      </c>
      <c r="I399">
        <v>0.17512170604168409</v>
      </c>
      <c r="J399">
        <v>0.54501912242170869</v>
      </c>
      <c r="L399">
        <v>8757.4234524784024</v>
      </c>
      <c r="M399">
        <v>9.8011673965768384</v>
      </c>
      <c r="N399">
        <v>8.8323085507209846</v>
      </c>
      <c r="O399">
        <v>16298.264044625448</v>
      </c>
      <c r="P399">
        <v>10.924869411486219</v>
      </c>
      <c r="Q399">
        <v>9.9708674678824547</v>
      </c>
      <c r="S399">
        <f t="shared" si="26"/>
        <v>874473.43161962007</v>
      </c>
      <c r="T399">
        <f t="shared" si="27"/>
        <v>980788.48274362006</v>
      </c>
      <c r="V399">
        <f t="shared" si="24"/>
        <v>0</v>
      </c>
      <c r="W399">
        <f t="shared" si="25"/>
        <v>1</v>
      </c>
    </row>
    <row r="400" spans="1:23" x14ac:dyDescent="0.2">
      <c r="A400">
        <v>395</v>
      </c>
      <c r="B400">
        <v>685.61215698565695</v>
      </c>
      <c r="C400">
        <v>3813.7922961020931</v>
      </c>
      <c r="D400">
        <v>839.78502042880223</v>
      </c>
      <c r="E400">
        <v>829.25011343873553</v>
      </c>
      <c r="F400">
        <v>0.98661989298922825</v>
      </c>
      <c r="G400">
        <v>0.84147462404522078</v>
      </c>
      <c r="H400">
        <v>1.0937988869637556E-2</v>
      </c>
      <c r="I400">
        <v>0.14893162114942482</v>
      </c>
      <c r="J400">
        <v>0.43126343999846634</v>
      </c>
      <c r="L400">
        <v>15486.643605671112</v>
      </c>
      <c r="M400">
        <v>10.088230944609572</v>
      </c>
      <c r="N400">
        <v>9.5707090380757123</v>
      </c>
      <c r="O400">
        <v>21811.630946835539</v>
      </c>
      <c r="P400">
        <v>11.510391367066726</v>
      </c>
      <c r="Q400">
        <v>11.100397398841674</v>
      </c>
      <c r="S400">
        <f t="shared" si="26"/>
        <v>941584.26020190015</v>
      </c>
      <c r="T400">
        <f t="shared" si="27"/>
        <v>1088228.1089373319</v>
      </c>
      <c r="V400">
        <f t="shared" si="24"/>
        <v>0</v>
      </c>
      <c r="W400">
        <f t="shared" si="25"/>
        <v>1</v>
      </c>
    </row>
    <row r="401" spans="1:23" x14ac:dyDescent="0.2">
      <c r="A401">
        <v>396</v>
      </c>
      <c r="B401">
        <v>857.41603011538336</v>
      </c>
      <c r="C401">
        <v>2622.8452294301342</v>
      </c>
      <c r="D401">
        <v>949.54226648376118</v>
      </c>
      <c r="E401">
        <v>969.07183223465847</v>
      </c>
      <c r="F401">
        <v>0.90900599604929788</v>
      </c>
      <c r="G401">
        <v>0.74231535934096549</v>
      </c>
      <c r="H401">
        <v>9.8534900164119511E-3</v>
      </c>
      <c r="I401">
        <v>0.12276354311494438</v>
      </c>
      <c r="J401">
        <v>0.48075505512776773</v>
      </c>
      <c r="L401">
        <v>14427.518546706935</v>
      </c>
      <c r="M401">
        <v>10.585814347639205</v>
      </c>
      <c r="N401">
        <v>9.1492215050235171</v>
      </c>
      <c r="O401">
        <v>23010.172298136156</v>
      </c>
      <c r="P401">
        <v>11.711943200578034</v>
      </c>
      <c r="Q401">
        <v>10.31686219370774</v>
      </c>
      <c r="S401">
        <f t="shared" si="26"/>
        <v>900494.63195564481</v>
      </c>
      <c r="T401">
        <f t="shared" si="27"/>
        <v>1008676.0470726378</v>
      </c>
      <c r="V401">
        <f t="shared" si="24"/>
        <v>0</v>
      </c>
      <c r="W401">
        <f t="shared" si="25"/>
        <v>1</v>
      </c>
    </row>
    <row r="402" spans="1:23" x14ac:dyDescent="0.2">
      <c r="A402">
        <v>397</v>
      </c>
      <c r="B402">
        <v>578.74511679029592</v>
      </c>
      <c r="C402">
        <v>3212.8564410610984</v>
      </c>
      <c r="D402">
        <v>1027.0725802531485</v>
      </c>
      <c r="E402">
        <v>664.77690619768407</v>
      </c>
      <c r="F402">
        <v>0.94754011695331786</v>
      </c>
      <c r="G402">
        <v>0.74781564961619573</v>
      </c>
      <c r="H402">
        <v>9.9508751196123128E-3</v>
      </c>
      <c r="I402">
        <v>0.11963266076064302</v>
      </c>
      <c r="J402">
        <v>0.59911405004046914</v>
      </c>
      <c r="L402">
        <v>13992.713981424831</v>
      </c>
      <c r="M402">
        <v>10.611736581865722</v>
      </c>
      <c r="N402">
        <v>9.4771945359532381</v>
      </c>
      <c r="O402">
        <v>22164.839478703532</v>
      </c>
      <c r="P402">
        <v>11.411892311856267</v>
      </c>
      <c r="Q402">
        <v>10.358559028710022</v>
      </c>
      <c r="S402">
        <f t="shared" si="26"/>
        <v>933726.73961389903</v>
      </c>
      <c r="T402">
        <f t="shared" si="27"/>
        <v>1013691.0633922986</v>
      </c>
      <c r="V402">
        <f t="shared" si="24"/>
        <v>0</v>
      </c>
      <c r="W402">
        <f t="shared" si="25"/>
        <v>1</v>
      </c>
    </row>
    <row r="403" spans="1:23" x14ac:dyDescent="0.2">
      <c r="A403">
        <v>398</v>
      </c>
      <c r="B403">
        <v>375.54113891027401</v>
      </c>
      <c r="C403">
        <v>3457.7996032843421</v>
      </c>
      <c r="D403">
        <v>1002.5367276359294</v>
      </c>
      <c r="E403">
        <v>1427.1246707594382</v>
      </c>
      <c r="F403">
        <v>0.98378510921417095</v>
      </c>
      <c r="G403">
        <v>0.68015995558562581</v>
      </c>
      <c r="H403">
        <v>1.2375753589225838E-2</v>
      </c>
      <c r="I403">
        <v>0.15463443707752811</v>
      </c>
      <c r="J403">
        <v>0.36657716003326002</v>
      </c>
      <c r="L403">
        <v>12576.131112577075</v>
      </c>
      <c r="M403">
        <v>9.7999072766214859</v>
      </c>
      <c r="N403">
        <v>8.8232444853936034</v>
      </c>
      <c r="O403">
        <v>19766.332884732943</v>
      </c>
      <c r="P403">
        <v>11.530325449772803</v>
      </c>
      <c r="Q403">
        <v>10.831692691112595</v>
      </c>
      <c r="S403">
        <f t="shared" si="26"/>
        <v>869748.31742678327</v>
      </c>
      <c r="T403">
        <f t="shared" si="27"/>
        <v>1063402.9362265267</v>
      </c>
      <c r="V403">
        <f t="shared" si="24"/>
        <v>0</v>
      </c>
      <c r="W403">
        <f t="shared" si="25"/>
        <v>1</v>
      </c>
    </row>
    <row r="404" spans="1:23" x14ac:dyDescent="0.2">
      <c r="A404">
        <v>399</v>
      </c>
      <c r="B404">
        <v>370.47693541541219</v>
      </c>
      <c r="C404">
        <v>3143.6656099109086</v>
      </c>
      <c r="D404">
        <v>939.3479459621143</v>
      </c>
      <c r="E404">
        <v>943.30866347220001</v>
      </c>
      <c r="F404">
        <v>0.96837801505510901</v>
      </c>
      <c r="G404">
        <v>0.9185234179056172</v>
      </c>
      <c r="H404">
        <v>1.0397766555392759E-2</v>
      </c>
      <c r="I404">
        <v>0.12664624502415173</v>
      </c>
      <c r="J404">
        <v>0.58644695453177353</v>
      </c>
      <c r="L404">
        <v>12115.720044228678</v>
      </c>
      <c r="M404">
        <v>10.445612978956401</v>
      </c>
      <c r="N404">
        <v>9.9731854394018971</v>
      </c>
      <c r="O404">
        <v>19169.046539144634</v>
      </c>
      <c r="P404">
        <v>11.306640001494557</v>
      </c>
      <c r="Q404">
        <v>10.837837717909238</v>
      </c>
      <c r="S404">
        <f t="shared" si="26"/>
        <v>985202.82389596105</v>
      </c>
      <c r="T404">
        <f t="shared" si="27"/>
        <v>1064614.7252517792</v>
      </c>
      <c r="V404">
        <f t="shared" si="24"/>
        <v>0</v>
      </c>
      <c r="W404">
        <f t="shared" si="25"/>
        <v>1</v>
      </c>
    </row>
    <row r="405" spans="1:23" x14ac:dyDescent="0.2">
      <c r="A405">
        <v>400</v>
      </c>
      <c r="B405">
        <v>395.5272760066743</v>
      </c>
      <c r="C405">
        <v>2692.5612160639807</v>
      </c>
      <c r="D405">
        <v>949.42664584175589</v>
      </c>
      <c r="E405">
        <v>1211.3507773885526</v>
      </c>
      <c r="F405">
        <v>0.96140840056945354</v>
      </c>
      <c r="G405">
        <v>0.71271205712812868</v>
      </c>
      <c r="H405">
        <v>1.4534619332764729E-2</v>
      </c>
      <c r="I405">
        <v>0.16362816589434004</v>
      </c>
      <c r="J405">
        <v>0.50713869763055452</v>
      </c>
      <c r="L405">
        <v>10558.164934063308</v>
      </c>
      <c r="M405">
        <v>9.4012279317636782</v>
      </c>
      <c r="N405">
        <v>8.356717298124325</v>
      </c>
      <c r="O405">
        <v>17578.041118889429</v>
      </c>
      <c r="P405">
        <v>10.656646210881888</v>
      </c>
      <c r="Q405">
        <v>9.7232677430975798</v>
      </c>
      <c r="S405">
        <f t="shared" si="26"/>
        <v>825113.56487836922</v>
      </c>
      <c r="T405">
        <f t="shared" si="27"/>
        <v>954748.73319086852</v>
      </c>
      <c r="V405">
        <f t="shared" si="24"/>
        <v>0</v>
      </c>
      <c r="W405">
        <f t="shared" si="25"/>
        <v>1</v>
      </c>
    </row>
    <row r="406" spans="1:23" x14ac:dyDescent="0.2">
      <c r="A406">
        <v>401</v>
      </c>
      <c r="B406">
        <v>454.47810178264274</v>
      </c>
      <c r="C406">
        <v>3010.2382909644152</v>
      </c>
      <c r="D406">
        <v>960.02117893748937</v>
      </c>
      <c r="E406">
        <v>626.92262341907417</v>
      </c>
      <c r="F406">
        <v>0.95327268101318763</v>
      </c>
      <c r="G406">
        <v>0.71488430200947894</v>
      </c>
      <c r="H406">
        <v>9.3359261260197914E-3</v>
      </c>
      <c r="I406">
        <v>0.15673832449591607</v>
      </c>
      <c r="J406">
        <v>0.54271883864257919</v>
      </c>
      <c r="L406">
        <v>11035.042536578811</v>
      </c>
      <c r="M406">
        <v>10.293016373146177</v>
      </c>
      <c r="N406">
        <v>9.241047648427843</v>
      </c>
      <c r="O406">
        <v>19061.46800567022</v>
      </c>
      <c r="P406">
        <v>11.343859159432432</v>
      </c>
      <c r="Q406">
        <v>10.389422545548992</v>
      </c>
      <c r="S406">
        <f t="shared" si="26"/>
        <v>913069.72230620543</v>
      </c>
      <c r="T406">
        <f t="shared" si="27"/>
        <v>1019880.7865492291</v>
      </c>
      <c r="V406">
        <f t="shared" si="24"/>
        <v>0</v>
      </c>
      <c r="W406">
        <f t="shared" si="25"/>
        <v>1</v>
      </c>
    </row>
    <row r="407" spans="1:23" x14ac:dyDescent="0.2">
      <c r="A407">
        <v>402</v>
      </c>
      <c r="B407">
        <v>612.42273746214119</v>
      </c>
      <c r="C407">
        <v>2976.2560502576807</v>
      </c>
      <c r="D407">
        <v>1026.5943106403697</v>
      </c>
      <c r="E407">
        <v>1058.1921048697052</v>
      </c>
      <c r="F407">
        <v>0.95354712065528813</v>
      </c>
      <c r="G407">
        <v>0.74380431663492985</v>
      </c>
      <c r="H407">
        <v>1.0422502946453811E-2</v>
      </c>
      <c r="I407">
        <v>0.10882076977360389</v>
      </c>
      <c r="J407">
        <v>0.43688084059998955</v>
      </c>
      <c r="L407">
        <v>14248.997177130945</v>
      </c>
      <c r="M407">
        <v>10.694256455079906</v>
      </c>
      <c r="N407">
        <v>9.5460282300637598</v>
      </c>
      <c r="O407">
        <v>22482.571955945295</v>
      </c>
      <c r="P407">
        <v>11.893652021954583</v>
      </c>
      <c r="Q407">
        <v>10.909557462464093</v>
      </c>
      <c r="S407">
        <f t="shared" si="26"/>
        <v>940353.82582924503</v>
      </c>
      <c r="T407">
        <f t="shared" si="27"/>
        <v>1068473.174290464</v>
      </c>
      <c r="V407">
        <f t="shared" si="24"/>
        <v>0</v>
      </c>
      <c r="W407">
        <f t="shared" si="25"/>
        <v>1</v>
      </c>
    </row>
    <row r="408" spans="1:23" x14ac:dyDescent="0.2">
      <c r="A408">
        <v>403</v>
      </c>
      <c r="B408">
        <v>800.81113106225177</v>
      </c>
      <c r="C408">
        <v>2604.3467668772496</v>
      </c>
      <c r="D408">
        <v>1059.7280302280367</v>
      </c>
      <c r="E408">
        <v>771.05694640855643</v>
      </c>
      <c r="F408">
        <v>0.96122467096458997</v>
      </c>
      <c r="G408">
        <v>0.82363482614105887</v>
      </c>
      <c r="H408">
        <v>8.395051900648598E-3</v>
      </c>
      <c r="I408">
        <v>0.14568502531637223</v>
      </c>
      <c r="J408">
        <v>0.49937395146039609</v>
      </c>
      <c r="L408">
        <v>13072.690912353766</v>
      </c>
      <c r="M408">
        <v>10.591653297484177</v>
      </c>
      <c r="N408">
        <v>9.8512673686631249</v>
      </c>
      <c r="O408">
        <v>23209.141385066938</v>
      </c>
      <c r="P408">
        <v>11.707453855850254</v>
      </c>
      <c r="Q408">
        <v>11.024166372329461</v>
      </c>
      <c r="S408">
        <f t="shared" si="26"/>
        <v>972054.04595395864</v>
      </c>
      <c r="T408">
        <f t="shared" si="27"/>
        <v>1079207.495847879</v>
      </c>
      <c r="V408">
        <f t="shared" si="24"/>
        <v>0</v>
      </c>
      <c r="W408">
        <f t="shared" si="25"/>
        <v>1</v>
      </c>
    </row>
    <row r="409" spans="1:23" x14ac:dyDescent="0.2">
      <c r="A409">
        <v>404</v>
      </c>
      <c r="B409">
        <v>276.10454985454123</v>
      </c>
      <c r="C409">
        <v>3404.4291039900231</v>
      </c>
      <c r="D409">
        <v>1233.2982710462077</v>
      </c>
      <c r="E409">
        <v>1026.8139347025144</v>
      </c>
      <c r="F409">
        <v>0.9617226857093828</v>
      </c>
      <c r="G409">
        <v>0.85779208029540088</v>
      </c>
      <c r="H409">
        <v>1.0737325027355112E-2</v>
      </c>
      <c r="I409">
        <v>0.14170739387816272</v>
      </c>
      <c r="J409">
        <v>0.61711690402017305</v>
      </c>
      <c r="L409">
        <v>11653.804342976327</v>
      </c>
      <c r="M409">
        <v>10.203805231151676</v>
      </c>
      <c r="N409">
        <v>9.5327090742016196</v>
      </c>
      <c r="O409">
        <v>21099.587875726385</v>
      </c>
      <c r="P409">
        <v>11.030575149574712</v>
      </c>
      <c r="Q409">
        <v>10.381701914435343</v>
      </c>
      <c r="S409">
        <f t="shared" si="26"/>
        <v>941617.10307718569</v>
      </c>
      <c r="T409">
        <f t="shared" si="27"/>
        <v>1017070.6035678079</v>
      </c>
      <c r="V409">
        <f t="shared" si="24"/>
        <v>0</v>
      </c>
      <c r="W409">
        <f t="shared" si="25"/>
        <v>1</v>
      </c>
    </row>
    <row r="410" spans="1:23" x14ac:dyDescent="0.2">
      <c r="A410">
        <v>405</v>
      </c>
      <c r="B410">
        <v>529.8936895078275</v>
      </c>
      <c r="C410">
        <v>2859.1997852664244</v>
      </c>
      <c r="D410">
        <v>1015.6194491301802</v>
      </c>
      <c r="E410">
        <v>871.49692633308325</v>
      </c>
      <c r="F410">
        <v>0.95558235518775048</v>
      </c>
      <c r="G410">
        <v>0.62104186260885808</v>
      </c>
      <c r="H410">
        <v>9.9093216970538699E-3</v>
      </c>
      <c r="I410">
        <v>0.12374860976794275</v>
      </c>
      <c r="J410">
        <v>0.41572846421417847</v>
      </c>
      <c r="L410">
        <v>12502.726078887481</v>
      </c>
      <c r="M410">
        <v>10.563549521276867</v>
      </c>
      <c r="N410">
        <v>9.1464902446559897</v>
      </c>
      <c r="O410">
        <v>20953.711764567204</v>
      </c>
      <c r="P410">
        <v>11.893163692259138</v>
      </c>
      <c r="Q410">
        <v>10.759450631516252</v>
      </c>
      <c r="S410">
        <f t="shared" si="26"/>
        <v>902146.29838671151</v>
      </c>
      <c r="T410">
        <f t="shared" si="27"/>
        <v>1054991.3513870579</v>
      </c>
      <c r="V410">
        <f t="shared" si="24"/>
        <v>0</v>
      </c>
      <c r="W410">
        <f t="shared" si="25"/>
        <v>1</v>
      </c>
    </row>
    <row r="411" spans="1:23" x14ac:dyDescent="0.2">
      <c r="A411">
        <v>406</v>
      </c>
      <c r="B411">
        <v>406.25873816929197</v>
      </c>
      <c r="C411">
        <v>3147.8986207853491</v>
      </c>
      <c r="D411">
        <v>897.91940155594614</v>
      </c>
      <c r="E411">
        <v>642.31818412598579</v>
      </c>
      <c r="F411">
        <v>0.96233943729972737</v>
      </c>
      <c r="G411">
        <v>0.73826585135640688</v>
      </c>
      <c r="H411">
        <v>1.0484058485393624E-2</v>
      </c>
      <c r="I411">
        <v>0.16237154772164453</v>
      </c>
      <c r="J411">
        <v>0.43682419874818473</v>
      </c>
      <c r="L411">
        <v>11053.625217682222</v>
      </c>
      <c r="M411">
        <v>10.024730993236059</v>
      </c>
      <c r="N411">
        <v>9.0975482200286546</v>
      </c>
      <c r="O411">
        <v>18155.523213419936</v>
      </c>
      <c r="P411">
        <v>11.465434830051562</v>
      </c>
      <c r="Q411">
        <v>10.665261101405669</v>
      </c>
      <c r="S411">
        <f t="shared" si="26"/>
        <v>898701.19678518327</v>
      </c>
      <c r="T411">
        <f t="shared" si="27"/>
        <v>1048370.586927147</v>
      </c>
      <c r="V411">
        <f t="shared" si="24"/>
        <v>0</v>
      </c>
      <c r="W411">
        <f t="shared" si="25"/>
        <v>1</v>
      </c>
    </row>
    <row r="412" spans="1:23" x14ac:dyDescent="0.2">
      <c r="A412">
        <v>407</v>
      </c>
      <c r="B412">
        <v>371.30480239369786</v>
      </c>
      <c r="C412">
        <v>3069.421614757026</v>
      </c>
      <c r="D412">
        <v>924.23515852461037</v>
      </c>
      <c r="E412">
        <v>1134.3258939482484</v>
      </c>
      <c r="F412">
        <v>0.93809896766613932</v>
      </c>
      <c r="G412">
        <v>0.77213720970420274</v>
      </c>
      <c r="H412">
        <v>1.0692201788777432E-2</v>
      </c>
      <c r="I412">
        <v>0.1345547385444516</v>
      </c>
      <c r="J412">
        <v>0.51334057659672905</v>
      </c>
      <c r="L412">
        <v>11751.073113222945</v>
      </c>
      <c r="M412">
        <v>10.297397944925571</v>
      </c>
      <c r="N412">
        <v>9.1984576003641347</v>
      </c>
      <c r="O412">
        <v>18687.863998391422</v>
      </c>
      <c r="P412">
        <v>11.393473701366583</v>
      </c>
      <c r="Q412">
        <v>10.349895310727243</v>
      </c>
      <c r="S412">
        <f t="shared" si="26"/>
        <v>908094.68692319049</v>
      </c>
      <c r="T412">
        <f t="shared" si="27"/>
        <v>1016301.6670743328</v>
      </c>
      <c r="V412">
        <f t="shared" si="24"/>
        <v>0</v>
      </c>
      <c r="W412">
        <f t="shared" si="25"/>
        <v>1</v>
      </c>
    </row>
    <row r="413" spans="1:23" x14ac:dyDescent="0.2">
      <c r="A413">
        <v>408</v>
      </c>
      <c r="B413">
        <v>677.04135120566002</v>
      </c>
      <c r="C413">
        <v>1995.9790643007259</v>
      </c>
      <c r="D413">
        <v>823.94229189273176</v>
      </c>
      <c r="E413">
        <v>1006.9984894637591</v>
      </c>
      <c r="F413">
        <v>0.97652031633380265</v>
      </c>
      <c r="G413">
        <v>0.61793014225909693</v>
      </c>
      <c r="H413">
        <v>1.0863571373662661E-2</v>
      </c>
      <c r="I413">
        <v>0.12872348941609155</v>
      </c>
      <c r="J413">
        <v>0.56592314890625128</v>
      </c>
      <c r="L413">
        <v>11165.201853279706</v>
      </c>
      <c r="M413">
        <v>10.344649945704079</v>
      </c>
      <c r="N413">
        <v>9.0715987882075861</v>
      </c>
      <c r="O413">
        <v>18308.47475153374</v>
      </c>
      <c r="P413">
        <v>11.273520707926393</v>
      </c>
      <c r="Q413">
        <v>10.212494251024218</v>
      </c>
      <c r="S413">
        <f t="shared" si="26"/>
        <v>895994.67696747894</v>
      </c>
      <c r="T413">
        <f t="shared" si="27"/>
        <v>1002940.9503508881</v>
      </c>
      <c r="V413">
        <f t="shared" si="24"/>
        <v>0</v>
      </c>
      <c r="W413">
        <f t="shared" si="25"/>
        <v>1</v>
      </c>
    </row>
    <row r="414" spans="1:23" x14ac:dyDescent="0.2">
      <c r="A414">
        <v>409</v>
      </c>
      <c r="B414">
        <v>479.72189931945877</v>
      </c>
      <c r="C414">
        <v>2815.9100900303406</v>
      </c>
      <c r="D414">
        <v>1336.6495945243043</v>
      </c>
      <c r="E414">
        <v>1081.5027174994159</v>
      </c>
      <c r="F414">
        <v>0.90973945846672011</v>
      </c>
      <c r="G414">
        <v>0.59810052588897733</v>
      </c>
      <c r="H414">
        <v>8.064352290412552E-3</v>
      </c>
      <c r="I414">
        <v>0.12565508263023076</v>
      </c>
      <c r="J414">
        <v>0.49493419409181733</v>
      </c>
      <c r="L414">
        <v>11569.069691383847</v>
      </c>
      <c r="M414">
        <v>10.87682209901832</v>
      </c>
      <c r="N414">
        <v>9.0944190104975817</v>
      </c>
      <c r="O414">
        <v>23649.370478203993</v>
      </c>
      <c r="P414">
        <v>11.919918299852286</v>
      </c>
      <c r="Q414">
        <v>10.295534062647953</v>
      </c>
      <c r="S414">
        <f t="shared" si="26"/>
        <v>897872.83135837433</v>
      </c>
      <c r="T414">
        <f t="shared" si="27"/>
        <v>1005904.0357865912</v>
      </c>
      <c r="V414">
        <f t="shared" si="24"/>
        <v>0</v>
      </c>
      <c r="W414">
        <f t="shared" si="25"/>
        <v>1</v>
      </c>
    </row>
    <row r="415" spans="1:23" x14ac:dyDescent="0.2">
      <c r="A415">
        <v>410</v>
      </c>
      <c r="B415">
        <v>564.6612642789072</v>
      </c>
      <c r="C415">
        <v>3751.1937128013237</v>
      </c>
      <c r="D415">
        <v>945.50952943119364</v>
      </c>
      <c r="E415">
        <v>1497.4441193428456</v>
      </c>
      <c r="F415">
        <v>0.98118158636238029</v>
      </c>
      <c r="G415">
        <v>0.87825114519505409</v>
      </c>
      <c r="H415">
        <v>1.0940291871148934E-2</v>
      </c>
      <c r="I415">
        <v>0.21382829145124782</v>
      </c>
      <c r="J415">
        <v>0.48825302575054991</v>
      </c>
      <c r="L415">
        <v>12601.003980874921</v>
      </c>
      <c r="M415">
        <v>9.5135560106410164</v>
      </c>
      <c r="N415">
        <v>9.1223364329186172</v>
      </c>
      <c r="O415">
        <v>20307.983758815404</v>
      </c>
      <c r="P415">
        <v>10.917853417520764</v>
      </c>
      <c r="Q415">
        <v>10.558871863485496</v>
      </c>
      <c r="S415">
        <f t="shared" si="26"/>
        <v>899632.63931098685</v>
      </c>
      <c r="T415">
        <f t="shared" si="27"/>
        <v>1035579.2025897341</v>
      </c>
      <c r="V415">
        <f t="shared" si="24"/>
        <v>0</v>
      </c>
      <c r="W415">
        <f t="shared" si="25"/>
        <v>1</v>
      </c>
    </row>
    <row r="416" spans="1:23" x14ac:dyDescent="0.2">
      <c r="A416">
        <v>411</v>
      </c>
      <c r="B416">
        <v>676.2450136277663</v>
      </c>
      <c r="C416">
        <v>3269.1710397510788</v>
      </c>
      <c r="D416">
        <v>1033.3066189977887</v>
      </c>
      <c r="E416">
        <v>1306.1536495297714</v>
      </c>
      <c r="F416">
        <v>0.97908803569118752</v>
      </c>
      <c r="G416">
        <v>0.74858405758911328</v>
      </c>
      <c r="H416">
        <v>1.0060873540087624E-2</v>
      </c>
      <c r="I416">
        <v>0.1508428649354423</v>
      </c>
      <c r="J416">
        <v>0.44539666353435231</v>
      </c>
      <c r="L416">
        <v>13969.180268012557</v>
      </c>
      <c r="M416">
        <v>10.21787969521392</v>
      </c>
      <c r="N416">
        <v>9.4209612270399017</v>
      </c>
      <c r="O416">
        <v>22770.978495113453</v>
      </c>
      <c r="P416">
        <v>11.574522214824047</v>
      </c>
      <c r="Q416">
        <v>10.940955188883917</v>
      </c>
      <c r="S416">
        <f t="shared" si="26"/>
        <v>928126.94243597763</v>
      </c>
      <c r="T416">
        <f t="shared" si="27"/>
        <v>1071324.5403932782</v>
      </c>
      <c r="V416">
        <f t="shared" si="24"/>
        <v>0</v>
      </c>
      <c r="W416">
        <f t="shared" si="25"/>
        <v>1</v>
      </c>
    </row>
    <row r="417" spans="1:23" x14ac:dyDescent="0.2">
      <c r="A417">
        <v>412</v>
      </c>
      <c r="B417">
        <v>771.30058375724195</v>
      </c>
      <c r="C417">
        <v>2843.174518536031</v>
      </c>
      <c r="D417">
        <v>945.38464309327946</v>
      </c>
      <c r="E417">
        <v>943.43530544218015</v>
      </c>
      <c r="F417">
        <v>0.96030082822636564</v>
      </c>
      <c r="G417">
        <v>0.7003816157225039</v>
      </c>
      <c r="H417">
        <v>1.1063346703199771E-2</v>
      </c>
      <c r="I417">
        <v>0.17489610157212154</v>
      </c>
      <c r="J417">
        <v>0.47102628682389452</v>
      </c>
      <c r="L417">
        <v>12893.029331199119</v>
      </c>
      <c r="M417">
        <v>9.803987218486613</v>
      </c>
      <c r="N417">
        <v>8.7953047201551886</v>
      </c>
      <c r="O417">
        <v>21365.815569792983</v>
      </c>
      <c r="P417">
        <v>11.177263089279972</v>
      </c>
      <c r="Q417">
        <v>10.295207185152972</v>
      </c>
      <c r="S417">
        <f t="shared" si="26"/>
        <v>866637.44268431969</v>
      </c>
      <c r="T417">
        <f t="shared" si="27"/>
        <v>1008154.9029455042</v>
      </c>
      <c r="V417">
        <f t="shared" si="24"/>
        <v>0</v>
      </c>
      <c r="W417">
        <f t="shared" si="25"/>
        <v>1</v>
      </c>
    </row>
    <row r="418" spans="1:23" x14ac:dyDescent="0.2">
      <c r="A418">
        <v>413</v>
      </c>
      <c r="B418">
        <v>543.30200153461567</v>
      </c>
      <c r="C418">
        <v>2690.9519659458474</v>
      </c>
      <c r="D418">
        <v>970.88568118536989</v>
      </c>
      <c r="E418">
        <v>1114.0425153876936</v>
      </c>
      <c r="F418">
        <v>0.95239674334744062</v>
      </c>
      <c r="G418">
        <v>0.65101128486264326</v>
      </c>
      <c r="H418">
        <v>9.931256014465371E-3</v>
      </c>
      <c r="I418">
        <v>0.20169245032524574</v>
      </c>
      <c r="J418">
        <v>0.53432067124520022</v>
      </c>
      <c r="L418">
        <v>10236.803629624086</v>
      </c>
      <c r="M418">
        <v>9.7957315377818404</v>
      </c>
      <c r="N418">
        <v>8.7050453354347308</v>
      </c>
      <c r="O418">
        <v>18812.695038757596</v>
      </c>
      <c r="P418">
        <v>10.991554449510472</v>
      </c>
      <c r="Q418">
        <v>10.001784292731347</v>
      </c>
      <c r="S418">
        <f t="shared" si="26"/>
        <v>860267.72991384903</v>
      </c>
      <c r="T418">
        <f t="shared" si="27"/>
        <v>981365.73423437716</v>
      </c>
      <c r="V418">
        <f t="shared" si="24"/>
        <v>0</v>
      </c>
      <c r="W418">
        <f t="shared" si="25"/>
        <v>1</v>
      </c>
    </row>
    <row r="419" spans="1:23" x14ac:dyDescent="0.2">
      <c r="A419">
        <v>414</v>
      </c>
      <c r="B419">
        <v>654.42584496859536</v>
      </c>
      <c r="C419">
        <v>3068.5143170446413</v>
      </c>
      <c r="D419">
        <v>1036.3321530741941</v>
      </c>
      <c r="E419">
        <v>1231.8560872559365</v>
      </c>
      <c r="F419">
        <v>0.94557572648230492</v>
      </c>
      <c r="G419">
        <v>0.68226693916252235</v>
      </c>
      <c r="H419">
        <v>1.0539115294282652E-2</v>
      </c>
      <c r="I419">
        <v>0.17044949980532398</v>
      </c>
      <c r="J419">
        <v>0.38624687572665467</v>
      </c>
      <c r="L419">
        <v>12749.820591704931</v>
      </c>
      <c r="M419">
        <v>9.9374992987696924</v>
      </c>
      <c r="N419">
        <v>8.7698621068858422</v>
      </c>
      <c r="O419">
        <v>21971.207904076877</v>
      </c>
      <c r="P419">
        <v>11.598917557970415</v>
      </c>
      <c r="Q419">
        <v>10.576231257618467</v>
      </c>
      <c r="S419">
        <f t="shared" si="26"/>
        <v>864236.39009687933</v>
      </c>
      <c r="T419">
        <f t="shared" si="27"/>
        <v>1035651.9178577699</v>
      </c>
      <c r="V419">
        <f t="shared" si="24"/>
        <v>0</v>
      </c>
      <c r="W419">
        <f t="shared" si="25"/>
        <v>1</v>
      </c>
    </row>
    <row r="420" spans="1:23" x14ac:dyDescent="0.2">
      <c r="A420">
        <v>415</v>
      </c>
      <c r="B420">
        <v>523.65255814472596</v>
      </c>
      <c r="C420">
        <v>2333.8092119810144</v>
      </c>
      <c r="D420">
        <v>1038.6822496234308</v>
      </c>
      <c r="E420">
        <v>1648.9477007631158</v>
      </c>
      <c r="F420">
        <v>0.94144557427916453</v>
      </c>
      <c r="G420">
        <v>0.84341746815301</v>
      </c>
      <c r="H420">
        <v>9.438524755838484E-3</v>
      </c>
      <c r="I420">
        <v>0.15780843407658229</v>
      </c>
      <c r="J420">
        <v>0.53032782674308454</v>
      </c>
      <c r="L420">
        <v>10334.014852971268</v>
      </c>
      <c r="M420">
        <v>10.262713791764632</v>
      </c>
      <c r="N420">
        <v>9.4269442238424705</v>
      </c>
      <c r="O420">
        <v>19557.883496464692</v>
      </c>
      <c r="P420">
        <v>11.355728583606913</v>
      </c>
      <c r="Q420">
        <v>10.518208706661779</v>
      </c>
      <c r="S420">
        <f t="shared" si="26"/>
        <v>932360.40753127576</v>
      </c>
      <c r="T420">
        <f t="shared" si="27"/>
        <v>1032262.9871697132</v>
      </c>
      <c r="V420">
        <f t="shared" si="24"/>
        <v>0</v>
      </c>
      <c r="W420">
        <f t="shared" si="25"/>
        <v>1</v>
      </c>
    </row>
    <row r="421" spans="1:23" x14ac:dyDescent="0.2">
      <c r="A421">
        <v>416</v>
      </c>
      <c r="B421">
        <v>551.78824290423984</v>
      </c>
      <c r="C421">
        <v>2780.5031604193191</v>
      </c>
      <c r="D421">
        <v>1164.4068760897026</v>
      </c>
      <c r="E421">
        <v>1013.7714168508705</v>
      </c>
      <c r="F421">
        <v>0.95509681129674395</v>
      </c>
      <c r="G421">
        <v>0.78069995656987157</v>
      </c>
      <c r="H421">
        <v>1.1672772604511598E-2</v>
      </c>
      <c r="I421">
        <v>0.13772710016241482</v>
      </c>
      <c r="J421">
        <v>0.59554892728843634</v>
      </c>
      <c r="L421">
        <v>12290.99237219291</v>
      </c>
      <c r="M421">
        <v>10.105510816599779</v>
      </c>
      <c r="N421">
        <v>9.1572782061207256</v>
      </c>
      <c r="O421">
        <v>21594.726057959473</v>
      </c>
      <c r="P421">
        <v>10.989689456656777</v>
      </c>
      <c r="Q421">
        <v>10.100141031218618</v>
      </c>
      <c r="S421">
        <f t="shared" si="26"/>
        <v>903436.82823987969</v>
      </c>
      <c r="T421">
        <f t="shared" si="27"/>
        <v>988419.37706390233</v>
      </c>
      <c r="V421">
        <f t="shared" si="24"/>
        <v>0</v>
      </c>
      <c r="W421">
        <f t="shared" si="25"/>
        <v>1</v>
      </c>
    </row>
    <row r="422" spans="1:23" x14ac:dyDescent="0.2">
      <c r="A422">
        <v>417</v>
      </c>
      <c r="B422">
        <v>518.84916622234516</v>
      </c>
      <c r="C422">
        <v>3160.0787953679574</v>
      </c>
      <c r="D422">
        <v>956.29900212255529</v>
      </c>
      <c r="E422">
        <v>368.88980078557125</v>
      </c>
      <c r="F422">
        <v>0.95354403576589131</v>
      </c>
      <c r="G422">
        <v>0.75808223087406312</v>
      </c>
      <c r="H422">
        <v>1.138918719999189E-2</v>
      </c>
      <c r="I422">
        <v>0.14527744956855296</v>
      </c>
      <c r="J422">
        <v>0.52232261705978489</v>
      </c>
      <c r="L422">
        <v>12543.653016767479</v>
      </c>
      <c r="M422">
        <v>10.057494615323018</v>
      </c>
      <c r="N422">
        <v>9.0589402969383936</v>
      </c>
      <c r="O422">
        <v>20019.815953677073</v>
      </c>
      <c r="P422">
        <v>11.174767290061382</v>
      </c>
      <c r="Q422">
        <v>10.258150554746562</v>
      </c>
      <c r="S422">
        <f t="shared" si="26"/>
        <v>893350.37667707191</v>
      </c>
      <c r="T422">
        <f t="shared" si="27"/>
        <v>1005795.2395209791</v>
      </c>
      <c r="V422">
        <f t="shared" si="24"/>
        <v>0</v>
      </c>
      <c r="W422">
        <f t="shared" si="25"/>
        <v>1</v>
      </c>
    </row>
    <row r="423" spans="1:23" x14ac:dyDescent="0.2">
      <c r="A423">
        <v>418</v>
      </c>
      <c r="B423">
        <v>582.79498485952092</v>
      </c>
      <c r="C423">
        <v>3350.4031942516467</v>
      </c>
      <c r="D423">
        <v>993.76556983934961</v>
      </c>
      <c r="E423">
        <v>923.46634887321488</v>
      </c>
      <c r="F423">
        <v>0.97821658873518313</v>
      </c>
      <c r="G423">
        <v>0.59696331360710886</v>
      </c>
      <c r="H423">
        <v>1.0757101096737996E-2</v>
      </c>
      <c r="I423">
        <v>0.19016178393126915</v>
      </c>
      <c r="J423">
        <v>0.49967493808985458</v>
      </c>
      <c r="L423">
        <v>12222.185757067289</v>
      </c>
      <c r="M423">
        <v>9.7262480350025022</v>
      </c>
      <c r="N423">
        <v>8.6654252690641318</v>
      </c>
      <c r="O423">
        <v>20556.402967953629</v>
      </c>
      <c r="P423">
        <v>11.032491180084239</v>
      </c>
      <c r="Q423">
        <v>10.173576801030499</v>
      </c>
      <c r="S423">
        <f t="shared" si="26"/>
        <v>854320.34114934586</v>
      </c>
      <c r="T423">
        <f t="shared" si="27"/>
        <v>996801.27713509637</v>
      </c>
      <c r="V423">
        <f t="shared" si="24"/>
        <v>0</v>
      </c>
      <c r="W423">
        <f t="shared" si="25"/>
        <v>1</v>
      </c>
    </row>
    <row r="424" spans="1:23" x14ac:dyDescent="0.2">
      <c r="A424">
        <v>419</v>
      </c>
      <c r="B424">
        <v>728.70336471096823</v>
      </c>
      <c r="C424">
        <v>2325.4828849808018</v>
      </c>
      <c r="D424">
        <v>920.00934489442557</v>
      </c>
      <c r="E424">
        <v>1039.1989289085379</v>
      </c>
      <c r="F424">
        <v>0.93827682196631079</v>
      </c>
      <c r="G424">
        <v>0.81806116015598507</v>
      </c>
      <c r="H424">
        <v>1.1172450639374987E-2</v>
      </c>
      <c r="I424">
        <v>0.13216928329869504</v>
      </c>
      <c r="J424">
        <v>0.52769285380391073</v>
      </c>
      <c r="L424">
        <v>12428.559645502584</v>
      </c>
      <c r="M424">
        <v>10.252084185130837</v>
      </c>
      <c r="N424">
        <v>9.2755995380458831</v>
      </c>
      <c r="O424">
        <v>20381.344526213306</v>
      </c>
      <c r="P424">
        <v>11.305255639801148</v>
      </c>
      <c r="Q424">
        <v>10.350196589565687</v>
      </c>
      <c r="S424">
        <f t="shared" si="26"/>
        <v>915131.3941590857</v>
      </c>
      <c r="T424">
        <f t="shared" si="27"/>
        <v>1014638.3144303553</v>
      </c>
      <c r="V424">
        <f t="shared" si="24"/>
        <v>0</v>
      </c>
      <c r="W424">
        <f t="shared" si="25"/>
        <v>1</v>
      </c>
    </row>
    <row r="425" spans="1:23" x14ac:dyDescent="0.2">
      <c r="A425">
        <v>420</v>
      </c>
      <c r="B425">
        <v>574.48210892829366</v>
      </c>
      <c r="C425">
        <v>3066.3868202036565</v>
      </c>
      <c r="D425">
        <v>1009.8475682440157</v>
      </c>
      <c r="E425">
        <v>1330.6455371469181</v>
      </c>
      <c r="F425">
        <v>0.95094354057135499</v>
      </c>
      <c r="G425">
        <v>0.75272973315130842</v>
      </c>
      <c r="H425">
        <v>9.5267241087541085E-3</v>
      </c>
      <c r="I425">
        <v>0.17201735369684712</v>
      </c>
      <c r="J425">
        <v>0.50234545120164553</v>
      </c>
      <c r="L425">
        <v>11994.739944357265</v>
      </c>
      <c r="M425">
        <v>10.113950206974042</v>
      </c>
      <c r="N425">
        <v>9.1672497521715108</v>
      </c>
      <c r="O425">
        <v>20740.314584814627</v>
      </c>
      <c r="P425">
        <v>11.335549349425087</v>
      </c>
      <c r="Q425">
        <v>10.457280613284293</v>
      </c>
      <c r="S425">
        <f t="shared" si="26"/>
        <v>904730.2352727938</v>
      </c>
      <c r="T425">
        <f t="shared" si="27"/>
        <v>1024987.7467436148</v>
      </c>
      <c r="V425">
        <f t="shared" si="24"/>
        <v>0</v>
      </c>
      <c r="W425">
        <f t="shared" si="25"/>
        <v>1</v>
      </c>
    </row>
    <row r="426" spans="1:23" x14ac:dyDescent="0.2">
      <c r="A426">
        <v>421</v>
      </c>
      <c r="B426">
        <v>452.89013698272515</v>
      </c>
      <c r="C426">
        <v>2590.2509371916353</v>
      </c>
      <c r="D426">
        <v>1150.0797099658996</v>
      </c>
      <c r="E426">
        <v>1095.9314364949059</v>
      </c>
      <c r="F426">
        <v>0.93534453317371935</v>
      </c>
      <c r="G426">
        <v>0.8245819157412666</v>
      </c>
      <c r="H426">
        <v>9.654420023226442E-3</v>
      </c>
      <c r="I426">
        <v>0.1694515455593042</v>
      </c>
      <c r="J426">
        <v>0.47799302672085925</v>
      </c>
      <c r="L426">
        <v>9941.8178545729243</v>
      </c>
      <c r="M426">
        <v>10.111784890892041</v>
      </c>
      <c r="N426">
        <v>9.2023316489904872</v>
      </c>
      <c r="O426">
        <v>20174.506918881805</v>
      </c>
      <c r="P426">
        <v>11.409542170529127</v>
      </c>
      <c r="Q426">
        <v>10.493823134433912</v>
      </c>
      <c r="S426">
        <f t="shared" si="26"/>
        <v>910291.34704447584</v>
      </c>
      <c r="T426">
        <f t="shared" si="27"/>
        <v>1029207.8065245093</v>
      </c>
      <c r="V426">
        <f t="shared" si="24"/>
        <v>0</v>
      </c>
      <c r="W426">
        <f t="shared" si="25"/>
        <v>1</v>
      </c>
    </row>
    <row r="427" spans="1:23" x14ac:dyDescent="0.2">
      <c r="A427">
        <v>422</v>
      </c>
      <c r="B427">
        <v>626.00531917832268</v>
      </c>
      <c r="C427">
        <v>1788.086300311219</v>
      </c>
      <c r="D427">
        <v>1006.499294670782</v>
      </c>
      <c r="E427">
        <v>897.73250615397603</v>
      </c>
      <c r="F427">
        <v>0.97827142421381952</v>
      </c>
      <c r="G427">
        <v>0.75286237932396605</v>
      </c>
      <c r="H427">
        <v>1.009170752580201E-2</v>
      </c>
      <c r="I427">
        <v>0.15732631281950615</v>
      </c>
      <c r="J427">
        <v>0.39409250254152167</v>
      </c>
      <c r="L427">
        <v>9565.5052315361336</v>
      </c>
      <c r="M427">
        <v>10.145351745163493</v>
      </c>
      <c r="N427">
        <v>9.368966141294937</v>
      </c>
      <c r="O427">
        <v>19572.913899931387</v>
      </c>
      <c r="P427">
        <v>11.70934959104377</v>
      </c>
      <c r="Q427">
        <v>11.107605374539908</v>
      </c>
      <c r="S427">
        <f t="shared" si="26"/>
        <v>927331.1088979576</v>
      </c>
      <c r="T427">
        <f t="shared" si="27"/>
        <v>1091187.6235540595</v>
      </c>
      <c r="V427">
        <f t="shared" si="24"/>
        <v>0</v>
      </c>
      <c r="W427">
        <f t="shared" si="25"/>
        <v>1</v>
      </c>
    </row>
    <row r="428" spans="1:23" x14ac:dyDescent="0.2">
      <c r="A428">
        <v>423</v>
      </c>
      <c r="B428">
        <v>771.55583603540072</v>
      </c>
      <c r="C428">
        <v>2382.021230883166</v>
      </c>
      <c r="D428">
        <v>907.2591447251607</v>
      </c>
      <c r="E428">
        <v>1251.0207041070528</v>
      </c>
      <c r="F428">
        <v>0.92677084490830075</v>
      </c>
      <c r="G428">
        <v>0.5828487703315669</v>
      </c>
      <c r="H428">
        <v>1.092451138808225E-2</v>
      </c>
      <c r="I428">
        <v>0.1416209750897624</v>
      </c>
      <c r="J428">
        <v>0.47908048330571029</v>
      </c>
      <c r="L428">
        <v>12709.319364800242</v>
      </c>
      <c r="M428">
        <v>10.174367046145546</v>
      </c>
      <c r="N428">
        <v>8.4944434346243618</v>
      </c>
      <c r="O428">
        <v>20847.018295720962</v>
      </c>
      <c r="P428">
        <v>11.406975536046955</v>
      </c>
      <c r="Q428">
        <v>9.9087854618680566</v>
      </c>
      <c r="S428">
        <f t="shared" si="26"/>
        <v>836735.02409763599</v>
      </c>
      <c r="T428">
        <f t="shared" si="27"/>
        <v>970031.52789108478</v>
      </c>
      <c r="V428">
        <f t="shared" si="24"/>
        <v>0</v>
      </c>
      <c r="W428">
        <f t="shared" si="25"/>
        <v>1</v>
      </c>
    </row>
    <row r="429" spans="1:23" x14ac:dyDescent="0.2">
      <c r="A429">
        <v>424</v>
      </c>
      <c r="B429">
        <v>464.91423630381951</v>
      </c>
      <c r="C429">
        <v>3044.9682919240172</v>
      </c>
      <c r="D429">
        <v>1160.9437134109698</v>
      </c>
      <c r="E429">
        <v>670.93630198361632</v>
      </c>
      <c r="F429">
        <v>0.97848806554600642</v>
      </c>
      <c r="G429">
        <v>0.88267448578538099</v>
      </c>
      <c r="H429">
        <v>1.0057778722424481E-2</v>
      </c>
      <c r="I429">
        <v>0.10642032384108993</v>
      </c>
      <c r="J429">
        <v>0.44181436119622508</v>
      </c>
      <c r="L429">
        <v>13228.283869348194</v>
      </c>
      <c r="M429">
        <v>10.786227378773829</v>
      </c>
      <c r="N429">
        <v>10.257385806297586</v>
      </c>
      <c r="O429">
        <v>22482.967838596087</v>
      </c>
      <c r="P429">
        <v>11.948006431422398</v>
      </c>
      <c r="Q429">
        <v>11.494457293322077</v>
      </c>
      <c r="S429">
        <f t="shared" si="26"/>
        <v>1012510.2967604104</v>
      </c>
      <c r="T429">
        <f t="shared" si="27"/>
        <v>1126962.7614936116</v>
      </c>
      <c r="V429">
        <f t="shared" si="24"/>
        <v>0</v>
      </c>
      <c r="W429">
        <f t="shared" si="25"/>
        <v>1</v>
      </c>
    </row>
    <row r="430" spans="1:23" x14ac:dyDescent="0.2">
      <c r="A430">
        <v>425</v>
      </c>
      <c r="B430">
        <v>624.84994747825681</v>
      </c>
      <c r="C430">
        <v>4026.2565339639455</v>
      </c>
      <c r="D430">
        <v>912.07144998235208</v>
      </c>
      <c r="E430">
        <v>614.82545976941367</v>
      </c>
      <c r="F430">
        <v>0.98153126364405674</v>
      </c>
      <c r="G430">
        <v>0.70132138916903064</v>
      </c>
      <c r="H430">
        <v>1.0122555050533204E-2</v>
      </c>
      <c r="I430">
        <v>0.15901461194376132</v>
      </c>
      <c r="J430">
        <v>0.52735053925267783</v>
      </c>
      <c r="L430">
        <v>14906.733482613245</v>
      </c>
      <c r="M430">
        <v>10.122834993893218</v>
      </c>
      <c r="N430">
        <v>9.2486835865595953</v>
      </c>
      <c r="O430">
        <v>21978.327131378464</v>
      </c>
      <c r="P430">
        <v>11.243775886996687</v>
      </c>
      <c r="Q430">
        <v>10.527326683660119</v>
      </c>
      <c r="S430">
        <f t="shared" si="26"/>
        <v>909961.62517334626</v>
      </c>
      <c r="T430">
        <f t="shared" si="27"/>
        <v>1030754.3412346335</v>
      </c>
      <c r="V430">
        <f t="shared" si="24"/>
        <v>0</v>
      </c>
      <c r="W430">
        <f t="shared" si="25"/>
        <v>1</v>
      </c>
    </row>
    <row r="431" spans="1:23" x14ac:dyDescent="0.2">
      <c r="A431">
        <v>426</v>
      </c>
      <c r="B431">
        <v>559.71057348830243</v>
      </c>
      <c r="C431">
        <v>3035.1762421133535</v>
      </c>
      <c r="D431">
        <v>1060.1326929331779</v>
      </c>
      <c r="E431">
        <v>941.57311436044279</v>
      </c>
      <c r="F431">
        <v>0.9646360674928236</v>
      </c>
      <c r="G431">
        <v>0.80286127618984282</v>
      </c>
      <c r="H431">
        <v>8.7428369931627226E-3</v>
      </c>
      <c r="I431">
        <v>0.14867130266830261</v>
      </c>
      <c r="J431">
        <v>0.49788823865730619</v>
      </c>
      <c r="L431">
        <v>12171.172598691679</v>
      </c>
      <c r="M431">
        <v>10.490462761806386</v>
      </c>
      <c r="N431">
        <v>9.7298295023230796</v>
      </c>
      <c r="O431">
        <v>21462.276222741551</v>
      </c>
      <c r="P431">
        <v>11.632410342855421</v>
      </c>
      <c r="Q431">
        <v>10.948568121348227</v>
      </c>
      <c r="S431">
        <f t="shared" si="26"/>
        <v>960811.77763361635</v>
      </c>
      <c r="T431">
        <f t="shared" si="27"/>
        <v>1073394.5359120814</v>
      </c>
      <c r="V431">
        <f t="shared" si="24"/>
        <v>0</v>
      </c>
      <c r="W431">
        <f t="shared" si="25"/>
        <v>1</v>
      </c>
    </row>
    <row r="432" spans="1:23" x14ac:dyDescent="0.2">
      <c r="A432">
        <v>427</v>
      </c>
      <c r="B432">
        <v>572.05262175544556</v>
      </c>
      <c r="C432">
        <v>2938.8372351614912</v>
      </c>
      <c r="D432">
        <v>992.31095096784725</v>
      </c>
      <c r="E432">
        <v>888.69803209630788</v>
      </c>
      <c r="F432">
        <v>0.94311879125276621</v>
      </c>
      <c r="G432">
        <v>0.83909855785255949</v>
      </c>
      <c r="H432">
        <v>1.2948988862474576E-2</v>
      </c>
      <c r="I432">
        <v>0.1486221256620763</v>
      </c>
      <c r="J432">
        <v>0.50934280382907982</v>
      </c>
      <c r="L432">
        <v>12613.183027663832</v>
      </c>
      <c r="M432">
        <v>9.7872926688328583</v>
      </c>
      <c r="N432">
        <v>8.9385938750734137</v>
      </c>
      <c r="O432">
        <v>20355.478599063175</v>
      </c>
      <c r="P432">
        <v>10.97626634932921</v>
      </c>
      <c r="Q432">
        <v>10.132041366261971</v>
      </c>
      <c r="S432">
        <f t="shared" si="26"/>
        <v>881246.20447967749</v>
      </c>
      <c r="T432">
        <f t="shared" si="27"/>
        <v>992848.65802713402</v>
      </c>
      <c r="V432">
        <f t="shared" si="24"/>
        <v>0</v>
      </c>
      <c r="W432">
        <f t="shared" si="25"/>
        <v>1</v>
      </c>
    </row>
    <row r="433" spans="1:23" x14ac:dyDescent="0.2">
      <c r="A433">
        <v>428</v>
      </c>
      <c r="B433">
        <v>498.75554045239295</v>
      </c>
      <c r="C433">
        <v>1978.7200715200411</v>
      </c>
      <c r="D433">
        <v>1076.4509720219535</v>
      </c>
      <c r="E433">
        <v>955.83980028099029</v>
      </c>
      <c r="F433">
        <v>0.91703214697078161</v>
      </c>
      <c r="G433">
        <v>0.6753441083673194</v>
      </c>
      <c r="H433">
        <v>9.4518588370859982E-3</v>
      </c>
      <c r="I433">
        <v>9.7491710409887189E-2</v>
      </c>
      <c r="J433">
        <v>0.53665231234297328</v>
      </c>
      <c r="L433">
        <v>10463.372229802046</v>
      </c>
      <c r="M433">
        <v>11.020377949784326</v>
      </c>
      <c r="N433">
        <v>9.3429610426124778</v>
      </c>
      <c r="O433">
        <v>19855.46035180601</v>
      </c>
      <c r="P433">
        <v>11.87521680783907</v>
      </c>
      <c r="Q433">
        <v>10.330602995637793</v>
      </c>
      <c r="S433">
        <f t="shared" si="26"/>
        <v>923832.73203144572</v>
      </c>
      <c r="T433">
        <f t="shared" si="27"/>
        <v>1013204.8392119734</v>
      </c>
      <c r="V433">
        <f t="shared" si="24"/>
        <v>0</v>
      </c>
      <c r="W433">
        <f t="shared" si="25"/>
        <v>1</v>
      </c>
    </row>
    <row r="434" spans="1:23" x14ac:dyDescent="0.2">
      <c r="A434">
        <v>429</v>
      </c>
      <c r="B434">
        <v>424.41484403294214</v>
      </c>
      <c r="C434">
        <v>2682.695482070621</v>
      </c>
      <c r="D434">
        <v>1083.7752336060078</v>
      </c>
      <c r="E434">
        <v>862.89407012221432</v>
      </c>
      <c r="F434">
        <v>0.94978533098151119</v>
      </c>
      <c r="G434">
        <v>0.58860457014100587</v>
      </c>
      <c r="H434">
        <v>1.0341603701118108E-2</v>
      </c>
      <c r="I434">
        <v>0.14505315227648821</v>
      </c>
      <c r="J434">
        <v>0.46171880551424183</v>
      </c>
      <c r="L434">
        <v>10590.976004239099</v>
      </c>
      <c r="M434">
        <v>10.23181712580816</v>
      </c>
      <c r="N434">
        <v>8.7711585561010175</v>
      </c>
      <c r="O434">
        <v>19719.71776862325</v>
      </c>
      <c r="P434">
        <v>11.520199312206413</v>
      </c>
      <c r="Q434">
        <v>10.290018068955307</v>
      </c>
      <c r="S434">
        <f t="shared" si="26"/>
        <v>866524.87960586266</v>
      </c>
      <c r="T434">
        <f t="shared" si="27"/>
        <v>1009282.0891269074</v>
      </c>
      <c r="V434">
        <f t="shared" si="24"/>
        <v>0</v>
      </c>
      <c r="W434">
        <f t="shared" si="25"/>
        <v>1</v>
      </c>
    </row>
    <row r="435" spans="1:23" x14ac:dyDescent="0.2">
      <c r="A435">
        <v>430</v>
      </c>
      <c r="B435">
        <v>309.22893262046165</v>
      </c>
      <c r="C435">
        <v>2367.984874315121</v>
      </c>
      <c r="D435">
        <v>1061.3118497706623</v>
      </c>
      <c r="E435">
        <v>492.44543621775142</v>
      </c>
      <c r="F435">
        <v>0.95626018667750745</v>
      </c>
      <c r="G435">
        <v>0.76423434657891476</v>
      </c>
      <c r="H435">
        <v>9.4644117101609134E-3</v>
      </c>
      <c r="I435">
        <v>0.16263989714380889</v>
      </c>
      <c r="J435">
        <v>0.51475412690181621</v>
      </c>
      <c r="L435">
        <v>8188.4656712578208</v>
      </c>
      <c r="M435">
        <v>10.211459213466393</v>
      </c>
      <c r="N435">
        <v>9.3131475112516888</v>
      </c>
      <c r="O435">
        <v>17411.370068818258</v>
      </c>
      <c r="P435">
        <v>11.36618779932814</v>
      </c>
      <c r="Q435">
        <v>10.542279564308744</v>
      </c>
      <c r="S435">
        <f t="shared" si="26"/>
        <v>923126.28545391106</v>
      </c>
      <c r="T435">
        <f t="shared" si="27"/>
        <v>1036816.5863620563</v>
      </c>
      <c r="V435">
        <f t="shared" si="24"/>
        <v>0</v>
      </c>
      <c r="W435">
        <f t="shared" si="25"/>
        <v>1</v>
      </c>
    </row>
    <row r="436" spans="1:23" x14ac:dyDescent="0.2">
      <c r="A436">
        <v>431</v>
      </c>
      <c r="B436">
        <v>541.31502858923795</v>
      </c>
      <c r="C436">
        <v>2728.3070113692975</v>
      </c>
      <c r="D436">
        <v>985.86121889301296</v>
      </c>
      <c r="E436">
        <v>963.67435488544822</v>
      </c>
      <c r="F436">
        <v>0.99076613539844116</v>
      </c>
      <c r="G436">
        <v>0.65648027261715503</v>
      </c>
      <c r="H436">
        <v>8.631931969780321E-3</v>
      </c>
      <c r="I436">
        <v>0.1668976495572928</v>
      </c>
      <c r="J436">
        <v>0.40716180287803755</v>
      </c>
      <c r="L436">
        <v>10822.293062335231</v>
      </c>
      <c r="M436">
        <v>10.342541767594005</v>
      </c>
      <c r="N436">
        <v>9.5032818900603537</v>
      </c>
      <c r="O436">
        <v>19943.634813488221</v>
      </c>
      <c r="P436">
        <v>11.833485088386638</v>
      </c>
      <c r="Q436">
        <v>11.264790554324396</v>
      </c>
      <c r="S436">
        <f t="shared" si="26"/>
        <v>939505.8959437001</v>
      </c>
      <c r="T436">
        <f t="shared" si="27"/>
        <v>1106535.4206189513</v>
      </c>
      <c r="V436">
        <f t="shared" si="24"/>
        <v>0</v>
      </c>
      <c r="W436">
        <f t="shared" si="25"/>
        <v>1</v>
      </c>
    </row>
    <row r="437" spans="1:23" x14ac:dyDescent="0.2">
      <c r="A437">
        <v>432</v>
      </c>
      <c r="B437">
        <v>407.64899290586544</v>
      </c>
      <c r="C437">
        <v>2152.1270345055123</v>
      </c>
      <c r="D437">
        <v>952.29134082385428</v>
      </c>
      <c r="E437">
        <v>1370.4094878744993</v>
      </c>
      <c r="F437">
        <v>0.97585518493388279</v>
      </c>
      <c r="G437">
        <v>0.88500362206185501</v>
      </c>
      <c r="H437">
        <v>9.9851435520571762E-3</v>
      </c>
      <c r="I437">
        <v>0.1285552783816945</v>
      </c>
      <c r="J437">
        <v>0.42091912585791624</v>
      </c>
      <c r="L437">
        <v>9615.4428194451557</v>
      </c>
      <c r="M437">
        <v>10.488944827701456</v>
      </c>
      <c r="N437">
        <v>9.9831132497732593</v>
      </c>
      <c r="O437">
        <v>17823.137224926617</v>
      </c>
      <c r="P437">
        <v>11.828428872445494</v>
      </c>
      <c r="Q437">
        <v>11.379851406593403</v>
      </c>
      <c r="S437">
        <f t="shared" si="26"/>
        <v>988695.88215788081</v>
      </c>
      <c r="T437">
        <f t="shared" si="27"/>
        <v>1120162.0034344136</v>
      </c>
      <c r="V437">
        <f t="shared" si="24"/>
        <v>0</v>
      </c>
      <c r="W437">
        <f t="shared" si="25"/>
        <v>1</v>
      </c>
    </row>
    <row r="438" spans="1:23" x14ac:dyDescent="0.2">
      <c r="A438">
        <v>433</v>
      </c>
      <c r="B438">
        <v>461.3218670058414</v>
      </c>
      <c r="C438">
        <v>2811.4077790224119</v>
      </c>
      <c r="D438">
        <v>980.27739885700134</v>
      </c>
      <c r="E438">
        <v>998.00409157921865</v>
      </c>
      <c r="F438">
        <v>0.98424483388427819</v>
      </c>
      <c r="G438">
        <v>0.70750090514012287</v>
      </c>
      <c r="H438">
        <v>9.6669722094398329E-3</v>
      </c>
      <c r="I438">
        <v>0.15951061298776958</v>
      </c>
      <c r="J438">
        <v>0.50851618970919954</v>
      </c>
      <c r="L438">
        <v>10735.432573073518</v>
      </c>
      <c r="M438">
        <v>10.202462649499433</v>
      </c>
      <c r="N438">
        <v>9.3768137929342075</v>
      </c>
      <c r="O438">
        <v>19042.017443425615</v>
      </c>
      <c r="P438">
        <v>11.372780684439833</v>
      </c>
      <c r="Q438">
        <v>10.714498098781599</v>
      </c>
      <c r="S438">
        <f t="shared" si="26"/>
        <v>926945.94672034716</v>
      </c>
      <c r="T438">
        <f t="shared" si="27"/>
        <v>1052407.7924347341</v>
      </c>
      <c r="V438">
        <f t="shared" si="24"/>
        <v>0</v>
      </c>
      <c r="W438">
        <f t="shared" si="25"/>
        <v>1</v>
      </c>
    </row>
    <row r="439" spans="1:23" x14ac:dyDescent="0.2">
      <c r="A439">
        <v>434</v>
      </c>
      <c r="B439">
        <v>525.15079714257411</v>
      </c>
      <c r="C439">
        <v>2300.3943552514033</v>
      </c>
      <c r="D439">
        <v>964.65341447492426</v>
      </c>
      <c r="E439">
        <v>1058.3265061151571</v>
      </c>
      <c r="F439">
        <v>0.95238326814210605</v>
      </c>
      <c r="G439">
        <v>0.58525922659439678</v>
      </c>
      <c r="H439">
        <v>1.0768884899280042E-2</v>
      </c>
      <c r="I439">
        <v>0.15951388864510285</v>
      </c>
      <c r="J439">
        <v>0.48283675877952037</v>
      </c>
      <c r="L439">
        <v>10127.874662283804</v>
      </c>
      <c r="M439">
        <v>10.003756996089848</v>
      </c>
      <c r="N439">
        <v>8.6069114723122109</v>
      </c>
      <c r="O439">
        <v>18558.762877019923</v>
      </c>
      <c r="P439">
        <v>11.282880108895091</v>
      </c>
      <c r="Q439">
        <v>10.089845974632688</v>
      </c>
      <c r="S439">
        <f t="shared" si="26"/>
        <v>850563.27256893727</v>
      </c>
      <c r="T439">
        <f t="shared" si="27"/>
        <v>990425.83458624885</v>
      </c>
      <c r="V439">
        <f t="shared" si="24"/>
        <v>0</v>
      </c>
      <c r="W439">
        <f t="shared" si="25"/>
        <v>1</v>
      </c>
    </row>
    <row r="440" spans="1:23" x14ac:dyDescent="0.2">
      <c r="A440">
        <v>435</v>
      </c>
      <c r="B440">
        <v>804.248627245585</v>
      </c>
      <c r="C440">
        <v>2536.2826009128121</v>
      </c>
      <c r="D440">
        <v>974.54031270405267</v>
      </c>
      <c r="E440">
        <v>1481.7879693489747</v>
      </c>
      <c r="F440">
        <v>0.95216110816973809</v>
      </c>
      <c r="G440">
        <v>0.78840483587893684</v>
      </c>
      <c r="H440">
        <v>1.0845369264850777E-2</v>
      </c>
      <c r="I440">
        <v>0.14781467157891784</v>
      </c>
      <c r="J440">
        <v>0.49521052638075819</v>
      </c>
      <c r="L440">
        <v>13285.509994418524</v>
      </c>
      <c r="M440">
        <v>10.115997491633278</v>
      </c>
      <c r="N440">
        <v>9.1998331333977017</v>
      </c>
      <c r="O440">
        <v>21992.365603695012</v>
      </c>
      <c r="P440">
        <v>11.317584957812606</v>
      </c>
      <c r="Q440">
        <v>10.464125851120208</v>
      </c>
      <c r="S440">
        <f t="shared" si="26"/>
        <v>906697.80334535171</v>
      </c>
      <c r="T440">
        <f t="shared" si="27"/>
        <v>1024420.2195083258</v>
      </c>
      <c r="V440">
        <f t="shared" si="24"/>
        <v>0</v>
      </c>
      <c r="W440">
        <f t="shared" si="25"/>
        <v>1</v>
      </c>
    </row>
    <row r="441" spans="1:23" x14ac:dyDescent="0.2">
      <c r="A441">
        <v>436</v>
      </c>
      <c r="B441">
        <v>654.98042648051728</v>
      </c>
      <c r="C441">
        <v>2619.3798388033892</v>
      </c>
      <c r="D441">
        <v>1155.1406935097239</v>
      </c>
      <c r="E441">
        <v>1188.9167604902054</v>
      </c>
      <c r="F441">
        <v>0.96151894972230434</v>
      </c>
      <c r="G441">
        <v>0.71340491922255878</v>
      </c>
      <c r="H441">
        <v>9.7794660996606414E-3</v>
      </c>
      <c r="I441">
        <v>0.12341384324644453</v>
      </c>
      <c r="J441">
        <v>0.47719775299753076</v>
      </c>
      <c r="L441">
        <v>12894.32247222886</v>
      </c>
      <c r="M441">
        <v>10.589665347741573</v>
      </c>
      <c r="N441">
        <v>9.4819044080726869</v>
      </c>
      <c r="O441">
        <v>23094.462558115061</v>
      </c>
      <c r="P441">
        <v>11.727031535673307</v>
      </c>
      <c r="Q441">
        <v>10.791177786487239</v>
      </c>
      <c r="S441">
        <f t="shared" si="26"/>
        <v>935296.11833503982</v>
      </c>
      <c r="T441">
        <f t="shared" si="27"/>
        <v>1056023.3160906087</v>
      </c>
      <c r="V441">
        <f t="shared" si="24"/>
        <v>0</v>
      </c>
      <c r="W441">
        <f t="shared" si="25"/>
        <v>1</v>
      </c>
    </row>
    <row r="442" spans="1:23" x14ac:dyDescent="0.2">
      <c r="A442">
        <v>437</v>
      </c>
      <c r="B442">
        <v>470.73823047872736</v>
      </c>
      <c r="C442">
        <v>2611.077056721826</v>
      </c>
      <c r="D442">
        <v>1060.3251280075467</v>
      </c>
      <c r="E442">
        <v>1085.859779692734</v>
      </c>
      <c r="F442">
        <v>0.96543524372700351</v>
      </c>
      <c r="G442">
        <v>0.71500284122056468</v>
      </c>
      <c r="H442">
        <v>1.2014254066167745E-2</v>
      </c>
      <c r="I442">
        <v>0.16685253585134474</v>
      </c>
      <c r="J442">
        <v>0.46745077194850787</v>
      </c>
      <c r="L442">
        <v>10463.799253065261</v>
      </c>
      <c r="M442">
        <v>9.7248668277806036</v>
      </c>
      <c r="N442">
        <v>8.7537874227479868</v>
      </c>
      <c r="O442">
        <v>19284.59319527962</v>
      </c>
      <c r="P442">
        <v>11.104526363471944</v>
      </c>
      <c r="Q442">
        <v>10.267398220795693</v>
      </c>
      <c r="S442">
        <f t="shared" si="26"/>
        <v>864914.94302173343</v>
      </c>
      <c r="T442">
        <f t="shared" si="27"/>
        <v>1007455.2288842897</v>
      </c>
      <c r="V442">
        <f t="shared" si="24"/>
        <v>0</v>
      </c>
      <c r="W442">
        <f t="shared" si="25"/>
        <v>1</v>
      </c>
    </row>
    <row r="443" spans="1:23" x14ac:dyDescent="0.2">
      <c r="A443">
        <v>438</v>
      </c>
      <c r="B443">
        <v>408.215712594352</v>
      </c>
      <c r="C443">
        <v>2897.5071100044579</v>
      </c>
      <c r="D443">
        <v>1079.1048463388961</v>
      </c>
      <c r="E443">
        <v>2084.9680547246685</v>
      </c>
      <c r="F443">
        <v>0.94873998886083433</v>
      </c>
      <c r="G443">
        <v>0.71125869375624062</v>
      </c>
      <c r="H443">
        <v>1.0560640652743123E-2</v>
      </c>
      <c r="I443">
        <v>0.17767840005670155</v>
      </c>
      <c r="J443">
        <v>0.49362508085811474</v>
      </c>
      <c r="L443">
        <v>10653.570267085614</v>
      </c>
      <c r="M443">
        <v>9.8680427957974466</v>
      </c>
      <c r="N443">
        <v>8.8120248878127629</v>
      </c>
      <c r="O443">
        <v>19570.231625646789</v>
      </c>
      <c r="P443">
        <v>11.159369301909683</v>
      </c>
      <c r="Q443">
        <v>10.190879129846298</v>
      </c>
      <c r="S443">
        <f t="shared" si="26"/>
        <v>870548.91851419071</v>
      </c>
      <c r="T443">
        <f t="shared" si="27"/>
        <v>999517.68135898293</v>
      </c>
      <c r="V443">
        <f t="shared" si="24"/>
        <v>0</v>
      </c>
      <c r="W443">
        <f t="shared" si="25"/>
        <v>1</v>
      </c>
    </row>
    <row r="444" spans="1:23" x14ac:dyDescent="0.2">
      <c r="A444">
        <v>439</v>
      </c>
      <c r="B444">
        <v>422.80851249392015</v>
      </c>
      <c r="C444">
        <v>3524.2478373593854</v>
      </c>
      <c r="D444">
        <v>998.2299494291766</v>
      </c>
      <c r="E444">
        <v>1131.5532547999617</v>
      </c>
      <c r="F444">
        <v>0.95497572524246477</v>
      </c>
      <c r="G444">
        <v>0.81700845404727829</v>
      </c>
      <c r="H444">
        <v>1.1679700141624566E-2</v>
      </c>
      <c r="I444">
        <v>0.14055779433327417</v>
      </c>
      <c r="J444">
        <v>0.50360204236638018</v>
      </c>
      <c r="L444">
        <v>13389.236401544005</v>
      </c>
      <c r="M444">
        <v>10.069331569580863</v>
      </c>
      <c r="N444">
        <v>9.2295542977603766</v>
      </c>
      <c r="O444">
        <v>20627.51512887665</v>
      </c>
      <c r="P444">
        <v>11.233342075389059</v>
      </c>
      <c r="Q444">
        <v>10.443097071858698</v>
      </c>
      <c r="S444">
        <f t="shared" si="26"/>
        <v>909566.19337449374</v>
      </c>
      <c r="T444">
        <f t="shared" si="27"/>
        <v>1023682.1920569931</v>
      </c>
      <c r="V444">
        <f t="shared" si="24"/>
        <v>0</v>
      </c>
      <c r="W444">
        <f t="shared" si="25"/>
        <v>1</v>
      </c>
    </row>
    <row r="445" spans="1:23" x14ac:dyDescent="0.2">
      <c r="A445">
        <v>440</v>
      </c>
      <c r="B445">
        <v>660.30432408906131</v>
      </c>
      <c r="C445">
        <v>2943.2613437996433</v>
      </c>
      <c r="D445">
        <v>855.90621823554102</v>
      </c>
      <c r="E445">
        <v>844.51258745740415</v>
      </c>
      <c r="F445">
        <v>0.95112570413546271</v>
      </c>
      <c r="G445">
        <v>0.88684123118675207</v>
      </c>
      <c r="H445">
        <v>9.4606202342556577E-3</v>
      </c>
      <c r="I445">
        <v>0.16860408497790502</v>
      </c>
      <c r="J445">
        <v>0.55084164739670294</v>
      </c>
      <c r="L445">
        <v>12277.683047079865</v>
      </c>
      <c r="M445">
        <v>10.157364492900031</v>
      </c>
      <c r="N445">
        <v>9.5132766224025378</v>
      </c>
      <c r="O445">
        <v>19718.337179058955</v>
      </c>
      <c r="P445">
        <v>11.217582743636415</v>
      </c>
      <c r="Q445">
        <v>10.558324342917354</v>
      </c>
      <c r="S445">
        <f t="shared" si="26"/>
        <v>939049.97919317393</v>
      </c>
      <c r="T445">
        <f t="shared" si="27"/>
        <v>1036114.0971126764</v>
      </c>
      <c r="V445">
        <f t="shared" si="24"/>
        <v>0</v>
      </c>
      <c r="W445">
        <f t="shared" si="25"/>
        <v>1</v>
      </c>
    </row>
    <row r="446" spans="1:23" x14ac:dyDescent="0.2">
      <c r="A446">
        <v>441</v>
      </c>
      <c r="B446">
        <v>325.40868971155072</v>
      </c>
      <c r="C446">
        <v>2540.5881389238698</v>
      </c>
      <c r="D446">
        <v>1064.3458942240236</v>
      </c>
      <c r="E446">
        <v>739.14273381846544</v>
      </c>
      <c r="F446">
        <v>0.91709944776783003</v>
      </c>
      <c r="G446">
        <v>0.60743760063418895</v>
      </c>
      <c r="H446">
        <v>1.0194813595664209E-2</v>
      </c>
      <c r="I446">
        <v>0.13029580428745388</v>
      </c>
      <c r="J446">
        <v>0.43491818752903783</v>
      </c>
      <c r="L446">
        <v>9824.1650795560199</v>
      </c>
      <c r="M446">
        <v>10.431956767051288</v>
      </c>
      <c r="N446">
        <v>8.7058018771452748</v>
      </c>
      <c r="O446">
        <v>18610.314941890258</v>
      </c>
      <c r="P446">
        <v>11.741067681970794</v>
      </c>
      <c r="Q446">
        <v>10.198352787358987</v>
      </c>
      <c r="S446">
        <f t="shared" si="26"/>
        <v>860756.02263497142</v>
      </c>
      <c r="T446">
        <f t="shared" si="27"/>
        <v>1001224.9637940084</v>
      </c>
      <c r="V446">
        <f t="shared" si="24"/>
        <v>0</v>
      </c>
      <c r="W446">
        <f t="shared" si="25"/>
        <v>1</v>
      </c>
    </row>
    <row r="447" spans="1:23" x14ac:dyDescent="0.2">
      <c r="A447">
        <v>442</v>
      </c>
      <c r="B447">
        <v>519.35273351001592</v>
      </c>
      <c r="C447">
        <v>3520.0777748413493</v>
      </c>
      <c r="D447">
        <v>915.77624510272699</v>
      </c>
      <c r="E447">
        <v>803.67489500249167</v>
      </c>
      <c r="F447">
        <v>0.96424130053796131</v>
      </c>
      <c r="G447">
        <v>0.72971192848085153</v>
      </c>
      <c r="H447">
        <v>1.2986261000515576E-2</v>
      </c>
      <c r="I447">
        <v>0.14879422893034344</v>
      </c>
      <c r="J447">
        <v>0.5716716095119011</v>
      </c>
      <c r="L447">
        <v>13840.350195169493</v>
      </c>
      <c r="M447">
        <v>9.7800352819959535</v>
      </c>
      <c r="N447">
        <v>8.7718126281164661</v>
      </c>
      <c r="O447">
        <v>20392.512190909794</v>
      </c>
      <c r="P447">
        <v>10.773983307091848</v>
      </c>
      <c r="Q447">
        <v>9.8641922896722676</v>
      </c>
      <c r="S447">
        <f t="shared" si="26"/>
        <v>863340.91261647712</v>
      </c>
      <c r="T447">
        <f t="shared" si="27"/>
        <v>966026.71677631699</v>
      </c>
      <c r="V447">
        <f t="shared" si="24"/>
        <v>0</v>
      </c>
      <c r="W447">
        <f t="shared" si="25"/>
        <v>1</v>
      </c>
    </row>
    <row r="448" spans="1:23" x14ac:dyDescent="0.2">
      <c r="A448">
        <v>443</v>
      </c>
      <c r="B448">
        <v>529.17982890356336</v>
      </c>
      <c r="C448">
        <v>1649.2458213086043</v>
      </c>
      <c r="D448">
        <v>931.5750947308162</v>
      </c>
      <c r="E448">
        <v>842.36454068874173</v>
      </c>
      <c r="F448">
        <v>0.96031207949602737</v>
      </c>
      <c r="G448">
        <v>0.68914992989139789</v>
      </c>
      <c r="H448">
        <v>1.1223571143178408E-2</v>
      </c>
      <c r="I448">
        <v>0.14170768541288259</v>
      </c>
      <c r="J448">
        <v>0.49633217300993199</v>
      </c>
      <c r="L448">
        <v>8761.0441673302812</v>
      </c>
      <c r="M448">
        <v>10.125687464754632</v>
      </c>
      <c r="N448">
        <v>8.9793739741442398</v>
      </c>
      <c r="O448">
        <v>17133.878573251259</v>
      </c>
      <c r="P448">
        <v>11.309347462255372</v>
      </c>
      <c r="Q448">
        <v>10.319964290198399</v>
      </c>
      <c r="S448">
        <f t="shared" si="26"/>
        <v>889176.35324709374</v>
      </c>
      <c r="T448">
        <f t="shared" si="27"/>
        <v>1014862.5504465887</v>
      </c>
      <c r="V448">
        <f t="shared" si="24"/>
        <v>0</v>
      </c>
      <c r="W448">
        <f t="shared" si="25"/>
        <v>1</v>
      </c>
    </row>
    <row r="449" spans="1:23" x14ac:dyDescent="0.2">
      <c r="A449">
        <v>444</v>
      </c>
      <c r="B449">
        <v>318.86533187662695</v>
      </c>
      <c r="C449">
        <v>3151.9515250084123</v>
      </c>
      <c r="D449">
        <v>1085.5063525963178</v>
      </c>
      <c r="E449">
        <v>868.13238738656446</v>
      </c>
      <c r="F449">
        <v>0.95911181846195359</v>
      </c>
      <c r="G449">
        <v>0.80129823861153238</v>
      </c>
      <c r="H449">
        <v>1.0361261022511319E-2</v>
      </c>
      <c r="I449">
        <v>0.15295115215816113</v>
      </c>
      <c r="J449">
        <v>0.48165907636764022</v>
      </c>
      <c r="L449">
        <v>10760.240176516054</v>
      </c>
      <c r="M449">
        <v>10.142469818269818</v>
      </c>
      <c r="N449">
        <v>9.3272964511567427</v>
      </c>
      <c r="O449">
        <v>19371.812901664809</v>
      </c>
      <c r="P449">
        <v>11.394687708124156</v>
      </c>
      <c r="Q449">
        <v>10.64599215032125</v>
      </c>
      <c r="S449">
        <f t="shared" si="26"/>
        <v>921969.40493915824</v>
      </c>
      <c r="T449">
        <f t="shared" si="27"/>
        <v>1045227.4021304604</v>
      </c>
      <c r="V449">
        <f t="shared" si="24"/>
        <v>0</v>
      </c>
      <c r="W449">
        <f t="shared" si="25"/>
        <v>1</v>
      </c>
    </row>
    <row r="450" spans="1:23" x14ac:dyDescent="0.2">
      <c r="A450">
        <v>445</v>
      </c>
      <c r="B450">
        <v>620.17749429988669</v>
      </c>
      <c r="C450">
        <v>3466.5113731448773</v>
      </c>
      <c r="D450">
        <v>1113.7731583162772</v>
      </c>
      <c r="E450">
        <v>982.54533690723417</v>
      </c>
      <c r="F450">
        <v>0.97565368600880775</v>
      </c>
      <c r="G450">
        <v>0.77832376436544837</v>
      </c>
      <c r="H450">
        <v>1.1036472721976949E-2</v>
      </c>
      <c r="I450">
        <v>0.15244912855733694</v>
      </c>
      <c r="J450">
        <v>0.56295721865358395</v>
      </c>
      <c r="L450">
        <v>14029.583475617756</v>
      </c>
      <c r="M450">
        <v>10.033253323172094</v>
      </c>
      <c r="N450">
        <v>9.2747854757567367</v>
      </c>
      <c r="O450">
        <v>22950.505454746664</v>
      </c>
      <c r="P450">
        <v>11.043768307028111</v>
      </c>
      <c r="Q450">
        <v>10.376411416256873</v>
      </c>
      <c r="S450">
        <f t="shared" si="26"/>
        <v>913448.96410005586</v>
      </c>
      <c r="T450">
        <f t="shared" si="27"/>
        <v>1014690.6361709407</v>
      </c>
      <c r="V450">
        <f t="shared" si="24"/>
        <v>0</v>
      </c>
      <c r="W450">
        <f t="shared" si="25"/>
        <v>1</v>
      </c>
    </row>
    <row r="451" spans="1:23" x14ac:dyDescent="0.2">
      <c r="A451">
        <v>446</v>
      </c>
      <c r="B451">
        <v>556.76164815604079</v>
      </c>
      <c r="C451">
        <v>2807.8929119787063</v>
      </c>
      <c r="D451">
        <v>918.24388004947684</v>
      </c>
      <c r="E451">
        <v>858.57333226783157</v>
      </c>
      <c r="F451">
        <v>0.94704114050538157</v>
      </c>
      <c r="G451">
        <v>0.68130814199600576</v>
      </c>
      <c r="H451">
        <v>9.2066920215764549E-3</v>
      </c>
      <c r="I451">
        <v>0.13963295002086024</v>
      </c>
      <c r="J451">
        <v>0.50915132343641123</v>
      </c>
      <c r="L451">
        <v>11911.231349814732</v>
      </c>
      <c r="M451">
        <v>10.495920397943081</v>
      </c>
      <c r="N451">
        <v>9.2600493353699527</v>
      </c>
      <c r="O451">
        <v>19745.60610759952</v>
      </c>
      <c r="P451">
        <v>11.58849892949296</v>
      </c>
      <c r="Q451">
        <v>10.489603701908871</v>
      </c>
      <c r="S451">
        <f t="shared" si="26"/>
        <v>914093.70218718064</v>
      </c>
      <c r="T451">
        <f t="shared" si="27"/>
        <v>1029214.7640832874</v>
      </c>
      <c r="V451">
        <f t="shared" si="24"/>
        <v>0</v>
      </c>
      <c r="W451">
        <f t="shared" si="25"/>
        <v>1</v>
      </c>
    </row>
    <row r="452" spans="1:23" x14ac:dyDescent="0.2">
      <c r="A452">
        <v>447</v>
      </c>
      <c r="B452">
        <v>515.96440730696793</v>
      </c>
      <c r="C452">
        <v>2880.0143896133104</v>
      </c>
      <c r="D452">
        <v>944.20942019714323</v>
      </c>
      <c r="E452">
        <v>1153.7511997653583</v>
      </c>
      <c r="F452">
        <v>0.92151880066327918</v>
      </c>
      <c r="G452">
        <v>0.73048482108112955</v>
      </c>
      <c r="H452">
        <v>1.036669311154107E-2</v>
      </c>
      <c r="I452">
        <v>0.14208466371403111</v>
      </c>
      <c r="J452">
        <v>0.43401475297598258</v>
      </c>
      <c r="L452">
        <v>12013.458387054483</v>
      </c>
      <c r="M452">
        <v>10.261263610921336</v>
      </c>
      <c r="N452">
        <v>8.948206233045104</v>
      </c>
      <c r="O452">
        <v>19776.830450829599</v>
      </c>
      <c r="P452">
        <v>11.630321526477188</v>
      </c>
      <c r="Q452">
        <v>10.380483433471538</v>
      </c>
      <c r="S452">
        <f t="shared" si="26"/>
        <v>882807.16491745587</v>
      </c>
      <c r="T452">
        <f t="shared" si="27"/>
        <v>1018271.5128963242</v>
      </c>
      <c r="V452">
        <f t="shared" si="24"/>
        <v>0</v>
      </c>
      <c r="W452">
        <f t="shared" si="25"/>
        <v>1</v>
      </c>
    </row>
    <row r="453" spans="1:23" x14ac:dyDescent="0.2">
      <c r="A453">
        <v>448</v>
      </c>
      <c r="B453">
        <v>880.60663652405879</v>
      </c>
      <c r="C453">
        <v>2308.2027135392395</v>
      </c>
      <c r="D453">
        <v>804.0184765074838</v>
      </c>
      <c r="E453">
        <v>683.12603221662744</v>
      </c>
      <c r="F453">
        <v>0.96069995099130412</v>
      </c>
      <c r="G453">
        <v>0.74022990934075072</v>
      </c>
      <c r="H453">
        <v>8.4478463715624442E-3</v>
      </c>
      <c r="I453">
        <v>0.13853800997013821</v>
      </c>
      <c r="J453">
        <v>0.51842221154181756</v>
      </c>
      <c r="L453">
        <v>13154.484074092286</v>
      </c>
      <c r="M453">
        <v>10.655396289461905</v>
      </c>
      <c r="N453">
        <v>9.6904336979414545</v>
      </c>
      <c r="O453">
        <v>20968.062363426005</v>
      </c>
      <c r="P453">
        <v>11.695373183076821</v>
      </c>
      <c r="Q453">
        <v>10.847200875131746</v>
      </c>
      <c r="S453">
        <f t="shared" si="26"/>
        <v>955888.88572005322</v>
      </c>
      <c r="T453">
        <f t="shared" si="27"/>
        <v>1063752.0251497487</v>
      </c>
      <c r="V453">
        <f t="shared" si="24"/>
        <v>0</v>
      </c>
      <c r="W453">
        <f t="shared" si="25"/>
        <v>1</v>
      </c>
    </row>
    <row r="454" spans="1:23" x14ac:dyDescent="0.2">
      <c r="A454">
        <v>449</v>
      </c>
      <c r="B454">
        <v>515.80444184716259</v>
      </c>
      <c r="C454">
        <v>2257.6386119610265</v>
      </c>
      <c r="D454">
        <v>1142.9001290253832</v>
      </c>
      <c r="E454">
        <v>1061.8488676253669</v>
      </c>
      <c r="F454">
        <v>0.96596461000161626</v>
      </c>
      <c r="G454">
        <v>0.83583742815150375</v>
      </c>
      <c r="H454">
        <v>1.0409735247017122E-2</v>
      </c>
      <c r="I454">
        <v>0.12855149484647715</v>
      </c>
      <c r="J454">
        <v>0.48318622412293355</v>
      </c>
      <c r="L454">
        <v>10684.516104936743</v>
      </c>
      <c r="M454">
        <v>10.418933045463726</v>
      </c>
      <c r="N454">
        <v>9.6964283937378788</v>
      </c>
      <c r="O454">
        <v>20667.123047987188</v>
      </c>
      <c r="P454">
        <v>11.575973650305702</v>
      </c>
      <c r="Q454">
        <v>10.922588193229224</v>
      </c>
      <c r="S454">
        <f t="shared" si="26"/>
        <v>958958.32326885115</v>
      </c>
      <c r="T454">
        <f t="shared" si="27"/>
        <v>1071591.6962749353</v>
      </c>
      <c r="V454">
        <f t="shared" ref="V454:V517" si="28">IF(S454=MAX($S454:$T454),1,0)</f>
        <v>0</v>
      </c>
      <c r="W454">
        <f t="shared" ref="W454:W517" si="29">IF(T454=MAX($S454:$T454),1,0)</f>
        <v>1</v>
      </c>
    </row>
    <row r="455" spans="1:23" x14ac:dyDescent="0.2">
      <c r="A455">
        <v>450</v>
      </c>
      <c r="B455">
        <v>433.25622895601242</v>
      </c>
      <c r="C455">
        <v>3125.9140840039336</v>
      </c>
      <c r="D455">
        <v>936.54485473950047</v>
      </c>
      <c r="E455">
        <v>527.61966326400875</v>
      </c>
      <c r="F455">
        <v>0.89023365949362054</v>
      </c>
      <c r="G455">
        <v>0.84066001413461722</v>
      </c>
      <c r="H455">
        <v>9.2671071870818918E-3</v>
      </c>
      <c r="I455">
        <v>0.16058524159976095</v>
      </c>
      <c r="J455">
        <v>0.49998891027284603</v>
      </c>
      <c r="L455">
        <v>10978.941803039434</v>
      </c>
      <c r="M455">
        <v>10.269517267272873</v>
      </c>
      <c r="N455">
        <v>9.0257227352217306</v>
      </c>
      <c r="O455">
        <v>18764.177636548433</v>
      </c>
      <c r="P455">
        <v>11.458691112010156</v>
      </c>
      <c r="Q455">
        <v>10.118290266425369</v>
      </c>
      <c r="S455">
        <f t="shared" ref="S455:S518" si="30">$T$1*N455-L455</f>
        <v>891593.33171913365</v>
      </c>
      <c r="T455">
        <f t="shared" ref="T455:T518" si="31">$T$1*Q455-O455</f>
        <v>993064.84900598845</v>
      </c>
      <c r="V455">
        <f t="shared" si="28"/>
        <v>0</v>
      </c>
      <c r="W455">
        <f t="shared" si="29"/>
        <v>1</v>
      </c>
    </row>
    <row r="456" spans="1:23" x14ac:dyDescent="0.2">
      <c r="A456">
        <v>451</v>
      </c>
      <c r="B456">
        <v>486.75802491760538</v>
      </c>
      <c r="C456">
        <v>3288.8431081256667</v>
      </c>
      <c r="D456">
        <v>914.58541300366596</v>
      </c>
      <c r="E456">
        <v>669.9420858306479</v>
      </c>
      <c r="F456">
        <v>0.9354868725152905</v>
      </c>
      <c r="G456">
        <v>0.74977241240653869</v>
      </c>
      <c r="H456">
        <v>1.0405288135184636E-2</v>
      </c>
      <c r="I456">
        <v>0.13663711409626297</v>
      </c>
      <c r="J456">
        <v>0.59237123326411456</v>
      </c>
      <c r="L456">
        <v>12910.686506928469</v>
      </c>
      <c r="M456">
        <v>10.318909985274612</v>
      </c>
      <c r="N456">
        <v>9.1469565088401996</v>
      </c>
      <c r="O456">
        <v>19938.446885858441</v>
      </c>
      <c r="P456">
        <v>11.194168954902194</v>
      </c>
      <c r="Q456">
        <v>10.07302744955294</v>
      </c>
      <c r="S456">
        <f t="shared" si="30"/>
        <v>901784.9643770915</v>
      </c>
      <c r="T456">
        <f t="shared" si="31"/>
        <v>987364.29806943564</v>
      </c>
      <c r="V456">
        <f t="shared" si="28"/>
        <v>0</v>
      </c>
      <c r="W456">
        <f t="shared" si="29"/>
        <v>1</v>
      </c>
    </row>
    <row r="457" spans="1:23" x14ac:dyDescent="0.2">
      <c r="A457">
        <v>452</v>
      </c>
      <c r="B457">
        <v>334.40858834052551</v>
      </c>
      <c r="C457">
        <v>3326.8912383370725</v>
      </c>
      <c r="D457">
        <v>1066.8679895361463</v>
      </c>
      <c r="E457">
        <v>1284.8718992776794</v>
      </c>
      <c r="F457">
        <v>0.95493625332760512</v>
      </c>
      <c r="G457">
        <v>0.6234219756458248</v>
      </c>
      <c r="H457">
        <v>7.9521622278301424E-3</v>
      </c>
      <c r="I457">
        <v>0.12877016435774327</v>
      </c>
      <c r="J457">
        <v>0.52804220403772317</v>
      </c>
      <c r="L457">
        <v>11581.934457130052</v>
      </c>
      <c r="M457">
        <v>10.86381753367762</v>
      </c>
      <c r="N457">
        <v>9.5397838924923963</v>
      </c>
      <c r="O457">
        <v>20319.972415686276</v>
      </c>
      <c r="P457">
        <v>11.828007079088145</v>
      </c>
      <c r="Q457">
        <v>10.701161807637954</v>
      </c>
      <c r="S457">
        <f t="shared" si="30"/>
        <v>942396.45479210955</v>
      </c>
      <c r="T457">
        <f t="shared" si="31"/>
        <v>1049796.2083481089</v>
      </c>
      <c r="V457">
        <f t="shared" si="28"/>
        <v>0</v>
      </c>
      <c r="W457">
        <f t="shared" si="29"/>
        <v>1</v>
      </c>
    </row>
    <row r="458" spans="1:23" x14ac:dyDescent="0.2">
      <c r="A458">
        <v>453</v>
      </c>
      <c r="B458">
        <v>462.34421404973921</v>
      </c>
      <c r="C458">
        <v>2703.5850706260057</v>
      </c>
      <c r="D458">
        <v>995.87661816071636</v>
      </c>
      <c r="E458">
        <v>1048.1628454250194</v>
      </c>
      <c r="F458">
        <v>0.98005370579162165</v>
      </c>
      <c r="G458">
        <v>0.75297710286769071</v>
      </c>
      <c r="H458">
        <v>9.4954048209939176E-3</v>
      </c>
      <c r="I458">
        <v>0.1528815908968133</v>
      </c>
      <c r="J458">
        <v>0.53738937838105127</v>
      </c>
      <c r="L458">
        <v>10647.717674569349</v>
      </c>
      <c r="M458">
        <v>10.300819216289476</v>
      </c>
      <c r="N458">
        <v>9.5388714610498742</v>
      </c>
      <c r="O458">
        <v>19116.716202848482</v>
      </c>
      <c r="P458">
        <v>11.360256922927977</v>
      </c>
      <c r="Q458">
        <v>10.721554616422958</v>
      </c>
      <c r="S458">
        <f t="shared" si="30"/>
        <v>943239.42843041802</v>
      </c>
      <c r="T458">
        <f t="shared" si="31"/>
        <v>1053038.7454394472</v>
      </c>
      <c r="V458">
        <f t="shared" si="28"/>
        <v>0</v>
      </c>
      <c r="W458">
        <f t="shared" si="29"/>
        <v>1</v>
      </c>
    </row>
    <row r="459" spans="1:23" x14ac:dyDescent="0.2">
      <c r="A459">
        <v>454</v>
      </c>
      <c r="B459">
        <v>714.98060484332507</v>
      </c>
      <c r="C459">
        <v>2642.9658312225324</v>
      </c>
      <c r="D459">
        <v>1053.4156279073961</v>
      </c>
      <c r="E459">
        <v>1266.4062368007355</v>
      </c>
      <c r="F459">
        <v>0.97545191172483325</v>
      </c>
      <c r="G459">
        <v>0.66571592814807301</v>
      </c>
      <c r="H459">
        <v>1.0017367578321324E-2</v>
      </c>
      <c r="I459">
        <v>0.19018008676704723</v>
      </c>
      <c r="J459">
        <v>0.52074619400810129</v>
      </c>
      <c r="L459">
        <v>11752.13932321693</v>
      </c>
      <c r="M459">
        <v>9.8659845772434611</v>
      </c>
      <c r="N459">
        <v>8.9528389836571947</v>
      </c>
      <c r="O459">
        <v>21382.336964360482</v>
      </c>
      <c r="P459">
        <v>11.084495773617165</v>
      </c>
      <c r="Q459">
        <v>10.317955578271572</v>
      </c>
      <c r="S459">
        <f t="shared" si="30"/>
        <v>883531.7590425025</v>
      </c>
      <c r="T459">
        <f t="shared" si="31"/>
        <v>1010413.2208627968</v>
      </c>
      <c r="V459">
        <f t="shared" si="28"/>
        <v>0</v>
      </c>
      <c r="W459">
        <f t="shared" si="29"/>
        <v>1</v>
      </c>
    </row>
    <row r="460" spans="1:23" x14ac:dyDescent="0.2">
      <c r="A460">
        <v>455</v>
      </c>
      <c r="B460">
        <v>535.67913130330385</v>
      </c>
      <c r="C460">
        <v>2192.5997560605306</v>
      </c>
      <c r="D460">
        <v>956.64395269782074</v>
      </c>
      <c r="E460">
        <v>906.22752676377172</v>
      </c>
      <c r="F460">
        <v>0.97596128883997524</v>
      </c>
      <c r="G460">
        <v>0.83096376046355047</v>
      </c>
      <c r="H460">
        <v>1.0996404615119483E-2</v>
      </c>
      <c r="I460">
        <v>0.1145621902969807</v>
      </c>
      <c r="J460">
        <v>0.42888874210644362</v>
      </c>
      <c r="L460">
        <v>11068.719124771991</v>
      </c>
      <c r="M460">
        <v>10.52272231802027</v>
      </c>
      <c r="N460">
        <v>9.8224495128469851</v>
      </c>
      <c r="O460">
        <v>19243.231488136851</v>
      </c>
      <c r="P460">
        <v>11.79268839432479</v>
      </c>
      <c r="Q460">
        <v>11.212623604623563</v>
      </c>
      <c r="S460">
        <f t="shared" si="30"/>
        <v>971176.23215992656</v>
      </c>
      <c r="T460">
        <f t="shared" si="31"/>
        <v>1102019.1289742196</v>
      </c>
      <c r="V460">
        <f t="shared" si="28"/>
        <v>0</v>
      </c>
      <c r="W460">
        <f t="shared" si="29"/>
        <v>1</v>
      </c>
    </row>
    <row r="461" spans="1:23" x14ac:dyDescent="0.2">
      <c r="A461">
        <v>456</v>
      </c>
      <c r="B461">
        <v>485.09452817434754</v>
      </c>
      <c r="C461">
        <v>2809.5406959055676</v>
      </c>
      <c r="D461">
        <v>950.237760689943</v>
      </c>
      <c r="E461">
        <v>1121.8388537849728</v>
      </c>
      <c r="F461">
        <v>0.95593154609384912</v>
      </c>
      <c r="G461">
        <v>0.71550664190221092</v>
      </c>
      <c r="H461">
        <v>1.1976571693909281E-2</v>
      </c>
      <c r="I461">
        <v>0.15780104429420061</v>
      </c>
      <c r="J461">
        <v>0.55117691248381007</v>
      </c>
      <c r="L461">
        <v>11337.787421667237</v>
      </c>
      <c r="M461">
        <v>9.8253533664156176</v>
      </c>
      <c r="N461">
        <v>8.7607506194547256</v>
      </c>
      <c r="O461">
        <v>18802.090445975853</v>
      </c>
      <c r="P461">
        <v>10.897503525604844</v>
      </c>
      <c r="Q461">
        <v>9.9274157667412819</v>
      </c>
      <c r="S461">
        <f t="shared" si="30"/>
        <v>864737.27452380536</v>
      </c>
      <c r="T461">
        <f t="shared" si="31"/>
        <v>973939.48622815229</v>
      </c>
      <c r="V461">
        <f t="shared" si="28"/>
        <v>0</v>
      </c>
      <c r="W461">
        <f t="shared" si="29"/>
        <v>1</v>
      </c>
    </row>
    <row r="462" spans="1:23" x14ac:dyDescent="0.2">
      <c r="A462">
        <v>457</v>
      </c>
      <c r="B462">
        <v>568.87647281048987</v>
      </c>
      <c r="C462">
        <v>3664.8270093732385</v>
      </c>
      <c r="D462">
        <v>855.52734328074769</v>
      </c>
      <c r="E462">
        <v>1139.7321266398067</v>
      </c>
      <c r="F462">
        <v>0.96297598397058881</v>
      </c>
      <c r="G462">
        <v>0.74276248354126473</v>
      </c>
      <c r="H462">
        <v>8.8739323779890959E-3</v>
      </c>
      <c r="I462">
        <v>0.11503888365045159</v>
      </c>
      <c r="J462">
        <v>0.46597048480406261</v>
      </c>
      <c r="L462">
        <v>15266.65670479143</v>
      </c>
      <c r="M462">
        <v>10.85706620285095</v>
      </c>
      <c r="N462">
        <v>9.8347738864949221</v>
      </c>
      <c r="O462">
        <v>21509.882065785248</v>
      </c>
      <c r="P462">
        <v>11.960524091488436</v>
      </c>
      <c r="Q462">
        <v>11.102323937936386</v>
      </c>
      <c r="S462">
        <f t="shared" si="30"/>
        <v>968210.7319447007</v>
      </c>
      <c r="T462">
        <f t="shared" si="31"/>
        <v>1088722.5117278532</v>
      </c>
      <c r="V462">
        <f t="shared" si="28"/>
        <v>0</v>
      </c>
      <c r="W462">
        <f t="shared" si="29"/>
        <v>1</v>
      </c>
    </row>
    <row r="463" spans="1:23" x14ac:dyDescent="0.2">
      <c r="A463">
        <v>458</v>
      </c>
      <c r="B463">
        <v>546.40630386595763</v>
      </c>
      <c r="C463">
        <v>2736.193400553173</v>
      </c>
      <c r="D463">
        <v>898.61173508342461</v>
      </c>
      <c r="E463">
        <v>576.19414889854568</v>
      </c>
      <c r="F463">
        <v>0.93853299931085177</v>
      </c>
      <c r="G463">
        <v>0.71818478005780706</v>
      </c>
      <c r="H463">
        <v>8.7813685145854692E-3</v>
      </c>
      <c r="I463">
        <v>0.17243311322705079</v>
      </c>
      <c r="J463">
        <v>0.47474758883973195</v>
      </c>
      <c r="L463">
        <v>10629.459512565769</v>
      </c>
      <c r="M463">
        <v>10.263203253735238</v>
      </c>
      <c r="N463">
        <v>9.1489876660444498</v>
      </c>
      <c r="O463">
        <v>18773.65791994899</v>
      </c>
      <c r="P463">
        <v>11.551396280999104</v>
      </c>
      <c r="Q463">
        <v>10.511496116234664</v>
      </c>
      <c r="S463">
        <f t="shared" si="30"/>
        <v>904269.30709187919</v>
      </c>
      <c r="T463">
        <f t="shared" si="31"/>
        <v>1032375.9537035174</v>
      </c>
      <c r="V463">
        <f t="shared" si="28"/>
        <v>0</v>
      </c>
      <c r="W463">
        <f t="shared" si="29"/>
        <v>1</v>
      </c>
    </row>
    <row r="464" spans="1:23" x14ac:dyDescent="0.2">
      <c r="A464">
        <v>459</v>
      </c>
      <c r="B464">
        <v>522.4965249715234</v>
      </c>
      <c r="C464">
        <v>2431.9985337917383</v>
      </c>
      <c r="D464">
        <v>1021.0868825532555</v>
      </c>
      <c r="E464">
        <v>1019.122528593266</v>
      </c>
      <c r="F464">
        <v>0.93640923130590104</v>
      </c>
      <c r="G464">
        <v>0.63700206207619037</v>
      </c>
      <c r="H464">
        <v>1.0914229542527088E-2</v>
      </c>
      <c r="I464">
        <v>0.11290053338018805</v>
      </c>
      <c r="J464">
        <v>0.42148036489538032</v>
      </c>
      <c r="L464">
        <v>11795.246140570382</v>
      </c>
      <c r="M464">
        <v>10.55962795286742</v>
      </c>
      <c r="N464">
        <v>8.959714044773234</v>
      </c>
      <c r="O464">
        <v>20316.55858579318</v>
      </c>
      <c r="P464">
        <v>11.84145223273973</v>
      </c>
      <c r="Q464">
        <v>10.480279857240081</v>
      </c>
      <c r="S464">
        <f t="shared" si="30"/>
        <v>884176.15833675303</v>
      </c>
      <c r="T464">
        <f t="shared" si="31"/>
        <v>1027711.4271382149</v>
      </c>
      <c r="V464">
        <f t="shared" si="28"/>
        <v>0</v>
      </c>
      <c r="W464">
        <f t="shared" si="29"/>
        <v>1</v>
      </c>
    </row>
    <row r="465" spans="1:23" x14ac:dyDescent="0.2">
      <c r="A465">
        <v>460</v>
      </c>
      <c r="B465">
        <v>454.07243824249036</v>
      </c>
      <c r="C465">
        <v>3636.2069645943911</v>
      </c>
      <c r="D465">
        <v>1019.7239811351967</v>
      </c>
      <c r="E465">
        <v>695.80870808208226</v>
      </c>
      <c r="F465">
        <v>0.95889437519676302</v>
      </c>
      <c r="G465">
        <v>0.70346280732513167</v>
      </c>
      <c r="H465">
        <v>1.0266191440220378E-2</v>
      </c>
      <c r="I465">
        <v>0.15405272976553086</v>
      </c>
      <c r="J465">
        <v>0.3842532974016607</v>
      </c>
      <c r="L465">
        <v>12886.526122853973</v>
      </c>
      <c r="M465">
        <v>10.147648271219589</v>
      </c>
      <c r="N465">
        <v>9.0876384163477439</v>
      </c>
      <c r="O465">
        <v>20828.357257982509</v>
      </c>
      <c r="P465">
        <v>11.740991157965112</v>
      </c>
      <c r="Q465">
        <v>10.861703728818446</v>
      </c>
      <c r="S465">
        <f t="shared" si="30"/>
        <v>895877.31551192037</v>
      </c>
      <c r="T465">
        <f t="shared" si="31"/>
        <v>1065342.0156238622</v>
      </c>
      <c r="V465">
        <f t="shared" si="28"/>
        <v>0</v>
      </c>
      <c r="W465">
        <f t="shared" si="29"/>
        <v>1</v>
      </c>
    </row>
    <row r="466" spans="1:23" x14ac:dyDescent="0.2">
      <c r="A466">
        <v>461</v>
      </c>
      <c r="B466">
        <v>454.63890060331255</v>
      </c>
      <c r="C466">
        <v>2570.9474700230835</v>
      </c>
      <c r="D466">
        <v>1158.3397280694642</v>
      </c>
      <c r="E466">
        <v>1222.1621481000691</v>
      </c>
      <c r="F466">
        <v>0.94289210706995941</v>
      </c>
      <c r="G466">
        <v>0.72141553054709162</v>
      </c>
      <c r="H466">
        <v>1.0344861679552312E-2</v>
      </c>
      <c r="I466">
        <v>0.16117833970630158</v>
      </c>
      <c r="J466">
        <v>0.56431851402145794</v>
      </c>
      <c r="L466">
        <v>10246.365318076034</v>
      </c>
      <c r="M466">
        <v>10.061293918488101</v>
      </c>
      <c r="N466">
        <v>8.9436625524253373</v>
      </c>
      <c r="O466">
        <v>20053.098795189206</v>
      </c>
      <c r="P466">
        <v>11.080085081058526</v>
      </c>
      <c r="Q466">
        <v>10.029061265473645</v>
      </c>
      <c r="S466">
        <f t="shared" si="30"/>
        <v>884119.88992445776</v>
      </c>
      <c r="T466">
        <f t="shared" si="31"/>
        <v>982853.02775217535</v>
      </c>
      <c r="V466">
        <f t="shared" si="28"/>
        <v>0</v>
      </c>
      <c r="W466">
        <f t="shared" si="29"/>
        <v>1</v>
      </c>
    </row>
    <row r="467" spans="1:23" x14ac:dyDescent="0.2">
      <c r="A467">
        <v>462</v>
      </c>
      <c r="B467">
        <v>540.44890171626184</v>
      </c>
      <c r="C467">
        <v>2624.6371242626446</v>
      </c>
      <c r="D467">
        <v>982.92057450891525</v>
      </c>
      <c r="E467">
        <v>1544.4497289638309</v>
      </c>
      <c r="F467">
        <v>0.96992740142643064</v>
      </c>
      <c r="G467">
        <v>0.89728088867854883</v>
      </c>
      <c r="H467">
        <v>9.8365138439930749E-3</v>
      </c>
      <c r="I467">
        <v>0.15901327417272393</v>
      </c>
      <c r="J467">
        <v>0.53641069434331112</v>
      </c>
      <c r="L467">
        <v>11147.793382177741</v>
      </c>
      <c r="M467">
        <v>10.175458856497857</v>
      </c>
      <c r="N467">
        <v>9.6933269128324184</v>
      </c>
      <c r="O467">
        <v>19587.288510698825</v>
      </c>
      <c r="P467">
        <v>11.262675570262658</v>
      </c>
      <c r="Q467">
        <v>10.792904746383233</v>
      </c>
      <c r="S467">
        <f t="shared" si="30"/>
        <v>958184.89790106413</v>
      </c>
      <c r="T467">
        <f t="shared" si="31"/>
        <v>1059703.1861276245</v>
      </c>
      <c r="V467">
        <f t="shared" si="28"/>
        <v>0</v>
      </c>
      <c r="W467">
        <f t="shared" si="29"/>
        <v>1</v>
      </c>
    </row>
    <row r="468" spans="1:23" x14ac:dyDescent="0.2">
      <c r="A468">
        <v>463</v>
      </c>
      <c r="B468">
        <v>304.66927993081032</v>
      </c>
      <c r="C468">
        <v>2542.4412687310792</v>
      </c>
      <c r="D468">
        <v>905.31297725935997</v>
      </c>
      <c r="E468">
        <v>947.92868107425534</v>
      </c>
      <c r="F468">
        <v>0.8902218302255871</v>
      </c>
      <c r="G468">
        <v>0.81351292515234785</v>
      </c>
      <c r="H468">
        <v>9.4808811045143295E-3</v>
      </c>
      <c r="I468">
        <v>0.17002030847702676</v>
      </c>
      <c r="J468">
        <v>0.47102538067485755</v>
      </c>
      <c r="L468">
        <v>8574.0482021242715</v>
      </c>
      <c r="M468">
        <v>10.140688313057955</v>
      </c>
      <c r="N468">
        <v>8.852089015437457</v>
      </c>
      <c r="O468">
        <v>16214.346993883308</v>
      </c>
      <c r="P468">
        <v>11.458078984231806</v>
      </c>
      <c r="Q468">
        <v>10.079527809141808</v>
      </c>
      <c r="S468">
        <f t="shared" si="30"/>
        <v>876634.85334162135</v>
      </c>
      <c r="T468">
        <f t="shared" si="31"/>
        <v>991738.43392029754</v>
      </c>
      <c r="V468">
        <f t="shared" si="28"/>
        <v>0</v>
      </c>
      <c r="W468">
        <f t="shared" si="29"/>
        <v>1</v>
      </c>
    </row>
    <row r="469" spans="1:23" x14ac:dyDescent="0.2">
      <c r="A469">
        <v>464</v>
      </c>
      <c r="B469">
        <v>681.3685714038254</v>
      </c>
      <c r="C469">
        <v>3001.9912225434491</v>
      </c>
      <c r="D469">
        <v>1129.8779973337339</v>
      </c>
      <c r="E469">
        <v>1136.5218299288958</v>
      </c>
      <c r="F469">
        <v>0.9604628332826054</v>
      </c>
      <c r="G469">
        <v>0.65987755012557037</v>
      </c>
      <c r="H469">
        <v>8.7408517106679733E-3</v>
      </c>
      <c r="I469">
        <v>0.16875885659498102</v>
      </c>
      <c r="J469">
        <v>0.55328875114904086</v>
      </c>
      <c r="L469">
        <v>12599.630611909899</v>
      </c>
      <c r="M469">
        <v>10.303213194789249</v>
      </c>
      <c r="N469">
        <v>9.2283421462475594</v>
      </c>
      <c r="O469">
        <v>22825.731524502557</v>
      </c>
      <c r="P469">
        <v>11.338680031947813</v>
      </c>
      <c r="Q469">
        <v>10.392808197676608</v>
      </c>
      <c r="S469">
        <f t="shared" si="30"/>
        <v>910234.584012846</v>
      </c>
      <c r="T469">
        <f t="shared" si="31"/>
        <v>1016455.0882431583</v>
      </c>
      <c r="V469">
        <f t="shared" si="28"/>
        <v>0</v>
      </c>
      <c r="W469">
        <f t="shared" si="29"/>
        <v>1</v>
      </c>
    </row>
    <row r="470" spans="1:23" x14ac:dyDescent="0.2">
      <c r="A470">
        <v>465</v>
      </c>
      <c r="B470">
        <v>357.25859719750366</v>
      </c>
      <c r="C470">
        <v>3472.0153273049746</v>
      </c>
      <c r="D470">
        <v>1034.5991046492682</v>
      </c>
      <c r="E470">
        <v>795.3981886490991</v>
      </c>
      <c r="F470">
        <v>0.97332618712944163</v>
      </c>
      <c r="G470">
        <v>0.84540395386710121</v>
      </c>
      <c r="H470">
        <v>9.9038386590201907E-3</v>
      </c>
      <c r="I470">
        <v>0.14662450880839809</v>
      </c>
      <c r="J470">
        <v>0.39445374600374167</v>
      </c>
      <c r="L470">
        <v>11947.121361431218</v>
      </c>
      <c r="M470">
        <v>10.291239914378549</v>
      </c>
      <c r="N470">
        <v>9.6893256052624608</v>
      </c>
      <c r="O470">
        <v>19918.995975694084</v>
      </c>
      <c r="P470">
        <v>11.801440468789432</v>
      </c>
      <c r="Q470">
        <v>11.283243872116955</v>
      </c>
      <c r="S470">
        <f t="shared" si="30"/>
        <v>956985.43916481489</v>
      </c>
      <c r="T470">
        <f t="shared" si="31"/>
        <v>1108405.3912360014</v>
      </c>
      <c r="V470">
        <f t="shared" si="28"/>
        <v>0</v>
      </c>
      <c r="W470">
        <f t="shared" si="29"/>
        <v>1</v>
      </c>
    </row>
    <row r="471" spans="1:23" x14ac:dyDescent="0.2">
      <c r="A471">
        <v>466</v>
      </c>
      <c r="B471">
        <v>539.05875303497169</v>
      </c>
      <c r="C471">
        <v>2721.9825088891894</v>
      </c>
      <c r="D471">
        <v>1012.7217509950896</v>
      </c>
      <c r="E471">
        <v>1168.4689775340705</v>
      </c>
      <c r="F471">
        <v>0.94162380487953068</v>
      </c>
      <c r="G471">
        <v>0.7149620836901377</v>
      </c>
      <c r="H471">
        <v>1.0062945763007909E-2</v>
      </c>
      <c r="I471">
        <v>0.13501358943272848</v>
      </c>
      <c r="J471">
        <v>0.4416301968695826</v>
      </c>
      <c r="L471">
        <v>11945.31873121416</v>
      </c>
      <c r="M471">
        <v>10.396129382106238</v>
      </c>
      <c r="N471">
        <v>9.1751887922665745</v>
      </c>
      <c r="O471">
        <v>20553.552966168212</v>
      </c>
      <c r="P471">
        <v>11.701023214307879</v>
      </c>
      <c r="Q471">
        <v>10.608980403423763</v>
      </c>
      <c r="S471">
        <f t="shared" si="30"/>
        <v>905573.56049544329</v>
      </c>
      <c r="T471">
        <f t="shared" si="31"/>
        <v>1040344.4873762081</v>
      </c>
      <c r="V471">
        <f t="shared" si="28"/>
        <v>0</v>
      </c>
      <c r="W471">
        <f t="shared" si="29"/>
        <v>1</v>
      </c>
    </row>
    <row r="472" spans="1:23" x14ac:dyDescent="0.2">
      <c r="A472">
        <v>467</v>
      </c>
      <c r="B472">
        <v>690.14210606235667</v>
      </c>
      <c r="C472">
        <v>2647.5809263310812</v>
      </c>
      <c r="D472">
        <v>885.38145206981005</v>
      </c>
      <c r="E472">
        <v>981.8217993004364</v>
      </c>
      <c r="F472">
        <v>0.96070123064552759</v>
      </c>
      <c r="G472">
        <v>0.69122848596302344</v>
      </c>
      <c r="H472">
        <v>1.1733271465607686E-2</v>
      </c>
      <c r="I472">
        <v>0.10633408871048629</v>
      </c>
      <c r="J472">
        <v>0.55217133505446525</v>
      </c>
      <c r="L472">
        <v>14071.993379621103</v>
      </c>
      <c r="M472">
        <v>10.549556704000443</v>
      </c>
      <c r="N472">
        <v>9.2473812550969399</v>
      </c>
      <c r="O472">
        <v>21003.217000904478</v>
      </c>
      <c r="P472">
        <v>11.441441430861229</v>
      </c>
      <c r="Q472">
        <v>10.309922513254385</v>
      </c>
      <c r="S472">
        <f t="shared" si="30"/>
        <v>910666.13213007292</v>
      </c>
      <c r="T472">
        <f t="shared" si="31"/>
        <v>1009989.034324534</v>
      </c>
      <c r="V472">
        <f t="shared" si="28"/>
        <v>0</v>
      </c>
      <c r="W472">
        <f t="shared" si="29"/>
        <v>1</v>
      </c>
    </row>
    <row r="473" spans="1:23" x14ac:dyDescent="0.2">
      <c r="A473">
        <v>468</v>
      </c>
      <c r="B473">
        <v>476.71824037347091</v>
      </c>
      <c r="C473">
        <v>2961.1053677510522</v>
      </c>
      <c r="D473">
        <v>999.59456104315996</v>
      </c>
      <c r="E473">
        <v>1063.5810587743911</v>
      </c>
      <c r="F473">
        <v>0.94255539719139703</v>
      </c>
      <c r="G473">
        <v>0.77517846859135209</v>
      </c>
      <c r="H473">
        <v>1.0255298500650047E-2</v>
      </c>
      <c r="I473">
        <v>0.18833314747447871</v>
      </c>
      <c r="J473">
        <v>0.41591865309153714</v>
      </c>
      <c r="L473">
        <v>10597.524923440829</v>
      </c>
      <c r="M473">
        <v>9.834806748188079</v>
      </c>
      <c r="N473">
        <v>8.9014485652564144</v>
      </c>
      <c r="O473">
        <v>19290.157397576455</v>
      </c>
      <c r="P473">
        <v>11.431056333872256</v>
      </c>
      <c r="Q473">
        <v>10.534593020966785</v>
      </c>
      <c r="S473">
        <f t="shared" si="30"/>
        <v>879547.33160220052</v>
      </c>
      <c r="T473">
        <f t="shared" si="31"/>
        <v>1034169.1446991019</v>
      </c>
      <c r="V473">
        <f t="shared" si="28"/>
        <v>0</v>
      </c>
      <c r="W473">
        <f t="shared" si="29"/>
        <v>1</v>
      </c>
    </row>
    <row r="474" spans="1:23" x14ac:dyDescent="0.2">
      <c r="A474">
        <v>469</v>
      </c>
      <c r="B474">
        <v>809.59350390882628</v>
      </c>
      <c r="C474">
        <v>3219.3577024419537</v>
      </c>
      <c r="D474">
        <v>902.73275152532926</v>
      </c>
      <c r="E474">
        <v>1003.091116943373</v>
      </c>
      <c r="F474">
        <v>0.98504940895420123</v>
      </c>
      <c r="G474">
        <v>0.73090252387062016</v>
      </c>
      <c r="H474">
        <v>1.1973226149560288E-2</v>
      </c>
      <c r="I474">
        <v>0.17248728342331487</v>
      </c>
      <c r="J474">
        <v>0.46011174435446084</v>
      </c>
      <c r="L474">
        <v>14229.803625856994</v>
      </c>
      <c r="M474">
        <v>9.6756377900775519</v>
      </c>
      <c r="N474">
        <v>8.9015664602988629</v>
      </c>
      <c r="O474">
        <v>21951.238340964665</v>
      </c>
      <c r="P474">
        <v>11.098933812652405</v>
      </c>
      <c r="Q474">
        <v>10.487310551817608</v>
      </c>
      <c r="S474">
        <f t="shared" si="30"/>
        <v>875926.84240402933</v>
      </c>
      <c r="T474">
        <f t="shared" si="31"/>
        <v>1026779.8168407961</v>
      </c>
      <c r="V474">
        <f t="shared" si="28"/>
        <v>0</v>
      </c>
      <c r="W474">
        <f t="shared" si="29"/>
        <v>1</v>
      </c>
    </row>
    <row r="475" spans="1:23" x14ac:dyDescent="0.2">
      <c r="A475">
        <v>470</v>
      </c>
      <c r="B475">
        <v>636.9814233844636</v>
      </c>
      <c r="C475">
        <v>2334.2839101860482</v>
      </c>
      <c r="D475">
        <v>871.45784651276119</v>
      </c>
      <c r="E475">
        <v>1311.9683835097826</v>
      </c>
      <c r="F475">
        <v>0.97261412435678896</v>
      </c>
      <c r="G475">
        <v>0.73384905971042658</v>
      </c>
      <c r="H475">
        <v>1.1362706566988501E-2</v>
      </c>
      <c r="I475">
        <v>0.19436238504148429</v>
      </c>
      <c r="J475">
        <v>0.52155697565125347</v>
      </c>
      <c r="L475">
        <v>10474.204317268479</v>
      </c>
      <c r="M475">
        <v>9.5838420977516048</v>
      </c>
      <c r="N475">
        <v>8.7869960904174125</v>
      </c>
      <c r="O475">
        <v>18161.66478253001</v>
      </c>
      <c r="P475">
        <v>10.834222095829938</v>
      </c>
      <c r="Q475">
        <v>10.135710797679534</v>
      </c>
      <c r="S475">
        <f t="shared" si="30"/>
        <v>868225.40472447278</v>
      </c>
      <c r="T475">
        <f t="shared" si="31"/>
        <v>995409.41498542344</v>
      </c>
      <c r="V475">
        <f t="shared" si="28"/>
        <v>0</v>
      </c>
      <c r="W475">
        <f t="shared" si="29"/>
        <v>1</v>
      </c>
    </row>
    <row r="476" spans="1:23" x14ac:dyDescent="0.2">
      <c r="A476">
        <v>471</v>
      </c>
      <c r="B476">
        <v>427.06440136344037</v>
      </c>
      <c r="C476">
        <v>2909.6569089837085</v>
      </c>
      <c r="D476">
        <v>926.89584846089917</v>
      </c>
      <c r="E476">
        <v>1015.0386077798564</v>
      </c>
      <c r="F476">
        <v>0.98301087614388205</v>
      </c>
      <c r="G476">
        <v>0.85203718363305214</v>
      </c>
      <c r="H476">
        <v>1.0673104701385728E-2</v>
      </c>
      <c r="I476">
        <v>0.12031980417561439</v>
      </c>
      <c r="J476">
        <v>0.41083824357317228</v>
      </c>
      <c r="L476">
        <v>12205.690458124978</v>
      </c>
      <c r="M476">
        <v>10.487941701275666</v>
      </c>
      <c r="N476">
        <v>9.9212395292302613</v>
      </c>
      <c r="O476">
        <v>19231.062284969797</v>
      </c>
      <c r="P476">
        <v>11.838519584377279</v>
      </c>
      <c r="Q476">
        <v>11.387426578281806</v>
      </c>
      <c r="S476">
        <f t="shared" si="30"/>
        <v>979918.2624649012</v>
      </c>
      <c r="T476">
        <f t="shared" si="31"/>
        <v>1119511.5955432109</v>
      </c>
      <c r="V476">
        <f t="shared" si="28"/>
        <v>0</v>
      </c>
      <c r="W476">
        <f t="shared" si="29"/>
        <v>1</v>
      </c>
    </row>
    <row r="477" spans="1:23" x14ac:dyDescent="0.2">
      <c r="A477">
        <v>472</v>
      </c>
      <c r="B477">
        <v>523.77974052435263</v>
      </c>
      <c r="C477">
        <v>2527.4981576225714</v>
      </c>
      <c r="D477">
        <v>998.88617272624481</v>
      </c>
      <c r="E477">
        <v>1395.2507899038153</v>
      </c>
      <c r="F477">
        <v>0.93563348968282567</v>
      </c>
      <c r="G477">
        <v>0.74268378382442013</v>
      </c>
      <c r="H477">
        <v>1.2737838379348792E-2</v>
      </c>
      <c r="I477">
        <v>0.1576699481087841</v>
      </c>
      <c r="J477">
        <v>0.55857001591598732</v>
      </c>
      <c r="L477">
        <v>11062.135908204893</v>
      </c>
      <c r="M477">
        <v>9.7129220299094996</v>
      </c>
      <c r="N477">
        <v>8.5693138104756539</v>
      </c>
      <c r="O477">
        <v>18986.754905896672</v>
      </c>
      <c r="P477">
        <v>10.768852834479189</v>
      </c>
      <c r="Q477">
        <v>9.6677851838298761</v>
      </c>
      <c r="S477">
        <f t="shared" si="30"/>
        <v>845869.24513936043</v>
      </c>
      <c r="T477">
        <f t="shared" si="31"/>
        <v>947791.76347709086</v>
      </c>
      <c r="V477">
        <f t="shared" si="28"/>
        <v>0</v>
      </c>
      <c r="W477">
        <f t="shared" si="29"/>
        <v>1</v>
      </c>
    </row>
    <row r="478" spans="1:23" x14ac:dyDescent="0.2">
      <c r="A478">
        <v>473</v>
      </c>
      <c r="B478">
        <v>620.91092630930871</v>
      </c>
      <c r="C478">
        <v>3030.4174891370044</v>
      </c>
      <c r="D478">
        <v>1016.5807204294744</v>
      </c>
      <c r="E478">
        <v>1514.046332924863</v>
      </c>
      <c r="F478">
        <v>0.97316717261237606</v>
      </c>
      <c r="G478">
        <v>0.75476593014411486</v>
      </c>
      <c r="H478">
        <v>1.0119463021610186E-2</v>
      </c>
      <c r="I478">
        <v>0.15843628813421118</v>
      </c>
      <c r="J478">
        <v>0.5753937243501841</v>
      </c>
      <c r="L478">
        <v>12801.262333913288</v>
      </c>
      <c r="M478">
        <v>10.129171124989643</v>
      </c>
      <c r="N478">
        <v>9.3205665668901219</v>
      </c>
      <c r="O478">
        <v>21297.050445097186</v>
      </c>
      <c r="P478">
        <v>11.104916666162817</v>
      </c>
      <c r="Q478">
        <v>10.390572021356238</v>
      </c>
      <c r="S478">
        <f t="shared" si="30"/>
        <v>919255.39435509895</v>
      </c>
      <c r="T478">
        <f t="shared" si="31"/>
        <v>1017760.1516905266</v>
      </c>
      <c r="V478">
        <f t="shared" si="28"/>
        <v>0</v>
      </c>
      <c r="W478">
        <f t="shared" si="29"/>
        <v>1</v>
      </c>
    </row>
    <row r="479" spans="1:23" x14ac:dyDescent="0.2">
      <c r="A479">
        <v>474</v>
      </c>
      <c r="B479">
        <v>418.61320393108593</v>
      </c>
      <c r="C479">
        <v>2082.6481396625304</v>
      </c>
      <c r="D479">
        <v>861.83117859442984</v>
      </c>
      <c r="E479">
        <v>765.71982645468381</v>
      </c>
      <c r="F479">
        <v>0.94155526902426656</v>
      </c>
      <c r="G479">
        <v>0.83505358036723931</v>
      </c>
      <c r="H479">
        <v>8.9924992710987469E-3</v>
      </c>
      <c r="I479">
        <v>0.1414688861331185</v>
      </c>
      <c r="J479">
        <v>0.53453188262060192</v>
      </c>
      <c r="L479">
        <v>8857.2811786643815</v>
      </c>
      <c r="M479">
        <v>10.516503830384952</v>
      </c>
      <c r="N479">
        <v>9.634171242234304</v>
      </c>
      <c r="O479">
        <v>16446.598876160631</v>
      </c>
      <c r="P479">
        <v>11.537217047389637</v>
      </c>
      <c r="Q479">
        <v>10.667144495930726</v>
      </c>
      <c r="S479">
        <f t="shared" si="30"/>
        <v>954559.84304476599</v>
      </c>
      <c r="T479">
        <f t="shared" si="31"/>
        <v>1050267.850716912</v>
      </c>
      <c r="V479">
        <f t="shared" si="28"/>
        <v>0</v>
      </c>
      <c r="W479">
        <f t="shared" si="29"/>
        <v>1</v>
      </c>
    </row>
    <row r="480" spans="1:23" x14ac:dyDescent="0.2">
      <c r="A480">
        <v>475</v>
      </c>
      <c r="B480">
        <v>369.29703157721832</v>
      </c>
      <c r="C480">
        <v>2731.2925606347835</v>
      </c>
      <c r="D480">
        <v>889.20053707842283</v>
      </c>
      <c r="E480">
        <v>682.17004972682423</v>
      </c>
      <c r="F480">
        <v>0.92082609118571268</v>
      </c>
      <c r="G480">
        <v>0.8478879597637492</v>
      </c>
      <c r="H480">
        <v>1.0932033039880362E-2</v>
      </c>
      <c r="I480">
        <v>0.17364584405922834</v>
      </c>
      <c r="J480">
        <v>0.47596276739073395</v>
      </c>
      <c r="L480">
        <v>9546.9953753121245</v>
      </c>
      <c r="M480">
        <v>9.8383268867023315</v>
      </c>
      <c r="N480">
        <v>8.8854937633892135</v>
      </c>
      <c r="O480">
        <v>16773.450248211491</v>
      </c>
      <c r="P480">
        <v>11.187676460017313</v>
      </c>
      <c r="Q480">
        <v>10.178429354385486</v>
      </c>
      <c r="S480">
        <f t="shared" si="30"/>
        <v>879002.3809636092</v>
      </c>
      <c r="T480">
        <f t="shared" si="31"/>
        <v>1001069.4851903371</v>
      </c>
      <c r="V480">
        <f t="shared" si="28"/>
        <v>0</v>
      </c>
      <c r="W480">
        <f t="shared" si="29"/>
        <v>1</v>
      </c>
    </row>
    <row r="481" spans="1:23" x14ac:dyDescent="0.2">
      <c r="A481">
        <v>476</v>
      </c>
      <c r="B481">
        <v>479.36336177301882</v>
      </c>
      <c r="C481">
        <v>3247.4929228697292</v>
      </c>
      <c r="D481">
        <v>1056.5974295944245</v>
      </c>
      <c r="E481">
        <v>1167.2857439054096</v>
      </c>
      <c r="F481">
        <v>0.9793506308323412</v>
      </c>
      <c r="G481">
        <v>0.71266875853474099</v>
      </c>
      <c r="H481">
        <v>9.8467956655947948E-3</v>
      </c>
      <c r="I481">
        <v>0.14600877045213137</v>
      </c>
      <c r="J481">
        <v>0.416593486494517</v>
      </c>
      <c r="L481">
        <v>12464.482944537929</v>
      </c>
      <c r="M481">
        <v>10.308184162038305</v>
      </c>
      <c r="N481">
        <v>9.4125852644970109</v>
      </c>
      <c r="O481">
        <v>21118.208479984409</v>
      </c>
      <c r="P481">
        <v>11.73642192395106</v>
      </c>
      <c r="Q481">
        <v>11.055991227727461</v>
      </c>
      <c r="S481">
        <f t="shared" si="30"/>
        <v>928794.04350516316</v>
      </c>
      <c r="T481">
        <f t="shared" si="31"/>
        <v>1084480.9142927616</v>
      </c>
      <c r="V481">
        <f t="shared" si="28"/>
        <v>0</v>
      </c>
      <c r="W481">
        <f t="shared" si="29"/>
        <v>1</v>
      </c>
    </row>
    <row r="482" spans="1:23" x14ac:dyDescent="0.2">
      <c r="A482">
        <v>477</v>
      </c>
      <c r="B482">
        <v>583.42407276755932</v>
      </c>
      <c r="C482">
        <v>2734.4992526669421</v>
      </c>
      <c r="D482">
        <v>825.06688092536172</v>
      </c>
      <c r="E482">
        <v>1103.579852410538</v>
      </c>
      <c r="F482">
        <v>0.96279144880355472</v>
      </c>
      <c r="G482">
        <v>0.7570319096177428</v>
      </c>
      <c r="H482">
        <v>8.8404799537002074E-3</v>
      </c>
      <c r="I482">
        <v>0.10944442588189086</v>
      </c>
      <c r="J482">
        <v>0.39954635752673817</v>
      </c>
      <c r="L482">
        <v>12946.083149354847</v>
      </c>
      <c r="M482">
        <v>10.939812379451524</v>
      </c>
      <c r="N482">
        <v>9.93830566591331</v>
      </c>
      <c r="O482">
        <v>19716.548348235181</v>
      </c>
      <c r="P482">
        <v>12.199191901520303</v>
      </c>
      <c r="Q482">
        <v>11.38488326377527</v>
      </c>
      <c r="S482">
        <f t="shared" si="30"/>
        <v>980884.48344197613</v>
      </c>
      <c r="T482">
        <f t="shared" si="31"/>
        <v>1118771.7780292919</v>
      </c>
      <c r="V482">
        <f t="shared" si="28"/>
        <v>0</v>
      </c>
      <c r="W482">
        <f t="shared" si="29"/>
        <v>1</v>
      </c>
    </row>
    <row r="483" spans="1:23" x14ac:dyDescent="0.2">
      <c r="A483">
        <v>478</v>
      </c>
      <c r="B483">
        <v>488.25132450510552</v>
      </c>
      <c r="C483">
        <v>3238.8318009089521</v>
      </c>
      <c r="D483">
        <v>957.09391892639303</v>
      </c>
      <c r="E483">
        <v>1514.1604050715541</v>
      </c>
      <c r="F483">
        <v>0.97768819793810291</v>
      </c>
      <c r="G483">
        <v>0.81181450291173651</v>
      </c>
      <c r="H483">
        <v>8.6081954697041704E-3</v>
      </c>
      <c r="I483">
        <v>0.16221442787759444</v>
      </c>
      <c r="J483">
        <v>0.44853260741128537</v>
      </c>
      <c r="L483">
        <v>11855.252378128658</v>
      </c>
      <c r="M483">
        <v>10.389118720215343</v>
      </c>
      <c r="N483">
        <v>9.781816336519034</v>
      </c>
      <c r="O483">
        <v>19972.258114615037</v>
      </c>
      <c r="P483">
        <v>11.723885186357272</v>
      </c>
      <c r="Q483">
        <v>11.216052907574472</v>
      </c>
      <c r="S483">
        <f t="shared" si="30"/>
        <v>966326.38127377466</v>
      </c>
      <c r="T483">
        <f t="shared" si="31"/>
        <v>1101633.0326428323</v>
      </c>
      <c r="V483">
        <f t="shared" si="28"/>
        <v>0</v>
      </c>
      <c r="W483">
        <f t="shared" si="29"/>
        <v>1</v>
      </c>
    </row>
    <row r="484" spans="1:23" x14ac:dyDescent="0.2">
      <c r="A484">
        <v>479</v>
      </c>
      <c r="B484">
        <v>708.29950223368223</v>
      </c>
      <c r="C484">
        <v>3225.0076710882317</v>
      </c>
      <c r="D484">
        <v>975.40124753614737</v>
      </c>
      <c r="E484">
        <v>1343.0841234955483</v>
      </c>
      <c r="F484">
        <v>0.97079440541329942</v>
      </c>
      <c r="G484">
        <v>0.75605111694819438</v>
      </c>
      <c r="H484">
        <v>9.9071820087201154E-3</v>
      </c>
      <c r="I484">
        <v>9.1693873964298178E-2</v>
      </c>
      <c r="J484">
        <v>0.54712668429415223</v>
      </c>
      <c r="L484">
        <v>16590.447721872984</v>
      </c>
      <c r="M484">
        <v>11.050501727978777</v>
      </c>
      <c r="N484">
        <v>10.014895211192171</v>
      </c>
      <c r="O484">
        <v>24088.606840200402</v>
      </c>
      <c r="P484">
        <v>11.861552685173324</v>
      </c>
      <c r="Q484">
        <v>10.983927776157289</v>
      </c>
      <c r="S484">
        <f t="shared" si="30"/>
        <v>984899.07339734409</v>
      </c>
      <c r="T484">
        <f t="shared" si="31"/>
        <v>1074304.1707755285</v>
      </c>
      <c r="V484">
        <f t="shared" si="28"/>
        <v>0</v>
      </c>
      <c r="W484">
        <f t="shared" si="29"/>
        <v>1</v>
      </c>
    </row>
    <row r="485" spans="1:23" x14ac:dyDescent="0.2">
      <c r="A485">
        <v>480</v>
      </c>
      <c r="B485">
        <v>410.46080015550262</v>
      </c>
      <c r="C485">
        <v>3140.93504059409</v>
      </c>
      <c r="D485">
        <v>875.44339662425364</v>
      </c>
      <c r="E485">
        <v>1023.777656635823</v>
      </c>
      <c r="F485">
        <v>0.94491977986803899</v>
      </c>
      <c r="G485">
        <v>0.81970214082480009</v>
      </c>
      <c r="H485">
        <v>1.0298559446956247E-2</v>
      </c>
      <c r="I485">
        <v>0.20413129281020559</v>
      </c>
      <c r="J485">
        <v>0.57079585930021881</v>
      </c>
      <c r="L485">
        <v>10107.458169963362</v>
      </c>
      <c r="M485">
        <v>9.7052610917752986</v>
      </c>
      <c r="N485">
        <v>8.9098249929281703</v>
      </c>
      <c r="O485">
        <v>17223.158510038735</v>
      </c>
      <c r="P485">
        <v>10.793250620601206</v>
      </c>
      <c r="Q485">
        <v>9.9958811919018036</v>
      </c>
      <c r="S485">
        <f t="shared" si="30"/>
        <v>880875.04112285376</v>
      </c>
      <c r="T485">
        <f t="shared" si="31"/>
        <v>982364.96068014158</v>
      </c>
      <c r="V485">
        <f t="shared" si="28"/>
        <v>0</v>
      </c>
      <c r="W485">
        <f t="shared" si="29"/>
        <v>1</v>
      </c>
    </row>
    <row r="486" spans="1:23" x14ac:dyDescent="0.2">
      <c r="A486">
        <v>481</v>
      </c>
      <c r="B486">
        <v>428.98203419275336</v>
      </c>
      <c r="C486">
        <v>2504.9742549915563</v>
      </c>
      <c r="D486">
        <v>1199.7391030828937</v>
      </c>
      <c r="E486">
        <v>1286.9599186255709</v>
      </c>
      <c r="F486">
        <v>0.9415042332939052</v>
      </c>
      <c r="G486">
        <v>0.67386783119378735</v>
      </c>
      <c r="H486">
        <v>1.1192486163737561E-2</v>
      </c>
      <c r="I486">
        <v>0.15690189084100636</v>
      </c>
      <c r="J486">
        <v>0.40097752331471354</v>
      </c>
      <c r="L486">
        <v>10130.701382543934</v>
      </c>
      <c r="M486">
        <v>9.9597851875726029</v>
      </c>
      <c r="N486">
        <v>8.6888983193131857</v>
      </c>
      <c r="O486">
        <v>20571.53605889593</v>
      </c>
      <c r="P486">
        <v>11.531821581656514</v>
      </c>
      <c r="Q486">
        <v>10.413072659666179</v>
      </c>
      <c r="S486">
        <f t="shared" si="30"/>
        <v>858759.13054877473</v>
      </c>
      <c r="T486">
        <f t="shared" si="31"/>
        <v>1020735.729907722</v>
      </c>
      <c r="V486">
        <f t="shared" si="28"/>
        <v>0</v>
      </c>
      <c r="W486">
        <f t="shared" si="29"/>
        <v>1</v>
      </c>
    </row>
    <row r="487" spans="1:23" x14ac:dyDescent="0.2">
      <c r="A487">
        <v>482</v>
      </c>
      <c r="B487">
        <v>442.71920640887322</v>
      </c>
      <c r="C487">
        <v>2604.9868900082292</v>
      </c>
      <c r="D487">
        <v>1112.8450202317415</v>
      </c>
      <c r="E487">
        <v>1292.5376663071058</v>
      </c>
      <c r="F487">
        <v>0.91662432456373411</v>
      </c>
      <c r="G487">
        <v>0.77047181720681168</v>
      </c>
      <c r="H487">
        <v>1.123289206176188E-2</v>
      </c>
      <c r="I487">
        <v>0.13155218741276645</v>
      </c>
      <c r="J487">
        <v>0.559593117677473</v>
      </c>
      <c r="L487">
        <v>11238.652279786775</v>
      </c>
      <c r="M487">
        <v>10.250838540447237</v>
      </c>
      <c r="N487">
        <v>8.9762905839303517</v>
      </c>
      <c r="O487">
        <v>20145.317884499786</v>
      </c>
      <c r="P487">
        <v>11.211380337311557</v>
      </c>
      <c r="Q487">
        <v>9.9523934236927456</v>
      </c>
      <c r="S487">
        <f t="shared" si="30"/>
        <v>886390.40611324843</v>
      </c>
      <c r="T487">
        <f t="shared" si="31"/>
        <v>975094.0244847748</v>
      </c>
      <c r="V487">
        <f t="shared" si="28"/>
        <v>0</v>
      </c>
      <c r="W487">
        <f t="shared" si="29"/>
        <v>1</v>
      </c>
    </row>
    <row r="488" spans="1:23" x14ac:dyDescent="0.2">
      <c r="A488">
        <v>483</v>
      </c>
      <c r="B488">
        <v>611.11117148866617</v>
      </c>
      <c r="C488">
        <v>3045.9509404298901</v>
      </c>
      <c r="D488">
        <v>1106.8506533811039</v>
      </c>
      <c r="E488">
        <v>839.56468142870824</v>
      </c>
      <c r="F488">
        <v>0.99326864398996029</v>
      </c>
      <c r="G488">
        <v>0.80830773733464856</v>
      </c>
      <c r="H488">
        <v>9.491573188769177E-3</v>
      </c>
      <c r="I488">
        <v>0.1912484896726615</v>
      </c>
      <c r="J488">
        <v>0.4665331066074519</v>
      </c>
      <c r="L488">
        <v>11569.743983473301</v>
      </c>
      <c r="M488">
        <v>9.9631690842776361</v>
      </c>
      <c r="N488">
        <v>9.505491369280259</v>
      </c>
      <c r="O488">
        <v>21666.204072579992</v>
      </c>
      <c r="P488">
        <v>11.355393869318785</v>
      </c>
      <c r="Q488">
        <v>11.010804765360671</v>
      </c>
      <c r="S488">
        <f t="shared" si="30"/>
        <v>938979.39294455259</v>
      </c>
      <c r="T488">
        <f t="shared" si="31"/>
        <v>1079414.2724634872</v>
      </c>
      <c r="V488">
        <f t="shared" si="28"/>
        <v>0</v>
      </c>
      <c r="W488">
        <f t="shared" si="29"/>
        <v>1</v>
      </c>
    </row>
    <row r="489" spans="1:23" x14ac:dyDescent="0.2">
      <c r="A489">
        <v>484</v>
      </c>
      <c r="B489">
        <v>369.40092607362743</v>
      </c>
      <c r="C489">
        <v>3337.0649716629532</v>
      </c>
      <c r="D489">
        <v>1106.461482763907</v>
      </c>
      <c r="E489">
        <v>1181.2206431561394</v>
      </c>
      <c r="F489">
        <v>0.96109538380340431</v>
      </c>
      <c r="G489">
        <v>0.76758068321427031</v>
      </c>
      <c r="H489">
        <v>8.2479186160289344E-3</v>
      </c>
      <c r="I489">
        <v>0.19942710390297946</v>
      </c>
      <c r="J489">
        <v>0.50037554277162655</v>
      </c>
      <c r="L489">
        <v>9953.9319583103916</v>
      </c>
      <c r="M489">
        <v>10.178523998938342</v>
      </c>
      <c r="N489">
        <v>9.4083398734790062</v>
      </c>
      <c r="O489">
        <v>19704.908781829556</v>
      </c>
      <c r="P489">
        <v>11.4308400121511</v>
      </c>
      <c r="Q489">
        <v>10.724520732191934</v>
      </c>
      <c r="S489">
        <f t="shared" si="30"/>
        <v>930880.05538959021</v>
      </c>
      <c r="T489">
        <f t="shared" si="31"/>
        <v>1052747.1644373639</v>
      </c>
      <c r="V489">
        <f t="shared" si="28"/>
        <v>0</v>
      </c>
      <c r="W489">
        <f t="shared" si="29"/>
        <v>1</v>
      </c>
    </row>
    <row r="490" spans="1:23" x14ac:dyDescent="0.2">
      <c r="A490">
        <v>485</v>
      </c>
      <c r="B490">
        <v>507.03532150949479</v>
      </c>
      <c r="C490">
        <v>3219.1083709393374</v>
      </c>
      <c r="D490">
        <v>933.7415797662095</v>
      </c>
      <c r="E490">
        <v>1400.3267032782342</v>
      </c>
      <c r="F490">
        <v>0.97327097564899723</v>
      </c>
      <c r="G490">
        <v>0.84404954205322047</v>
      </c>
      <c r="H490">
        <v>1.0079978950327072E-2</v>
      </c>
      <c r="I490">
        <v>0.17711879718657775</v>
      </c>
      <c r="J490">
        <v>0.47897208407653458</v>
      </c>
      <c r="L490">
        <v>11800.071491208932</v>
      </c>
      <c r="M490">
        <v>9.9622059400547016</v>
      </c>
      <c r="N490">
        <v>9.4013071591668744</v>
      </c>
      <c r="O490">
        <v>19515.414626430527</v>
      </c>
      <c r="P490">
        <v>11.290614177581261</v>
      </c>
      <c r="Q490">
        <v>10.781690831450668</v>
      </c>
      <c r="S490">
        <f t="shared" si="30"/>
        <v>928330.64442547841</v>
      </c>
      <c r="T490">
        <f t="shared" si="31"/>
        <v>1058653.6685186364</v>
      </c>
      <c r="V490">
        <f t="shared" si="28"/>
        <v>0</v>
      </c>
      <c r="W490">
        <f t="shared" si="29"/>
        <v>1</v>
      </c>
    </row>
    <row r="491" spans="1:23" x14ac:dyDescent="0.2">
      <c r="A491">
        <v>486</v>
      </c>
      <c r="B491">
        <v>685.60848518787657</v>
      </c>
      <c r="C491">
        <v>2202.7873213796502</v>
      </c>
      <c r="D491">
        <v>942.00893217455132</v>
      </c>
      <c r="E491">
        <v>777.84880123296045</v>
      </c>
      <c r="F491">
        <v>0.96042035997628683</v>
      </c>
      <c r="G491">
        <v>0.73584390052037907</v>
      </c>
      <c r="H491">
        <v>1.0760974027868483E-2</v>
      </c>
      <c r="I491">
        <v>0.19830134461082671</v>
      </c>
      <c r="J491">
        <v>0.54713752461600051</v>
      </c>
      <c r="L491">
        <v>10238.141277216639</v>
      </c>
      <c r="M491">
        <v>9.6610044983714776</v>
      </c>
      <c r="N491">
        <v>8.7929770666547338</v>
      </c>
      <c r="O491">
        <v>18822.614838587928</v>
      </c>
      <c r="P491">
        <v>10.823137909954799</v>
      </c>
      <c r="Q491">
        <v>10.023242011484948</v>
      </c>
      <c r="S491">
        <f t="shared" si="30"/>
        <v>869059.5653882568</v>
      </c>
      <c r="T491">
        <f t="shared" si="31"/>
        <v>983501.58630990679</v>
      </c>
      <c r="V491">
        <f t="shared" si="28"/>
        <v>0</v>
      </c>
      <c r="W491">
        <f t="shared" si="29"/>
        <v>1</v>
      </c>
    </row>
    <row r="492" spans="1:23" x14ac:dyDescent="0.2">
      <c r="A492">
        <v>487</v>
      </c>
      <c r="B492">
        <v>365.4403729465929</v>
      </c>
      <c r="C492">
        <v>2958.8710036687403</v>
      </c>
      <c r="D492">
        <v>1032.3572856810654</v>
      </c>
      <c r="E492">
        <v>786.34931232229144</v>
      </c>
      <c r="F492">
        <v>0.97412762808810582</v>
      </c>
      <c r="G492">
        <v>0.80234275590541482</v>
      </c>
      <c r="H492">
        <v>1.012523296363853E-2</v>
      </c>
      <c r="I492">
        <v>0.14258414690274662</v>
      </c>
      <c r="J492">
        <v>0.5117719726469433</v>
      </c>
      <c r="L492">
        <v>10871.384246737933</v>
      </c>
      <c r="M492">
        <v>10.297013443762079</v>
      </c>
      <c r="N492">
        <v>9.5792657346839718</v>
      </c>
      <c r="O492">
        <v>19149.54555212651</v>
      </c>
      <c r="P492">
        <v>11.414601177392429</v>
      </c>
      <c r="Q492">
        <v>10.791329257906828</v>
      </c>
      <c r="S492">
        <f t="shared" si="30"/>
        <v>947055.18922165921</v>
      </c>
      <c r="T492">
        <f t="shared" si="31"/>
        <v>1059983.3802385561</v>
      </c>
      <c r="V492">
        <f t="shared" si="28"/>
        <v>0</v>
      </c>
      <c r="W492">
        <f t="shared" si="29"/>
        <v>1</v>
      </c>
    </row>
    <row r="493" spans="1:23" x14ac:dyDescent="0.2">
      <c r="A493">
        <v>488</v>
      </c>
      <c r="B493">
        <v>589.55228426580095</v>
      </c>
      <c r="C493">
        <v>2551.9614034683118</v>
      </c>
      <c r="D493">
        <v>990.58653029064646</v>
      </c>
      <c r="E493">
        <v>729.69216187497307</v>
      </c>
      <c r="F493">
        <v>0.96938313924961172</v>
      </c>
      <c r="G493">
        <v>0.81433675917029247</v>
      </c>
      <c r="H493">
        <v>9.3449772687263406E-3</v>
      </c>
      <c r="I493">
        <v>0.10450105623570739</v>
      </c>
      <c r="J493">
        <v>0.48750174621858677</v>
      </c>
      <c r="L493">
        <v>12624.422383082068</v>
      </c>
      <c r="M493">
        <v>10.92746325411234</v>
      </c>
      <c r="N493">
        <v>10.122730619058688</v>
      </c>
      <c r="O493">
        <v>21061.829322516562</v>
      </c>
      <c r="P493">
        <v>11.935578070847191</v>
      </c>
      <c r="Q493">
        <v>11.24440293410056</v>
      </c>
      <c r="S493">
        <f t="shared" si="30"/>
        <v>999648.63952278672</v>
      </c>
      <c r="T493">
        <f t="shared" si="31"/>
        <v>1103378.4640875396</v>
      </c>
      <c r="V493">
        <f t="shared" si="28"/>
        <v>0</v>
      </c>
      <c r="W493">
        <f t="shared" si="29"/>
        <v>1</v>
      </c>
    </row>
    <row r="494" spans="1:23" x14ac:dyDescent="0.2">
      <c r="A494">
        <v>489</v>
      </c>
      <c r="B494">
        <v>265.85623449596579</v>
      </c>
      <c r="C494">
        <v>2826.6426259047225</v>
      </c>
      <c r="D494">
        <v>976.16930386724914</v>
      </c>
      <c r="E494">
        <v>844.9171688580974</v>
      </c>
      <c r="F494">
        <v>0.92494580616245647</v>
      </c>
      <c r="G494">
        <v>0.77773435495187848</v>
      </c>
      <c r="H494">
        <v>9.2134128718822286E-3</v>
      </c>
      <c r="I494">
        <v>0.1391223472298109</v>
      </c>
      <c r="J494">
        <v>0.48346783161464302</v>
      </c>
      <c r="L494">
        <v>9662.8579843709831</v>
      </c>
      <c r="M494">
        <v>10.500344888182696</v>
      </c>
      <c r="N494">
        <v>9.3345783367719513</v>
      </c>
      <c r="O494">
        <v>17513.095919739426</v>
      </c>
      <c r="P494">
        <v>11.666712092356502</v>
      </c>
      <c r="Q494">
        <v>10.529654969584705</v>
      </c>
      <c r="S494">
        <f t="shared" si="30"/>
        <v>923794.97569282411</v>
      </c>
      <c r="T494">
        <f t="shared" si="31"/>
        <v>1035452.401038731</v>
      </c>
      <c r="V494">
        <f t="shared" si="28"/>
        <v>0</v>
      </c>
      <c r="W494">
        <f t="shared" si="29"/>
        <v>1</v>
      </c>
    </row>
    <row r="495" spans="1:23" x14ac:dyDescent="0.2">
      <c r="A495">
        <v>490</v>
      </c>
      <c r="B495">
        <v>474.39372316885402</v>
      </c>
      <c r="C495">
        <v>1978.4805313887282</v>
      </c>
      <c r="D495">
        <v>791.2951281437812</v>
      </c>
      <c r="E495">
        <v>1215.5433121302331</v>
      </c>
      <c r="F495">
        <v>0.96958656896367046</v>
      </c>
      <c r="G495">
        <v>0.64164468819798015</v>
      </c>
      <c r="H495">
        <v>9.9217238153087584E-3</v>
      </c>
      <c r="I495">
        <v>0.16806224213720178</v>
      </c>
      <c r="J495">
        <v>0.55868200230487797</v>
      </c>
      <c r="L495">
        <v>8787.4458047184144</v>
      </c>
      <c r="M495">
        <v>10.073269968812557</v>
      </c>
      <c r="N495">
        <v>8.9973818977173199</v>
      </c>
      <c r="O495">
        <v>15713.046248342907</v>
      </c>
      <c r="P495">
        <v>11.118218550005961</v>
      </c>
      <c r="Q495">
        <v>10.193320359897371</v>
      </c>
      <c r="S495">
        <f t="shared" si="30"/>
        <v>890950.74396701355</v>
      </c>
      <c r="T495">
        <f t="shared" si="31"/>
        <v>1003618.9897413941</v>
      </c>
      <c r="V495">
        <f t="shared" si="28"/>
        <v>0</v>
      </c>
      <c r="W495">
        <f t="shared" si="29"/>
        <v>1</v>
      </c>
    </row>
    <row r="496" spans="1:23" x14ac:dyDescent="0.2">
      <c r="A496">
        <v>491</v>
      </c>
      <c r="B496">
        <v>679.09558253198543</v>
      </c>
      <c r="C496">
        <v>2128.1186009779622</v>
      </c>
      <c r="D496">
        <v>1027.5208944376707</v>
      </c>
      <c r="E496">
        <v>1030.3476595555119</v>
      </c>
      <c r="F496">
        <v>0.97420692134178755</v>
      </c>
      <c r="G496">
        <v>0.76009654386888159</v>
      </c>
      <c r="H496">
        <v>9.6138925590022635E-3</v>
      </c>
      <c r="I496">
        <v>0.14738562431046495</v>
      </c>
      <c r="J496">
        <v>0.4105566182901042</v>
      </c>
      <c r="L496">
        <v>11053.975169770996</v>
      </c>
      <c r="M496">
        <v>10.335800341044175</v>
      </c>
      <c r="N496">
        <v>9.5295487587360626</v>
      </c>
      <c r="O496">
        <v>21022.176721386946</v>
      </c>
      <c r="P496">
        <v>11.782063491374171</v>
      </c>
      <c r="Q496">
        <v>11.136585962750994</v>
      </c>
      <c r="S496">
        <f t="shared" si="30"/>
        <v>941900.9007038353</v>
      </c>
      <c r="T496">
        <f t="shared" si="31"/>
        <v>1092636.4195537125</v>
      </c>
      <c r="V496">
        <f t="shared" si="28"/>
        <v>0</v>
      </c>
      <c r="W496">
        <f t="shared" si="29"/>
        <v>1</v>
      </c>
    </row>
    <row r="497" spans="1:23" x14ac:dyDescent="0.2">
      <c r="A497">
        <v>492</v>
      </c>
      <c r="B497">
        <v>666.00799286889207</v>
      </c>
      <c r="C497">
        <v>3116.2201395191241</v>
      </c>
      <c r="D497">
        <v>1017.2446448783223</v>
      </c>
      <c r="E497">
        <v>1102.7881441712764</v>
      </c>
      <c r="F497">
        <v>0.94774111797935179</v>
      </c>
      <c r="G497">
        <v>0.74299955504496584</v>
      </c>
      <c r="H497">
        <v>9.3611635749405783E-3</v>
      </c>
      <c r="I497">
        <v>0.16588291116570553</v>
      </c>
      <c r="J497">
        <v>0.61942039055636966</v>
      </c>
      <c r="L497">
        <v>12880.979780819556</v>
      </c>
      <c r="M497">
        <v>10.201689656608476</v>
      </c>
      <c r="N497">
        <v>9.1952962611409035</v>
      </c>
      <c r="O497">
        <v>21598.037965605745</v>
      </c>
      <c r="P497">
        <v>11.057317513647812</v>
      </c>
      <c r="Q497">
        <v>10.101163539050765</v>
      </c>
      <c r="S497">
        <f t="shared" si="30"/>
        <v>906648.64633327082</v>
      </c>
      <c r="T497">
        <f t="shared" si="31"/>
        <v>988518.31593947078</v>
      </c>
      <c r="V497">
        <f t="shared" si="28"/>
        <v>0</v>
      </c>
      <c r="W497">
        <f t="shared" si="29"/>
        <v>1</v>
      </c>
    </row>
    <row r="498" spans="1:23" x14ac:dyDescent="0.2">
      <c r="A498">
        <v>493</v>
      </c>
      <c r="B498">
        <v>782.37923623022778</v>
      </c>
      <c r="C498">
        <v>2663.4547590516831</v>
      </c>
      <c r="D498">
        <v>972.11780103335764</v>
      </c>
      <c r="E498">
        <v>1122.3378257123284</v>
      </c>
      <c r="F498">
        <v>0.90365707719224353</v>
      </c>
      <c r="G498">
        <v>0.79722904558156049</v>
      </c>
      <c r="H498">
        <v>9.7196348289757001E-3</v>
      </c>
      <c r="I498">
        <v>0.12045587095757489</v>
      </c>
      <c r="J498">
        <v>0.492535942413595</v>
      </c>
      <c r="L498">
        <v>14078.525537968733</v>
      </c>
      <c r="M498">
        <v>10.638831287382338</v>
      </c>
      <c r="N498">
        <v>9.3100833593975025</v>
      </c>
      <c r="O498">
        <v>22656.467836515942</v>
      </c>
      <c r="P498">
        <v>11.717947588282627</v>
      </c>
      <c r="Q498">
        <v>10.375226360376306</v>
      </c>
      <c r="S498">
        <f t="shared" si="30"/>
        <v>916929.81040178158</v>
      </c>
      <c r="T498">
        <f t="shared" si="31"/>
        <v>1014866.1682011146</v>
      </c>
      <c r="V498">
        <f t="shared" si="28"/>
        <v>0</v>
      </c>
      <c r="W498">
        <f t="shared" si="29"/>
        <v>1</v>
      </c>
    </row>
    <row r="499" spans="1:23" x14ac:dyDescent="0.2">
      <c r="A499">
        <v>494</v>
      </c>
      <c r="B499">
        <v>585.43800491772083</v>
      </c>
      <c r="C499">
        <v>2365.6819917285934</v>
      </c>
      <c r="D499">
        <v>1090.1209039227474</v>
      </c>
      <c r="E499">
        <v>1053.312403841325</v>
      </c>
      <c r="F499">
        <v>0.97831293253613483</v>
      </c>
      <c r="G499">
        <v>0.86040764159937577</v>
      </c>
      <c r="H499">
        <v>1.1448609584301495E-2</v>
      </c>
      <c r="I499">
        <v>0.1557609925151876</v>
      </c>
      <c r="J499">
        <v>0.43029980783906507</v>
      </c>
      <c r="L499">
        <v>10880.120411912047</v>
      </c>
      <c r="M499">
        <v>9.9304016824517944</v>
      </c>
      <c r="N499">
        <v>9.40780244796467</v>
      </c>
      <c r="O499">
        <v>20595.835287725466</v>
      </c>
      <c r="P499">
        <v>11.395156740991348</v>
      </c>
      <c r="Q499">
        <v>10.940625232132414</v>
      </c>
      <c r="S499">
        <f t="shared" si="30"/>
        <v>929900.12438455492</v>
      </c>
      <c r="T499">
        <f t="shared" si="31"/>
        <v>1073466.6879255157</v>
      </c>
      <c r="V499">
        <f t="shared" si="28"/>
        <v>0</v>
      </c>
      <c r="W499">
        <f t="shared" si="29"/>
        <v>1</v>
      </c>
    </row>
    <row r="500" spans="1:23" x14ac:dyDescent="0.2">
      <c r="A500">
        <v>495</v>
      </c>
      <c r="B500">
        <v>362.61708532760281</v>
      </c>
      <c r="C500">
        <v>3308.7692157203742</v>
      </c>
      <c r="D500">
        <v>1062.9143857329298</v>
      </c>
      <c r="E500">
        <v>981.93070834741218</v>
      </c>
      <c r="F500">
        <v>0.98820761666913159</v>
      </c>
      <c r="G500">
        <v>0.78112702239610654</v>
      </c>
      <c r="H500">
        <v>9.4705227699959007E-3</v>
      </c>
      <c r="I500">
        <v>0.1188317293730313</v>
      </c>
      <c r="J500">
        <v>0.55528842406996748</v>
      </c>
      <c r="L500">
        <v>12594.877188116694</v>
      </c>
      <c r="M500">
        <v>10.702596801461533</v>
      </c>
      <c r="N500">
        <v>9.9872324033946001</v>
      </c>
      <c r="O500">
        <v>20807.285487933634</v>
      </c>
      <c r="P500">
        <v>11.601604988419679</v>
      </c>
      <c r="Q500">
        <v>11.022781054486323</v>
      </c>
      <c r="S500">
        <f t="shared" si="30"/>
        <v>986128.36315134331</v>
      </c>
      <c r="T500">
        <f t="shared" si="31"/>
        <v>1081470.8199606987</v>
      </c>
      <c r="V500">
        <f t="shared" si="28"/>
        <v>0</v>
      </c>
      <c r="W500">
        <f t="shared" si="29"/>
        <v>1</v>
      </c>
    </row>
    <row r="501" spans="1:23" x14ac:dyDescent="0.2">
      <c r="A501">
        <v>496</v>
      </c>
      <c r="B501">
        <v>490.65839976816591</v>
      </c>
      <c r="C501">
        <v>3333.2750076888865</v>
      </c>
      <c r="D501">
        <v>1084.2996967614788</v>
      </c>
      <c r="E501">
        <v>1084.2944842088218</v>
      </c>
      <c r="F501">
        <v>0.90597105190824556</v>
      </c>
      <c r="G501">
        <v>0.64148445171954693</v>
      </c>
      <c r="H501">
        <v>9.2314754159629822E-3</v>
      </c>
      <c r="I501">
        <v>0.13963666694808111</v>
      </c>
      <c r="J501">
        <v>0.44595119370334063</v>
      </c>
      <c r="L501">
        <v>12817.983619390838</v>
      </c>
      <c r="M501">
        <v>10.491235727106654</v>
      </c>
      <c r="N501">
        <v>8.8271693320774691</v>
      </c>
      <c r="O501">
        <v>21772.615369892286</v>
      </c>
      <c r="P501">
        <v>11.775031379319429</v>
      </c>
      <c r="Q501">
        <v>10.220855141441579</v>
      </c>
      <c r="S501">
        <f t="shared" si="30"/>
        <v>869898.94958835607</v>
      </c>
      <c r="T501">
        <f t="shared" si="31"/>
        <v>1000312.8987742655</v>
      </c>
      <c r="V501">
        <f t="shared" si="28"/>
        <v>0</v>
      </c>
      <c r="W501">
        <f t="shared" si="29"/>
        <v>1</v>
      </c>
    </row>
    <row r="502" spans="1:23" x14ac:dyDescent="0.2">
      <c r="A502">
        <v>497</v>
      </c>
      <c r="B502">
        <v>307.2076727622279</v>
      </c>
      <c r="C502">
        <v>2767.6025854072859</v>
      </c>
      <c r="D502">
        <v>876.92289804516042</v>
      </c>
      <c r="E502">
        <v>862.6094813985984</v>
      </c>
      <c r="F502">
        <v>0.96314067518655466</v>
      </c>
      <c r="G502">
        <v>0.90770798012418163</v>
      </c>
      <c r="H502">
        <v>1.0373204327593073E-2</v>
      </c>
      <c r="I502">
        <v>0.17592808291810857</v>
      </c>
      <c r="J502">
        <v>0.50630834676996972</v>
      </c>
      <c r="L502">
        <v>9097.1402684221284</v>
      </c>
      <c r="M502">
        <v>9.9178535581116698</v>
      </c>
      <c r="N502">
        <v>9.4238942688601224</v>
      </c>
      <c r="O502">
        <v>16139.693039855714</v>
      </c>
      <c r="P502">
        <v>11.157642471202097</v>
      </c>
      <c r="Q502">
        <v>10.652856176520737</v>
      </c>
      <c r="S502">
        <f t="shared" si="30"/>
        <v>933292.28661759011</v>
      </c>
      <c r="T502">
        <f t="shared" si="31"/>
        <v>1049145.924612218</v>
      </c>
      <c r="V502">
        <f t="shared" si="28"/>
        <v>0</v>
      </c>
      <c r="W502">
        <f t="shared" si="29"/>
        <v>1</v>
      </c>
    </row>
    <row r="503" spans="1:23" x14ac:dyDescent="0.2">
      <c r="A503">
        <v>498</v>
      </c>
      <c r="B503">
        <v>476.35658666620816</v>
      </c>
      <c r="C503">
        <v>3353.7898130554231</v>
      </c>
      <c r="D503">
        <v>884.36405043784725</v>
      </c>
      <c r="E503">
        <v>1139.2467130513121</v>
      </c>
      <c r="F503">
        <v>0.90467438107661657</v>
      </c>
      <c r="G503">
        <v>0.80014281055067582</v>
      </c>
      <c r="H503">
        <v>1.2247019915971545E-2</v>
      </c>
      <c r="I503">
        <v>0.15829762058897567</v>
      </c>
      <c r="J503">
        <v>0.5195128549005319</v>
      </c>
      <c r="L503">
        <v>12739.451681069213</v>
      </c>
      <c r="M503">
        <v>9.7786877506579586</v>
      </c>
      <c r="N503">
        <v>8.5702645224731029</v>
      </c>
      <c r="O503">
        <v>19247.743293887695</v>
      </c>
      <c r="P503">
        <v>10.956531051558633</v>
      </c>
      <c r="Q503">
        <v>9.7034075048816995</v>
      </c>
      <c r="S503">
        <f t="shared" si="30"/>
        <v>844287.0005662411</v>
      </c>
      <c r="T503">
        <f t="shared" si="31"/>
        <v>951093.00719428225</v>
      </c>
      <c r="V503">
        <f t="shared" si="28"/>
        <v>0</v>
      </c>
      <c r="W503">
        <f t="shared" si="29"/>
        <v>1</v>
      </c>
    </row>
    <row r="504" spans="1:23" x14ac:dyDescent="0.2">
      <c r="A504">
        <v>499</v>
      </c>
      <c r="B504">
        <v>476.20427099952963</v>
      </c>
      <c r="C504">
        <v>2084.905214116462</v>
      </c>
      <c r="D504">
        <v>718.46692505489557</v>
      </c>
      <c r="E504">
        <v>842.22614375426815</v>
      </c>
      <c r="F504">
        <v>0.96946954031714005</v>
      </c>
      <c r="G504">
        <v>0.74518937452048073</v>
      </c>
      <c r="H504">
        <v>9.4551185622024289E-3</v>
      </c>
      <c r="I504">
        <v>0.14775360370808069</v>
      </c>
      <c r="J504">
        <v>0.47337447975040725</v>
      </c>
      <c r="L504">
        <v>9265.8586444105749</v>
      </c>
      <c r="M504">
        <v>10.361445686945595</v>
      </c>
      <c r="N504">
        <v>9.4845561078716827</v>
      </c>
      <c r="O504">
        <v>15599.16142655777</v>
      </c>
      <c r="P504">
        <v>11.597571014992232</v>
      </c>
      <c r="Q504">
        <v>10.858031729831161</v>
      </c>
      <c r="S504">
        <f t="shared" si="30"/>
        <v>939189.75214275764</v>
      </c>
      <c r="T504">
        <f t="shared" si="31"/>
        <v>1070204.0115565585</v>
      </c>
      <c r="V504">
        <f t="shared" si="28"/>
        <v>0</v>
      </c>
      <c r="W504">
        <f t="shared" si="29"/>
        <v>1</v>
      </c>
    </row>
    <row r="505" spans="1:23" x14ac:dyDescent="0.2">
      <c r="A505">
        <v>500</v>
      </c>
      <c r="B505">
        <v>408.74214380329244</v>
      </c>
      <c r="C505">
        <v>3018.0639095007532</v>
      </c>
      <c r="D505">
        <v>1004.0323924716307</v>
      </c>
      <c r="E505">
        <v>1230.1600752305037</v>
      </c>
      <c r="F505">
        <v>0.93746920507757403</v>
      </c>
      <c r="G505">
        <v>0.7215278673573261</v>
      </c>
      <c r="H505">
        <v>9.9363322679251135E-3</v>
      </c>
      <c r="I505">
        <v>0.15194904814880417</v>
      </c>
      <c r="J505">
        <v>0.40405028037588309</v>
      </c>
      <c r="L505">
        <v>11188.490562914898</v>
      </c>
      <c r="M505">
        <v>10.22868000865849</v>
      </c>
      <c r="N505">
        <v>9.0479071555168993</v>
      </c>
      <c r="O505">
        <v>19407.091697392549</v>
      </c>
      <c r="P505">
        <v>11.72875896938776</v>
      </c>
      <c r="Q505">
        <v>10.6535236888106</v>
      </c>
      <c r="S505">
        <f t="shared" si="30"/>
        <v>893602.22498877509</v>
      </c>
      <c r="T505">
        <f t="shared" si="31"/>
        <v>1045945.2771836675</v>
      </c>
      <c r="V505">
        <f t="shared" si="28"/>
        <v>0</v>
      </c>
      <c r="W505">
        <f t="shared" si="29"/>
        <v>1</v>
      </c>
    </row>
    <row r="506" spans="1:23" x14ac:dyDescent="0.2">
      <c r="A506">
        <v>501</v>
      </c>
      <c r="B506">
        <v>484.88019728559146</v>
      </c>
      <c r="C506">
        <v>2805.2800090476749</v>
      </c>
      <c r="D506">
        <v>1042.9658641613855</v>
      </c>
      <c r="E506">
        <v>695.8094292599576</v>
      </c>
      <c r="F506">
        <v>0.93268000661371875</v>
      </c>
      <c r="G506">
        <v>0.74640358918943328</v>
      </c>
      <c r="H506">
        <v>1.0007553286200604E-2</v>
      </c>
      <c r="I506">
        <v>0.14945045280372249</v>
      </c>
      <c r="J506">
        <v>0.49017139700932244</v>
      </c>
      <c r="L506">
        <v>11123.459393470343</v>
      </c>
      <c r="M506">
        <v>10.242221243292574</v>
      </c>
      <c r="N506">
        <v>9.0796296213662462</v>
      </c>
      <c r="O506">
        <v>19975.121094640079</v>
      </c>
      <c r="P506">
        <v>11.446758855905697</v>
      </c>
      <c r="Q506">
        <v>10.340909493666645</v>
      </c>
      <c r="S506">
        <f t="shared" si="30"/>
        <v>896839.5027431543</v>
      </c>
      <c r="T506">
        <f t="shared" si="31"/>
        <v>1014115.8282720244</v>
      </c>
      <c r="V506">
        <f t="shared" si="28"/>
        <v>0</v>
      </c>
      <c r="W506">
        <f t="shared" si="29"/>
        <v>1</v>
      </c>
    </row>
    <row r="507" spans="1:23" x14ac:dyDescent="0.2">
      <c r="A507">
        <v>502</v>
      </c>
      <c r="B507">
        <v>521.36805317841709</v>
      </c>
      <c r="C507">
        <v>3748.4976573909503</v>
      </c>
      <c r="D507">
        <v>917.77857378001443</v>
      </c>
      <c r="E507">
        <v>1019.791030945955</v>
      </c>
      <c r="F507">
        <v>0.93665050956669926</v>
      </c>
      <c r="G507">
        <v>0.71901774910559535</v>
      </c>
      <c r="H507">
        <v>1.0146196269231245E-2</v>
      </c>
      <c r="I507">
        <v>0.13570683856930121</v>
      </c>
      <c r="J507">
        <v>0.47359048241186774</v>
      </c>
      <c r="L507">
        <v>14528.327607097915</v>
      </c>
      <c r="M507">
        <v>10.373632222369151</v>
      </c>
      <c r="N507">
        <v>9.126729559136713</v>
      </c>
      <c r="O507">
        <v>21278.634638683281</v>
      </c>
      <c r="P507">
        <v>11.582832345659504</v>
      </c>
      <c r="Q507">
        <v>10.439250949897728</v>
      </c>
      <c r="S507">
        <f t="shared" si="30"/>
        <v>898144.62830657337</v>
      </c>
      <c r="T507">
        <f t="shared" si="31"/>
        <v>1022646.4603510895</v>
      </c>
      <c r="V507">
        <f t="shared" si="28"/>
        <v>0</v>
      </c>
      <c r="W507">
        <f t="shared" si="29"/>
        <v>1</v>
      </c>
    </row>
    <row r="508" spans="1:23" x14ac:dyDescent="0.2">
      <c r="A508">
        <v>503</v>
      </c>
      <c r="B508">
        <v>385.86295832665041</v>
      </c>
      <c r="C508">
        <v>3434.1958008992779</v>
      </c>
      <c r="D508">
        <v>1046.0867055731851</v>
      </c>
      <c r="E508">
        <v>1182.7105425729728</v>
      </c>
      <c r="F508">
        <v>0.95714677659993841</v>
      </c>
      <c r="G508">
        <v>0.88265443936000176</v>
      </c>
      <c r="H508">
        <v>1.056658850136391E-2</v>
      </c>
      <c r="I508">
        <v>0.21307121812661256</v>
      </c>
      <c r="J508">
        <v>0.56624094222771959</v>
      </c>
      <c r="L508">
        <v>10433.182804916238</v>
      </c>
      <c r="M508">
        <v>9.5897717554089787</v>
      </c>
      <c r="N508">
        <v>9.0268510793940884</v>
      </c>
      <c r="O508">
        <v>18915.866891860493</v>
      </c>
      <c r="P508">
        <v>10.712287043864611</v>
      </c>
      <c r="Q508">
        <v>10.135047365800911</v>
      </c>
      <c r="S508">
        <f t="shared" si="30"/>
        <v>892251.92513449257</v>
      </c>
      <c r="T508">
        <f t="shared" si="31"/>
        <v>994588.86968823068</v>
      </c>
      <c r="V508">
        <f t="shared" si="28"/>
        <v>0</v>
      </c>
      <c r="W508">
        <f t="shared" si="29"/>
        <v>1</v>
      </c>
    </row>
    <row r="509" spans="1:23" x14ac:dyDescent="0.2">
      <c r="A509">
        <v>504</v>
      </c>
      <c r="B509">
        <v>569.91307717159498</v>
      </c>
      <c r="C509">
        <v>3170.0130361886249</v>
      </c>
      <c r="D509">
        <v>904.66035566700259</v>
      </c>
      <c r="E509">
        <v>1158.504831849252</v>
      </c>
      <c r="F509">
        <v>0.94952516809111576</v>
      </c>
      <c r="G509">
        <v>0.78499360728461443</v>
      </c>
      <c r="H509">
        <v>9.2600708257113713E-3</v>
      </c>
      <c r="I509">
        <v>0.16670967818918314</v>
      </c>
      <c r="J509">
        <v>0.49136022710431404</v>
      </c>
      <c r="L509">
        <v>12228.032381796189</v>
      </c>
      <c r="M509">
        <v>10.21432757734661</v>
      </c>
      <c r="N509">
        <v>9.3213802014652778</v>
      </c>
      <c r="O509">
        <v>19923.927827881198</v>
      </c>
      <c r="P509">
        <v>11.448573400932599</v>
      </c>
      <c r="Q509">
        <v>10.605676672174035</v>
      </c>
      <c r="S509">
        <f t="shared" si="30"/>
        <v>919909.98776473163</v>
      </c>
      <c r="T509">
        <f t="shared" si="31"/>
        <v>1040643.7393895222</v>
      </c>
      <c r="V509">
        <f t="shared" si="28"/>
        <v>0</v>
      </c>
      <c r="W509">
        <f t="shared" si="29"/>
        <v>1</v>
      </c>
    </row>
    <row r="510" spans="1:23" x14ac:dyDescent="0.2">
      <c r="A510">
        <v>505</v>
      </c>
      <c r="B510">
        <v>293.78666416667977</v>
      </c>
      <c r="C510">
        <v>3408.2502134808669</v>
      </c>
      <c r="D510">
        <v>898.08473311123009</v>
      </c>
      <c r="E510">
        <v>1057.7539924842126</v>
      </c>
      <c r="F510">
        <v>0.88613221094605144</v>
      </c>
      <c r="G510">
        <v>0.74606051387186667</v>
      </c>
      <c r="H510">
        <v>9.8865333388785722E-3</v>
      </c>
      <c r="I510">
        <v>0.13264894144023459</v>
      </c>
      <c r="J510">
        <v>0.47752242151579483</v>
      </c>
      <c r="L510">
        <v>11918.748350160611</v>
      </c>
      <c r="M510">
        <v>10.454957939450866</v>
      </c>
      <c r="N510">
        <v>8.8837279838022898</v>
      </c>
      <c r="O510">
        <v>18315.785017316495</v>
      </c>
      <c r="P510">
        <v>11.633148552477007</v>
      </c>
      <c r="Q510">
        <v>10.043984549257557</v>
      </c>
      <c r="S510">
        <f t="shared" si="30"/>
        <v>876454.05003006826</v>
      </c>
      <c r="T510">
        <f t="shared" si="31"/>
        <v>986082.66990843927</v>
      </c>
      <c r="V510">
        <f t="shared" si="28"/>
        <v>0</v>
      </c>
      <c r="W510">
        <f t="shared" si="29"/>
        <v>1</v>
      </c>
    </row>
    <row r="511" spans="1:23" x14ac:dyDescent="0.2">
      <c r="A511">
        <v>506</v>
      </c>
      <c r="B511">
        <v>281.76855773851776</v>
      </c>
      <c r="C511">
        <v>3885.5823762801069</v>
      </c>
      <c r="D511">
        <v>1041.8686273371909</v>
      </c>
      <c r="E511">
        <v>1327.6482661968148</v>
      </c>
      <c r="F511">
        <v>0.93459643064471065</v>
      </c>
      <c r="G511">
        <v>0.82807969462962294</v>
      </c>
      <c r="H511">
        <v>9.2027105578101082E-3</v>
      </c>
      <c r="I511">
        <v>0.19943046117072527</v>
      </c>
      <c r="J511">
        <v>0.45732541674766308</v>
      </c>
      <c r="L511">
        <v>10642.332573002384</v>
      </c>
      <c r="M511">
        <v>9.9633812890857385</v>
      </c>
      <c r="N511">
        <v>9.0960145824106196</v>
      </c>
      <c r="O511">
        <v>18954.315600592843</v>
      </c>
      <c r="P511">
        <v>11.398930402710388</v>
      </c>
      <c r="Q511">
        <v>10.507710536999689</v>
      </c>
      <c r="S511">
        <f t="shared" si="30"/>
        <v>898959.12566805957</v>
      </c>
      <c r="T511">
        <f t="shared" si="31"/>
        <v>1031816.738099376</v>
      </c>
      <c r="V511">
        <f t="shared" si="28"/>
        <v>0</v>
      </c>
      <c r="W511">
        <f t="shared" si="29"/>
        <v>1</v>
      </c>
    </row>
    <row r="512" spans="1:23" x14ac:dyDescent="0.2">
      <c r="A512">
        <v>507</v>
      </c>
      <c r="B512">
        <v>676.50721263493983</v>
      </c>
      <c r="C512">
        <v>3660.1538575721638</v>
      </c>
      <c r="D512">
        <v>1035.7289672489796</v>
      </c>
      <c r="E512">
        <v>1174.161305695206</v>
      </c>
      <c r="F512">
        <v>0.97848180727451373</v>
      </c>
      <c r="G512">
        <v>0.66727269990579929</v>
      </c>
      <c r="H512">
        <v>1.0050410801863622E-2</v>
      </c>
      <c r="I512">
        <v>0.12871848706222677</v>
      </c>
      <c r="J512">
        <v>0.50729900114595461</v>
      </c>
      <c r="L512">
        <v>15818.728931744261</v>
      </c>
      <c r="M512">
        <v>10.475931677650316</v>
      </c>
      <c r="N512">
        <v>9.3836606304897199</v>
      </c>
      <c r="O512">
        <v>23997.75364398228</v>
      </c>
      <c r="P512">
        <v>11.554759439832679</v>
      </c>
      <c r="Q512">
        <v>10.681454764743474</v>
      </c>
      <c r="S512">
        <f t="shared" si="30"/>
        <v>922547.3341172277</v>
      </c>
      <c r="T512">
        <f t="shared" si="31"/>
        <v>1044147.7228303653</v>
      </c>
      <c r="V512">
        <f t="shared" si="28"/>
        <v>0</v>
      </c>
      <c r="W512">
        <f t="shared" si="29"/>
        <v>1</v>
      </c>
    </row>
    <row r="513" spans="1:23" x14ac:dyDescent="0.2">
      <c r="A513">
        <v>508</v>
      </c>
      <c r="B513">
        <v>546.39218281657224</v>
      </c>
      <c r="C513">
        <v>2553.9965116440553</v>
      </c>
      <c r="D513">
        <v>1055.9117465860413</v>
      </c>
      <c r="E513">
        <v>897.40971789755201</v>
      </c>
      <c r="F513">
        <v>0.94142758719100994</v>
      </c>
      <c r="G513">
        <v>0.64985197506257608</v>
      </c>
      <c r="H513">
        <v>9.2115593531954029E-3</v>
      </c>
      <c r="I513">
        <v>0.16831450797101821</v>
      </c>
      <c r="J513">
        <v>0.50268980939396612</v>
      </c>
      <c r="L513">
        <v>10487.924384535674</v>
      </c>
      <c r="M513">
        <v>10.209705397213789</v>
      </c>
      <c r="N513">
        <v>8.9485678657284211</v>
      </c>
      <c r="O513">
        <v>20067.521929283386</v>
      </c>
      <c r="P513">
        <v>11.411026567037437</v>
      </c>
      <c r="Q513">
        <v>10.271056027341118</v>
      </c>
      <c r="S513">
        <f t="shared" si="30"/>
        <v>884368.86218830652</v>
      </c>
      <c r="T513">
        <f t="shared" si="31"/>
        <v>1007038.0808048283</v>
      </c>
      <c r="V513">
        <f t="shared" si="28"/>
        <v>0</v>
      </c>
      <c r="W513">
        <f t="shared" si="29"/>
        <v>1</v>
      </c>
    </row>
    <row r="514" spans="1:23" x14ac:dyDescent="0.2">
      <c r="A514">
        <v>509</v>
      </c>
      <c r="B514">
        <v>613.75727661723283</v>
      </c>
      <c r="C514">
        <v>3192.323072350538</v>
      </c>
      <c r="D514">
        <v>1115.3380946342143</v>
      </c>
      <c r="E514">
        <v>441.1288499533822</v>
      </c>
      <c r="F514">
        <v>0.97559799753746757</v>
      </c>
      <c r="G514">
        <v>0.72723975699911825</v>
      </c>
      <c r="H514">
        <v>9.9930272770885568E-3</v>
      </c>
      <c r="I514">
        <v>0.1815132123125891</v>
      </c>
      <c r="J514">
        <v>0.57118837324805527</v>
      </c>
      <c r="L514">
        <v>12042.778674987212</v>
      </c>
      <c r="M514">
        <v>9.9413010606882235</v>
      </c>
      <c r="N514">
        <v>9.1437093213919844</v>
      </c>
      <c r="O514">
        <v>21651.726600439393</v>
      </c>
      <c r="P514">
        <v>10.979569762868032</v>
      </c>
      <c r="Q514">
        <v>10.282453675320889</v>
      </c>
      <c r="S514">
        <f t="shared" si="30"/>
        <v>902328.15346421115</v>
      </c>
      <c r="T514">
        <f t="shared" si="31"/>
        <v>1006593.6409316495</v>
      </c>
      <c r="V514">
        <f t="shared" si="28"/>
        <v>0</v>
      </c>
      <c r="W514">
        <f t="shared" si="29"/>
        <v>1</v>
      </c>
    </row>
    <row r="515" spans="1:23" x14ac:dyDescent="0.2">
      <c r="A515">
        <v>510</v>
      </c>
      <c r="B515">
        <v>511.21597155064541</v>
      </c>
      <c r="C515">
        <v>2739.5751807281536</v>
      </c>
      <c r="D515">
        <v>849.83289800283478</v>
      </c>
      <c r="E515">
        <v>1108.1900396938561</v>
      </c>
      <c r="F515">
        <v>0.93920058631515801</v>
      </c>
      <c r="G515">
        <v>0.77987466273285655</v>
      </c>
      <c r="H515">
        <v>1.0589852778130873E-2</v>
      </c>
      <c r="I515">
        <v>0.19672759184494992</v>
      </c>
      <c r="J515">
        <v>0.47444750329637397</v>
      </c>
      <c r="L515">
        <v>10249.319734889601</v>
      </c>
      <c r="M515">
        <v>9.7050810476773233</v>
      </c>
      <c r="N515">
        <v>8.7706285164997446</v>
      </c>
      <c r="O515">
        <v>17566.389582515527</v>
      </c>
      <c r="P515">
        <v>11.113750231272061</v>
      </c>
      <c r="Q515">
        <v>10.194538576450775</v>
      </c>
      <c r="S515">
        <f t="shared" si="30"/>
        <v>866813.53191508492</v>
      </c>
      <c r="T515">
        <f t="shared" si="31"/>
        <v>1001887.4680625619</v>
      </c>
      <c r="V515">
        <f t="shared" si="28"/>
        <v>0</v>
      </c>
      <c r="W515">
        <f t="shared" si="29"/>
        <v>1</v>
      </c>
    </row>
    <row r="516" spans="1:23" x14ac:dyDescent="0.2">
      <c r="A516">
        <v>511</v>
      </c>
      <c r="B516">
        <v>458.04925430402193</v>
      </c>
      <c r="C516">
        <v>3916.8430750531102</v>
      </c>
      <c r="D516">
        <v>1020.8909007684337</v>
      </c>
      <c r="E516">
        <v>1162.1959124666907</v>
      </c>
      <c r="F516">
        <v>0.96821681444614383</v>
      </c>
      <c r="G516">
        <v>0.62681453530878362</v>
      </c>
      <c r="H516">
        <v>9.0365579520985846E-3</v>
      </c>
      <c r="I516">
        <v>0.14136624884650725</v>
      </c>
      <c r="J516">
        <v>0.48229388197913242</v>
      </c>
      <c r="L516">
        <v>13943.591864880904</v>
      </c>
      <c r="M516">
        <v>10.509150659939611</v>
      </c>
      <c r="N516">
        <v>9.3148310209040694</v>
      </c>
      <c r="O516">
        <v>21795.689128439702</v>
      </c>
      <c r="P516">
        <v>11.681744821434261</v>
      </c>
      <c r="Q516">
        <v>10.717568096664742</v>
      </c>
      <c r="S516">
        <f t="shared" si="30"/>
        <v>917539.51022552606</v>
      </c>
      <c r="T516">
        <f t="shared" si="31"/>
        <v>1049961.1205380345</v>
      </c>
      <c r="V516">
        <f t="shared" si="28"/>
        <v>0</v>
      </c>
      <c r="W516">
        <f t="shared" si="29"/>
        <v>1</v>
      </c>
    </row>
    <row r="517" spans="1:23" x14ac:dyDescent="0.2">
      <c r="A517">
        <v>512</v>
      </c>
      <c r="B517">
        <v>396.71086727907999</v>
      </c>
      <c r="C517">
        <v>2727.4690698498252</v>
      </c>
      <c r="D517">
        <v>1027.2967098405443</v>
      </c>
      <c r="E517">
        <v>1194.503733387829</v>
      </c>
      <c r="F517">
        <v>0.95384515874539244</v>
      </c>
      <c r="G517">
        <v>0.6909838208935144</v>
      </c>
      <c r="H517">
        <v>9.2804994302523678E-3</v>
      </c>
      <c r="I517">
        <v>0.17880091515854735</v>
      </c>
      <c r="J517">
        <v>0.52510860425485983</v>
      </c>
      <c r="L517">
        <v>9584.1709339621902</v>
      </c>
      <c r="M517">
        <v>10.105668263586924</v>
      </c>
      <c r="N517">
        <v>9.0632617878013857</v>
      </c>
      <c r="O517">
        <v>18471.450873830057</v>
      </c>
      <c r="P517">
        <v>11.265327969774617</v>
      </c>
      <c r="Q517">
        <v>10.324406258475088</v>
      </c>
      <c r="S517">
        <f t="shared" si="30"/>
        <v>896742.00784617639</v>
      </c>
      <c r="T517">
        <f t="shared" si="31"/>
        <v>1013969.1749736788</v>
      </c>
      <c r="V517">
        <f t="shared" si="28"/>
        <v>0</v>
      </c>
      <c r="W517">
        <f t="shared" si="29"/>
        <v>1</v>
      </c>
    </row>
    <row r="518" spans="1:23" x14ac:dyDescent="0.2">
      <c r="A518">
        <v>513</v>
      </c>
      <c r="B518">
        <v>381.5943412234908</v>
      </c>
      <c r="C518">
        <v>2456.473341531756</v>
      </c>
      <c r="D518">
        <v>983.29571408271079</v>
      </c>
      <c r="E518">
        <v>1578.8452363866788</v>
      </c>
      <c r="F518">
        <v>0.95710021051243666</v>
      </c>
      <c r="G518">
        <v>0.85858242578288835</v>
      </c>
      <c r="H518">
        <v>1.0063611056214471E-2</v>
      </c>
      <c r="I518">
        <v>0.11425273441494289</v>
      </c>
      <c r="J518">
        <v>0.55260371947054387</v>
      </c>
      <c r="L518">
        <v>10796.491021643826</v>
      </c>
      <c r="M518">
        <v>10.668869367630272</v>
      </c>
      <c r="N518">
        <v>9.9173924321561806</v>
      </c>
      <c r="O518">
        <v>18649.490250935334</v>
      </c>
      <c r="P518">
        <v>11.568595707670758</v>
      </c>
      <c r="Q518">
        <v>10.850818900042071</v>
      </c>
      <c r="S518">
        <f t="shared" si="30"/>
        <v>980942.75219397421</v>
      </c>
      <c r="T518">
        <f t="shared" si="31"/>
        <v>1066432.3997532718</v>
      </c>
      <c r="V518">
        <f t="shared" ref="V518:V581" si="32">IF(S518=MAX($S518:$T518),1,0)</f>
        <v>0</v>
      </c>
      <c r="W518">
        <f t="shared" ref="W518:W581" si="33">IF(T518=MAX($S518:$T518),1,0)</f>
        <v>1</v>
      </c>
    </row>
    <row r="519" spans="1:23" x14ac:dyDescent="0.2">
      <c r="A519">
        <v>514</v>
      </c>
      <c r="B519">
        <v>411.13946524106854</v>
      </c>
      <c r="C519">
        <v>3133.8964731687561</v>
      </c>
      <c r="D519">
        <v>1078.7887806133756</v>
      </c>
      <c r="E519">
        <v>1298.2945918096118</v>
      </c>
      <c r="F519">
        <v>0.89933539682833086</v>
      </c>
      <c r="G519">
        <v>0.81082593744121645</v>
      </c>
      <c r="H519">
        <v>1.1923817140814523E-2</v>
      </c>
      <c r="I519">
        <v>0.16535965366609962</v>
      </c>
      <c r="J519">
        <v>0.4052411014584843</v>
      </c>
      <c r="L519">
        <v>11482.055116153786</v>
      </c>
      <c r="M519">
        <v>9.7542418954058139</v>
      </c>
      <c r="N519">
        <v>8.5472016685901337</v>
      </c>
      <c r="O519">
        <v>20043.265067649798</v>
      </c>
      <c r="P519">
        <v>11.361629213290392</v>
      </c>
      <c r="Q519">
        <v>10.069566364807496</v>
      </c>
      <c r="S519">
        <f t="shared" ref="S519:S582" si="34">$T$1*N519-L519</f>
        <v>843238.11174285959</v>
      </c>
      <c r="T519">
        <f t="shared" ref="T519:T582" si="35">$T$1*Q519-O519</f>
        <v>986913.37141309981</v>
      </c>
      <c r="V519">
        <f t="shared" si="32"/>
        <v>0</v>
      </c>
      <c r="W519">
        <f t="shared" si="33"/>
        <v>1</v>
      </c>
    </row>
    <row r="520" spans="1:23" x14ac:dyDescent="0.2">
      <c r="A520">
        <v>515</v>
      </c>
      <c r="B520">
        <v>452.05996478671801</v>
      </c>
      <c r="C520">
        <v>3507.7193305999936</v>
      </c>
      <c r="D520">
        <v>855.35432226194007</v>
      </c>
      <c r="E520">
        <v>1173.6355290418117</v>
      </c>
      <c r="F520">
        <v>0.93172916957376728</v>
      </c>
      <c r="G520">
        <v>0.64648737116157995</v>
      </c>
      <c r="H520">
        <v>9.7843417580414666E-3</v>
      </c>
      <c r="I520">
        <v>0.17898752147218877</v>
      </c>
      <c r="J520">
        <v>0.45226003578606983</v>
      </c>
      <c r="L520">
        <v>11828.089395749797</v>
      </c>
      <c r="M520">
        <v>10.0031327560541</v>
      </c>
      <c r="N520">
        <v>8.6820682787482735</v>
      </c>
      <c r="O520">
        <v>18581.963681406614</v>
      </c>
      <c r="P520">
        <v>11.421405386290841</v>
      </c>
      <c r="Q520">
        <v>10.209782347336892</v>
      </c>
      <c r="S520">
        <f t="shared" si="34"/>
        <v>856378.73847907747</v>
      </c>
      <c r="T520">
        <f t="shared" si="35"/>
        <v>1002396.2710522827</v>
      </c>
      <c r="V520">
        <f t="shared" si="32"/>
        <v>0</v>
      </c>
      <c r="W520">
        <f t="shared" si="33"/>
        <v>1</v>
      </c>
    </row>
    <row r="521" spans="1:23" x14ac:dyDescent="0.2">
      <c r="A521">
        <v>516</v>
      </c>
      <c r="B521">
        <v>530.82206746018437</v>
      </c>
      <c r="C521">
        <v>2956.5700376664699</v>
      </c>
      <c r="D521">
        <v>968.77289456711162</v>
      </c>
      <c r="E521">
        <v>1218.5862514364965</v>
      </c>
      <c r="F521">
        <v>0.96942688488490258</v>
      </c>
      <c r="G521">
        <v>0.77247478799255476</v>
      </c>
      <c r="H521">
        <v>1.0707482541417727E-2</v>
      </c>
      <c r="I521">
        <v>0.21154311334370002</v>
      </c>
      <c r="J521">
        <v>0.39753120434930073</v>
      </c>
      <c r="L521">
        <v>10612.492655758861</v>
      </c>
      <c r="M521">
        <v>9.5734706134200511</v>
      </c>
      <c r="N521">
        <v>8.874867043877753</v>
      </c>
      <c r="O521">
        <v>19251.429470429655</v>
      </c>
      <c r="P521">
        <v>11.325704019689443</v>
      </c>
      <c r="Q521">
        <v>10.719008134373819</v>
      </c>
      <c r="S521">
        <f t="shared" si="34"/>
        <v>876874.21173201641</v>
      </c>
      <c r="T521">
        <f t="shared" si="35"/>
        <v>1052649.3839669523</v>
      </c>
      <c r="V521">
        <f t="shared" si="32"/>
        <v>0</v>
      </c>
      <c r="W521">
        <f t="shared" si="33"/>
        <v>1</v>
      </c>
    </row>
    <row r="522" spans="1:23" x14ac:dyDescent="0.2">
      <c r="A522">
        <v>517</v>
      </c>
      <c r="B522">
        <v>538.53410756006838</v>
      </c>
      <c r="C522">
        <v>3511.9056748779358</v>
      </c>
      <c r="D522">
        <v>1008.3996784575388</v>
      </c>
      <c r="E522">
        <v>681.00691314360188</v>
      </c>
      <c r="F522">
        <v>0.96935625083987542</v>
      </c>
      <c r="G522">
        <v>0.83422285693997789</v>
      </c>
      <c r="H522">
        <v>1.1617970327479469E-2</v>
      </c>
      <c r="I522">
        <v>0.12984959755531422</v>
      </c>
      <c r="J522">
        <v>0.46423229046429992</v>
      </c>
      <c r="L522">
        <v>14479.726355383413</v>
      </c>
      <c r="M522">
        <v>10.215751493125815</v>
      </c>
      <c r="N522">
        <v>9.5064474079963084</v>
      </c>
      <c r="O522">
        <v>21961.949236284807</v>
      </c>
      <c r="P522">
        <v>11.461718269538183</v>
      </c>
      <c r="Q522">
        <v>10.832019663245681</v>
      </c>
      <c r="S522">
        <f t="shared" si="34"/>
        <v>936165.01444424747</v>
      </c>
      <c r="T522">
        <f t="shared" si="35"/>
        <v>1061240.0170882833</v>
      </c>
      <c r="V522">
        <f t="shared" si="32"/>
        <v>0</v>
      </c>
      <c r="W522">
        <f t="shared" si="33"/>
        <v>1</v>
      </c>
    </row>
    <row r="523" spans="1:23" x14ac:dyDescent="0.2">
      <c r="A523">
        <v>518</v>
      </c>
      <c r="B523">
        <v>602.9647966552966</v>
      </c>
      <c r="C523">
        <v>2683.786924937338</v>
      </c>
      <c r="D523">
        <v>939.36850730952233</v>
      </c>
      <c r="E523">
        <v>752.70097033565742</v>
      </c>
      <c r="F523">
        <v>0.95702953780092481</v>
      </c>
      <c r="G523">
        <v>0.65108006523934403</v>
      </c>
      <c r="H523">
        <v>1.0689769888830601E-2</v>
      </c>
      <c r="I523">
        <v>0.13826160843326671</v>
      </c>
      <c r="J523">
        <v>0.53452566416473368</v>
      </c>
      <c r="L523">
        <v>12158.349369685073</v>
      </c>
      <c r="M523">
        <v>10.25250390314406</v>
      </c>
      <c r="N523">
        <v>8.9750692407520365</v>
      </c>
      <c r="O523">
        <v>19980.536785011271</v>
      </c>
      <c r="P523">
        <v>11.298976810688524</v>
      </c>
      <c r="Q523">
        <v>10.186153530464811</v>
      </c>
      <c r="S523">
        <f t="shared" si="34"/>
        <v>885348.57470551855</v>
      </c>
      <c r="T523">
        <f t="shared" si="35"/>
        <v>998634.81626146974</v>
      </c>
      <c r="V523">
        <f t="shared" si="32"/>
        <v>0</v>
      </c>
      <c r="W523">
        <f t="shared" si="33"/>
        <v>1</v>
      </c>
    </row>
    <row r="524" spans="1:23" x14ac:dyDescent="0.2">
      <c r="A524">
        <v>519</v>
      </c>
      <c r="B524">
        <v>318.17404299503727</v>
      </c>
      <c r="C524">
        <v>2764.0190682339908</v>
      </c>
      <c r="D524">
        <v>958.7209383279237</v>
      </c>
      <c r="E524">
        <v>968.65907751775865</v>
      </c>
      <c r="F524">
        <v>0.89395433002785885</v>
      </c>
      <c r="G524">
        <v>0.70540618439443781</v>
      </c>
      <c r="H524">
        <v>8.5058963736183383E-3</v>
      </c>
      <c r="I524">
        <v>0.11268681299897056</v>
      </c>
      <c r="J524">
        <v>0.49169613030543324</v>
      </c>
      <c r="L524">
        <v>10629.137985702127</v>
      </c>
      <c r="M524">
        <v>10.954727505291006</v>
      </c>
      <c r="N524">
        <v>9.2658567127738607</v>
      </c>
      <c r="O524">
        <v>18344.980182685955</v>
      </c>
      <c r="P524">
        <v>11.966568728720857</v>
      </c>
      <c r="Q524">
        <v>10.3355449177945</v>
      </c>
      <c r="S524">
        <f t="shared" si="34"/>
        <v>915956.53329168388</v>
      </c>
      <c r="T524">
        <f t="shared" si="35"/>
        <v>1015209.5115967641</v>
      </c>
      <c r="V524">
        <f t="shared" si="32"/>
        <v>0</v>
      </c>
      <c r="W524">
        <f t="shared" si="33"/>
        <v>1</v>
      </c>
    </row>
    <row r="525" spans="1:23" x14ac:dyDescent="0.2">
      <c r="A525">
        <v>520</v>
      </c>
      <c r="B525">
        <v>437.88546650369506</v>
      </c>
      <c r="C525">
        <v>3296.1227321477545</v>
      </c>
      <c r="D525">
        <v>1031.3201045899352</v>
      </c>
      <c r="E525">
        <v>700.1010782724353</v>
      </c>
      <c r="F525">
        <v>0.97957784550639193</v>
      </c>
      <c r="G525">
        <v>0.8057048255355117</v>
      </c>
      <c r="H525">
        <v>8.4348299954173853E-3</v>
      </c>
      <c r="I525">
        <v>0.14276726784799762</v>
      </c>
      <c r="J525">
        <v>0.45006190034622001</v>
      </c>
      <c r="L525">
        <v>11839.158514105768</v>
      </c>
      <c r="M525">
        <v>10.613372667559164</v>
      </c>
      <c r="N525">
        <v>9.973918263616337</v>
      </c>
      <c r="O525">
        <v>20490.818101395751</v>
      </c>
      <c r="P525">
        <v>11.866069273979825</v>
      </c>
      <c r="Q525">
        <v>11.347875866245762</v>
      </c>
      <c r="S525">
        <f t="shared" si="34"/>
        <v>985552.66784752801</v>
      </c>
      <c r="T525">
        <f t="shared" si="35"/>
        <v>1114296.7685231804</v>
      </c>
      <c r="V525">
        <f t="shared" si="32"/>
        <v>0</v>
      </c>
      <c r="W525">
        <f t="shared" si="33"/>
        <v>1</v>
      </c>
    </row>
    <row r="526" spans="1:23" x14ac:dyDescent="0.2">
      <c r="A526">
        <v>521</v>
      </c>
      <c r="B526">
        <v>416.68950800819943</v>
      </c>
      <c r="C526">
        <v>2742.8875985137552</v>
      </c>
      <c r="D526">
        <v>1173.0123359548493</v>
      </c>
      <c r="E526">
        <v>1179.8794008838997</v>
      </c>
      <c r="F526">
        <v>0.91309126461746715</v>
      </c>
      <c r="G526">
        <v>0.64376140657243097</v>
      </c>
      <c r="H526">
        <v>8.5014378961692505E-3</v>
      </c>
      <c r="I526">
        <v>0.17227127087313321</v>
      </c>
      <c r="J526">
        <v>0.57427876583117543</v>
      </c>
      <c r="L526">
        <v>9777.8170720511753</v>
      </c>
      <c r="M526">
        <v>10.324953979218773</v>
      </c>
      <c r="N526">
        <v>8.8446068769840327</v>
      </c>
      <c r="O526">
        <v>20193.83188301227</v>
      </c>
      <c r="P526">
        <v>11.301518418517736</v>
      </c>
      <c r="Q526">
        <v>9.8769779675157281</v>
      </c>
      <c r="S526">
        <f t="shared" si="34"/>
        <v>874682.87062635203</v>
      </c>
      <c r="T526">
        <f t="shared" si="35"/>
        <v>967503.96486856055</v>
      </c>
      <c r="V526">
        <f t="shared" si="32"/>
        <v>0</v>
      </c>
      <c r="W526">
        <f t="shared" si="33"/>
        <v>1</v>
      </c>
    </row>
    <row r="527" spans="1:23" x14ac:dyDescent="0.2">
      <c r="A527">
        <v>522</v>
      </c>
      <c r="B527">
        <v>592.79672220983218</v>
      </c>
      <c r="C527">
        <v>3034.7414868220826</v>
      </c>
      <c r="D527">
        <v>1214.5907038747162</v>
      </c>
      <c r="E527">
        <v>1377.696511186148</v>
      </c>
      <c r="F527">
        <v>0.96877090713985359</v>
      </c>
      <c r="G527">
        <v>0.69898533149449549</v>
      </c>
      <c r="H527">
        <v>8.2961137651689828E-3</v>
      </c>
      <c r="I527">
        <v>0.15198084942240331</v>
      </c>
      <c r="J527">
        <v>0.50520343417978608</v>
      </c>
      <c r="L527">
        <v>12410.268618461872</v>
      </c>
      <c r="M527">
        <v>10.550444752139351</v>
      </c>
      <c r="N527">
        <v>9.5945609662591291</v>
      </c>
      <c r="O527">
        <v>23419.475459001653</v>
      </c>
      <c r="P527">
        <v>11.666078328851068</v>
      </c>
      <c r="Q527">
        <v>10.863420759080295</v>
      </c>
      <c r="S527">
        <f t="shared" si="34"/>
        <v>947045.82800745103</v>
      </c>
      <c r="T527">
        <f t="shared" si="35"/>
        <v>1062922.6004490277</v>
      </c>
      <c r="V527">
        <f t="shared" si="32"/>
        <v>0</v>
      </c>
      <c r="W527">
        <f t="shared" si="33"/>
        <v>1</v>
      </c>
    </row>
    <row r="528" spans="1:23" x14ac:dyDescent="0.2">
      <c r="A528">
        <v>523</v>
      </c>
      <c r="B528">
        <v>456.09586083035003</v>
      </c>
      <c r="C528">
        <v>3299.6298172949855</v>
      </c>
      <c r="D528">
        <v>1154.0231249192759</v>
      </c>
      <c r="E528">
        <v>888.16194939339391</v>
      </c>
      <c r="F528">
        <v>0.97779368998435878</v>
      </c>
      <c r="G528">
        <v>0.87421939641818802</v>
      </c>
      <c r="H528">
        <v>1.0253761373906338E-2</v>
      </c>
      <c r="I528">
        <v>0.17238695869748433</v>
      </c>
      <c r="J528">
        <v>0.52407183074283503</v>
      </c>
      <c r="L528">
        <v>11552.619862851696</v>
      </c>
      <c r="M528">
        <v>9.9716751464284794</v>
      </c>
      <c r="N528">
        <v>9.5081385238514855</v>
      </c>
      <c r="O528">
        <v>21128.956700808903</v>
      </c>
      <c r="P528">
        <v>11.141641499418952</v>
      </c>
      <c r="Q528">
        <v>10.714938764264977</v>
      </c>
      <c r="S528">
        <f t="shared" si="34"/>
        <v>939261.23252229684</v>
      </c>
      <c r="T528">
        <f t="shared" si="35"/>
        <v>1050364.9197256889</v>
      </c>
      <c r="V528">
        <f t="shared" si="32"/>
        <v>0</v>
      </c>
      <c r="W528">
        <f t="shared" si="33"/>
        <v>1</v>
      </c>
    </row>
    <row r="529" spans="1:23" x14ac:dyDescent="0.2">
      <c r="A529">
        <v>524</v>
      </c>
      <c r="B529">
        <v>317.07035703499878</v>
      </c>
      <c r="C529">
        <v>3314.1716284346458</v>
      </c>
      <c r="D529">
        <v>1133.7132386307608</v>
      </c>
      <c r="E529">
        <v>896.33472206789361</v>
      </c>
      <c r="F529">
        <v>0.96252816445902245</v>
      </c>
      <c r="G529">
        <v>0.69093629249487487</v>
      </c>
      <c r="H529">
        <v>1.0112720044457556E-2</v>
      </c>
      <c r="I529">
        <v>0.12076792771136251</v>
      </c>
      <c r="J529">
        <v>0.61486352482972695</v>
      </c>
      <c r="L529">
        <v>12347.222462565791</v>
      </c>
      <c r="M529">
        <v>10.570004311014008</v>
      </c>
      <c r="N529">
        <v>9.3871611254775988</v>
      </c>
      <c r="O529">
        <v>21012.396726425013</v>
      </c>
      <c r="P529">
        <v>11.337315011731791</v>
      </c>
      <c r="Q529">
        <v>10.283740520192216</v>
      </c>
      <c r="S529">
        <f t="shared" si="34"/>
        <v>926368.89008519414</v>
      </c>
      <c r="T529">
        <f t="shared" si="35"/>
        <v>1007361.6552927966</v>
      </c>
      <c r="V529">
        <f t="shared" si="32"/>
        <v>0</v>
      </c>
      <c r="W529">
        <f t="shared" si="33"/>
        <v>1</v>
      </c>
    </row>
    <row r="530" spans="1:23" x14ac:dyDescent="0.2">
      <c r="A530">
        <v>525</v>
      </c>
      <c r="B530">
        <v>512.85077820723768</v>
      </c>
      <c r="C530">
        <v>3459.0477946245164</v>
      </c>
      <c r="D530">
        <v>946.40505970107642</v>
      </c>
      <c r="E530">
        <v>1105.5755627521971</v>
      </c>
      <c r="F530">
        <v>0.9540511405295462</v>
      </c>
      <c r="G530">
        <v>0.69440942012914053</v>
      </c>
      <c r="H530">
        <v>8.0402446175758969E-3</v>
      </c>
      <c r="I530">
        <v>0.16429735938686618</v>
      </c>
      <c r="J530">
        <v>0.5929170191597255</v>
      </c>
      <c r="L530">
        <v>12197.199747861794</v>
      </c>
      <c r="M530">
        <v>10.494790122363487</v>
      </c>
      <c r="N530">
        <v>9.4468590787577238</v>
      </c>
      <c r="O530">
        <v>20263.963056697878</v>
      </c>
      <c r="P530">
        <v>11.389986154379734</v>
      </c>
      <c r="Q530">
        <v>10.43302015174627</v>
      </c>
      <c r="S530">
        <f t="shared" si="34"/>
        <v>932488.7081279105</v>
      </c>
      <c r="T530">
        <f t="shared" si="35"/>
        <v>1023038.0521179291</v>
      </c>
      <c r="V530">
        <f t="shared" si="32"/>
        <v>0</v>
      </c>
      <c r="W530">
        <f t="shared" si="33"/>
        <v>1</v>
      </c>
    </row>
    <row r="531" spans="1:23" x14ac:dyDescent="0.2">
      <c r="A531">
        <v>526</v>
      </c>
      <c r="B531">
        <v>499.55621463084469</v>
      </c>
      <c r="C531">
        <v>2386.179038885507</v>
      </c>
      <c r="D531">
        <v>1047.4068303870756</v>
      </c>
      <c r="E531">
        <v>637.52342665736614</v>
      </c>
      <c r="F531">
        <v>0.87063009060689134</v>
      </c>
      <c r="G531">
        <v>0.7569469182660099</v>
      </c>
      <c r="H531">
        <v>1.0772152585057346E-2</v>
      </c>
      <c r="I531">
        <v>9.442221091537889E-2</v>
      </c>
      <c r="J531">
        <v>0.45936975958840265</v>
      </c>
      <c r="L531">
        <v>12029.415592089081</v>
      </c>
      <c r="M531">
        <v>10.882202943211579</v>
      </c>
      <c r="N531">
        <v>9.0893712405275409</v>
      </c>
      <c r="O531">
        <v>20556.62945837657</v>
      </c>
      <c r="P531">
        <v>11.941390457464671</v>
      </c>
      <c r="Q531">
        <v>10.133155065295602</v>
      </c>
      <c r="S531">
        <f t="shared" si="34"/>
        <v>896907.70846066508</v>
      </c>
      <c r="T531">
        <f t="shared" si="35"/>
        <v>992758.87707118364</v>
      </c>
      <c r="V531">
        <f t="shared" si="32"/>
        <v>0</v>
      </c>
      <c r="W531">
        <f t="shared" si="33"/>
        <v>1</v>
      </c>
    </row>
    <row r="532" spans="1:23" x14ac:dyDescent="0.2">
      <c r="A532">
        <v>527</v>
      </c>
      <c r="B532">
        <v>424.5846819979638</v>
      </c>
      <c r="C532">
        <v>2178.2632797923534</v>
      </c>
      <c r="D532">
        <v>1015.7724431946331</v>
      </c>
      <c r="E532">
        <v>787.97407309095604</v>
      </c>
      <c r="F532">
        <v>0.9814626493158457</v>
      </c>
      <c r="G532">
        <v>0.79653678085387203</v>
      </c>
      <c r="H532">
        <v>9.838539264850555E-3</v>
      </c>
      <c r="I532">
        <v>0.14332660865075381</v>
      </c>
      <c r="J532">
        <v>0.47780750268112832</v>
      </c>
      <c r="L532">
        <v>9222.1094798625672</v>
      </c>
      <c r="M532">
        <v>10.339183444692827</v>
      </c>
      <c r="N532">
        <v>9.6687908028858836</v>
      </c>
      <c r="O532">
        <v>18177.72395975671</v>
      </c>
      <c r="P532">
        <v>11.556436912980944</v>
      </c>
      <c r="Q532">
        <v>11.009168825283513</v>
      </c>
      <c r="S532">
        <f t="shared" si="34"/>
        <v>957656.97080872569</v>
      </c>
      <c r="T532">
        <f t="shared" si="35"/>
        <v>1082739.1585685946</v>
      </c>
      <c r="V532">
        <f t="shared" si="32"/>
        <v>0</v>
      </c>
      <c r="W532">
        <f t="shared" si="33"/>
        <v>1</v>
      </c>
    </row>
    <row r="533" spans="1:23" x14ac:dyDescent="0.2">
      <c r="A533">
        <v>528</v>
      </c>
      <c r="B533">
        <v>457.05641524828485</v>
      </c>
      <c r="C533">
        <v>2374.9145764610839</v>
      </c>
      <c r="D533">
        <v>999.064040213981</v>
      </c>
      <c r="E533">
        <v>924.24238570563432</v>
      </c>
      <c r="F533">
        <v>0.92420277950009722</v>
      </c>
      <c r="G533">
        <v>0.76247072648207181</v>
      </c>
      <c r="H533">
        <v>1.0901773838944685E-2</v>
      </c>
      <c r="I533">
        <v>0.12893381726612563</v>
      </c>
      <c r="J533">
        <v>0.46266161085921004</v>
      </c>
      <c r="L533">
        <v>10578.466911922031</v>
      </c>
      <c r="M533">
        <v>10.335951228976072</v>
      </c>
      <c r="N533">
        <v>9.0877011921200488</v>
      </c>
      <c r="O533">
        <v>18914.113851503604</v>
      </c>
      <c r="P533">
        <v>11.568602235607864</v>
      </c>
      <c r="Q533">
        <v>10.369374191259665</v>
      </c>
      <c r="S533">
        <f t="shared" si="34"/>
        <v>898191.65230008285</v>
      </c>
      <c r="T533">
        <f t="shared" si="35"/>
        <v>1018023.3052744629</v>
      </c>
      <c r="V533">
        <f t="shared" si="32"/>
        <v>0</v>
      </c>
      <c r="W533">
        <f t="shared" si="33"/>
        <v>1</v>
      </c>
    </row>
    <row r="534" spans="1:23" x14ac:dyDescent="0.2">
      <c r="A534">
        <v>529</v>
      </c>
      <c r="B534">
        <v>414.29221680268813</v>
      </c>
      <c r="C534">
        <v>3135.979552198045</v>
      </c>
      <c r="D534">
        <v>1104.2124863025606</v>
      </c>
      <c r="E534">
        <v>664.00720406142318</v>
      </c>
      <c r="F534">
        <v>0.95316491506158718</v>
      </c>
      <c r="G534">
        <v>0.81915912453189788</v>
      </c>
      <c r="H534">
        <v>8.6387875328222292E-3</v>
      </c>
      <c r="I534">
        <v>0.13633466066512132</v>
      </c>
      <c r="J534">
        <v>0.48476304670496251</v>
      </c>
      <c r="L534">
        <v>11512.453921638244</v>
      </c>
      <c r="M534">
        <v>10.641448727652131</v>
      </c>
      <c r="N534">
        <v>9.8045507210604352</v>
      </c>
      <c r="O534">
        <v>20837.39405001613</v>
      </c>
      <c r="P534">
        <v>11.774789809468684</v>
      </c>
      <c r="Q534">
        <v>10.991292186606142</v>
      </c>
      <c r="S534">
        <f t="shared" si="34"/>
        <v>968942.61818440538</v>
      </c>
      <c r="T534">
        <f t="shared" si="35"/>
        <v>1078291.8246105982</v>
      </c>
      <c r="V534">
        <f t="shared" si="32"/>
        <v>0</v>
      </c>
      <c r="W534">
        <f t="shared" si="33"/>
        <v>1</v>
      </c>
    </row>
    <row r="535" spans="1:23" x14ac:dyDescent="0.2">
      <c r="A535">
        <v>530</v>
      </c>
      <c r="B535">
        <v>733.38905416144053</v>
      </c>
      <c r="C535">
        <v>2954.4763071940233</v>
      </c>
      <c r="D535">
        <v>1027.8837122920418</v>
      </c>
      <c r="E535">
        <v>1550.4741716107724</v>
      </c>
      <c r="F535">
        <v>0.98691889067501015</v>
      </c>
      <c r="G535">
        <v>0.78603462059154827</v>
      </c>
      <c r="H535">
        <v>9.1624111322425698E-3</v>
      </c>
      <c r="I535">
        <v>0.13328275922147323</v>
      </c>
      <c r="J535">
        <v>0.50362649964350059</v>
      </c>
      <c r="L535">
        <v>14132.001168787578</v>
      </c>
      <c r="M535">
        <v>10.576462422034522</v>
      </c>
      <c r="N535">
        <v>9.910580400309204</v>
      </c>
      <c r="O535">
        <v>23139.570464345175</v>
      </c>
      <c r="P535">
        <v>11.660874519876797</v>
      </c>
      <c r="Q535">
        <v>11.134999785687601</v>
      </c>
      <c r="S535">
        <f t="shared" si="34"/>
        <v>976926.03886213282</v>
      </c>
      <c r="T535">
        <f t="shared" si="35"/>
        <v>1090360.4081044148</v>
      </c>
      <c r="V535">
        <f t="shared" si="32"/>
        <v>0</v>
      </c>
      <c r="W535">
        <f t="shared" si="33"/>
        <v>1</v>
      </c>
    </row>
    <row r="536" spans="1:23" x14ac:dyDescent="0.2">
      <c r="A536">
        <v>531</v>
      </c>
      <c r="B536">
        <v>450.10264747373736</v>
      </c>
      <c r="C536">
        <v>3929.5778663364231</v>
      </c>
      <c r="D536">
        <v>1113.6199280271994</v>
      </c>
      <c r="E536">
        <v>835.88522873226748</v>
      </c>
      <c r="F536">
        <v>0.95534636060326572</v>
      </c>
      <c r="G536">
        <v>0.66671985960123969</v>
      </c>
      <c r="H536">
        <v>1.0955580165730882E-2</v>
      </c>
      <c r="I536">
        <v>0.15929943221095555</v>
      </c>
      <c r="J536">
        <v>0.53054006902416251</v>
      </c>
      <c r="L536">
        <v>13615.098224257583</v>
      </c>
      <c r="M536">
        <v>9.9741984936747965</v>
      </c>
      <c r="N536">
        <v>8.7997294275060156</v>
      </c>
      <c r="O536">
        <v>22103.063389872579</v>
      </c>
      <c r="P536">
        <v>11.101382315055861</v>
      </c>
      <c r="Q536">
        <v>10.057799226856607</v>
      </c>
      <c r="S536">
        <f t="shared" si="34"/>
        <v>866357.84452634398</v>
      </c>
      <c r="T536">
        <f t="shared" si="35"/>
        <v>983676.85929578822</v>
      </c>
      <c r="V536">
        <f t="shared" si="32"/>
        <v>0</v>
      </c>
      <c r="W536">
        <f t="shared" si="33"/>
        <v>1</v>
      </c>
    </row>
    <row r="537" spans="1:23" x14ac:dyDescent="0.2">
      <c r="A537">
        <v>532</v>
      </c>
      <c r="B537">
        <v>559.70334719009327</v>
      </c>
      <c r="C537">
        <v>3849.2144337642694</v>
      </c>
      <c r="D537">
        <v>1090.2660724468521</v>
      </c>
      <c r="E537">
        <v>758.53369770719132</v>
      </c>
      <c r="F537">
        <v>0.90015660966870292</v>
      </c>
      <c r="G537">
        <v>0.82674242484363525</v>
      </c>
      <c r="H537">
        <v>9.7475378936510582E-3</v>
      </c>
      <c r="I537">
        <v>0.12192927419362899</v>
      </c>
      <c r="J537">
        <v>0.43355813705695539</v>
      </c>
      <c r="L537">
        <v>15539.213451565724</v>
      </c>
      <c r="M537">
        <v>10.614556815832021</v>
      </c>
      <c r="N537">
        <v>9.3464118798475617</v>
      </c>
      <c r="O537">
        <v>23838.760029032237</v>
      </c>
      <c r="P537">
        <v>11.874115576890159</v>
      </c>
      <c r="Q537">
        <v>10.552519058197127</v>
      </c>
      <c r="S537">
        <f t="shared" si="34"/>
        <v>919101.97453319049</v>
      </c>
      <c r="T537">
        <f t="shared" si="35"/>
        <v>1031413.1457906804</v>
      </c>
      <c r="V537">
        <f t="shared" si="32"/>
        <v>0</v>
      </c>
      <c r="W537">
        <f t="shared" si="33"/>
        <v>1</v>
      </c>
    </row>
    <row r="538" spans="1:23" x14ac:dyDescent="0.2">
      <c r="A538">
        <v>533</v>
      </c>
      <c r="B538">
        <v>413.03814117784299</v>
      </c>
      <c r="C538">
        <v>3199.6362098500545</v>
      </c>
      <c r="D538">
        <v>928.28555218083386</v>
      </c>
      <c r="E538">
        <v>1020.7502469534274</v>
      </c>
      <c r="F538">
        <v>0.96477239291793082</v>
      </c>
      <c r="G538">
        <v>0.83115590258622285</v>
      </c>
      <c r="H538">
        <v>1.0976369323507139E-2</v>
      </c>
      <c r="I538">
        <v>0.13649394720327473</v>
      </c>
      <c r="J538">
        <v>0.53047437852741108</v>
      </c>
      <c r="L538">
        <v>12373.86756061117</v>
      </c>
      <c r="M538">
        <v>10.228030446183794</v>
      </c>
      <c r="N538">
        <v>9.4955720051361681</v>
      </c>
      <c r="O538">
        <v>19305.374023056891</v>
      </c>
      <c r="P538">
        <v>11.285124165766222</v>
      </c>
      <c r="Q538">
        <v>10.608765616558363</v>
      </c>
      <c r="S538">
        <f t="shared" si="34"/>
        <v>937183.33295300556</v>
      </c>
      <c r="T538">
        <f t="shared" si="35"/>
        <v>1041571.1876327795</v>
      </c>
      <c r="V538">
        <f t="shared" si="32"/>
        <v>0</v>
      </c>
      <c r="W538">
        <f t="shared" si="33"/>
        <v>1</v>
      </c>
    </row>
    <row r="539" spans="1:23" x14ac:dyDescent="0.2">
      <c r="A539">
        <v>534</v>
      </c>
      <c r="B539">
        <v>431.75438972267091</v>
      </c>
      <c r="C539">
        <v>2949.7023055271634</v>
      </c>
      <c r="D539">
        <v>998.44276996227904</v>
      </c>
      <c r="E539">
        <v>1334.2628681763194</v>
      </c>
      <c r="F539">
        <v>0.97828081099285424</v>
      </c>
      <c r="G539">
        <v>0.76058340622651288</v>
      </c>
      <c r="H539">
        <v>9.3420737122880942E-3</v>
      </c>
      <c r="I539">
        <v>0.13321249820735856</v>
      </c>
      <c r="J539">
        <v>0.63088854908235914</v>
      </c>
      <c r="L539">
        <v>11692.143483472435</v>
      </c>
      <c r="M539">
        <v>10.544408111993921</v>
      </c>
      <c r="N539">
        <v>9.7388190687702867</v>
      </c>
      <c r="O539">
        <v>19770.682803426505</v>
      </c>
      <c r="P539">
        <v>11.296050654215085</v>
      </c>
      <c r="Q539">
        <v>10.587017965961111</v>
      </c>
      <c r="S539">
        <f t="shared" si="34"/>
        <v>962189.76339355623</v>
      </c>
      <c r="T539">
        <f t="shared" si="35"/>
        <v>1038931.1137926845</v>
      </c>
      <c r="V539">
        <f t="shared" si="32"/>
        <v>0</v>
      </c>
      <c r="W539">
        <f t="shared" si="33"/>
        <v>1</v>
      </c>
    </row>
    <row r="540" spans="1:23" x14ac:dyDescent="0.2">
      <c r="A540">
        <v>535</v>
      </c>
      <c r="B540">
        <v>453.33194661644728</v>
      </c>
      <c r="C540">
        <v>2412.4239104763656</v>
      </c>
      <c r="D540">
        <v>1103.2681616764869</v>
      </c>
      <c r="E540">
        <v>816.91259693459563</v>
      </c>
      <c r="F540">
        <v>0.92031149800250933</v>
      </c>
      <c r="G540">
        <v>0.8714554944198919</v>
      </c>
      <c r="H540">
        <v>1.0138598615890556E-2</v>
      </c>
      <c r="I540">
        <v>0.16241985172003748</v>
      </c>
      <c r="J540">
        <v>0.49508921806091566</v>
      </c>
      <c r="L540">
        <v>9635.5333022779578</v>
      </c>
      <c r="M540">
        <v>10.086405070910502</v>
      </c>
      <c r="N540">
        <v>9.1643808741552828</v>
      </c>
      <c r="O540">
        <v>19332.434176798655</v>
      </c>
      <c r="P540">
        <v>11.319813507770716</v>
      </c>
      <c r="Q540">
        <v>10.333139992371981</v>
      </c>
      <c r="S540">
        <f t="shared" si="34"/>
        <v>906802.55411325034</v>
      </c>
      <c r="T540">
        <f t="shared" si="35"/>
        <v>1013981.5650603995</v>
      </c>
      <c r="V540">
        <f t="shared" si="32"/>
        <v>0</v>
      </c>
      <c r="W540">
        <f t="shared" si="33"/>
        <v>1</v>
      </c>
    </row>
    <row r="541" spans="1:23" x14ac:dyDescent="0.2">
      <c r="A541">
        <v>536</v>
      </c>
      <c r="B541">
        <v>362.75064667161115</v>
      </c>
      <c r="C541">
        <v>2530.9721927192109</v>
      </c>
      <c r="D541">
        <v>912.73593425750846</v>
      </c>
      <c r="E541">
        <v>1038.5080582953703</v>
      </c>
      <c r="F541">
        <v>0.96091988747834134</v>
      </c>
      <c r="G541">
        <v>0.79355024489750459</v>
      </c>
      <c r="H541">
        <v>1.1153083533827633E-2</v>
      </c>
      <c r="I541">
        <v>0.14149096539675077</v>
      </c>
      <c r="J541">
        <v>0.54408439748058313</v>
      </c>
      <c r="L541">
        <v>10024.889073604094</v>
      </c>
      <c r="M541">
        <v>10.139395403784089</v>
      </c>
      <c r="N541">
        <v>9.2843170711557228</v>
      </c>
      <c r="O541">
        <v>17181.594764858037</v>
      </c>
      <c r="P541">
        <v>11.175394254713686</v>
      </c>
      <c r="Q541">
        <v>10.389278408821619</v>
      </c>
      <c r="S541">
        <f t="shared" si="34"/>
        <v>918406.81804196816</v>
      </c>
      <c r="T541">
        <f t="shared" si="35"/>
        <v>1021746.246117304</v>
      </c>
      <c r="V541">
        <f t="shared" si="32"/>
        <v>0</v>
      </c>
      <c r="W541">
        <f t="shared" si="33"/>
        <v>1</v>
      </c>
    </row>
    <row r="542" spans="1:23" x14ac:dyDescent="0.2">
      <c r="A542">
        <v>537</v>
      </c>
      <c r="B542">
        <v>617.49899733479981</v>
      </c>
      <c r="C542">
        <v>3042.6520593952455</v>
      </c>
      <c r="D542">
        <v>821.36031579972394</v>
      </c>
      <c r="E542">
        <v>842.42090356255528</v>
      </c>
      <c r="F542">
        <v>0.96120401919899978</v>
      </c>
      <c r="G542">
        <v>0.59293260852951069</v>
      </c>
      <c r="H542">
        <v>9.051230045127168E-3</v>
      </c>
      <c r="I542">
        <v>0.16704858729383043</v>
      </c>
      <c r="J542">
        <v>0.46227219636791833</v>
      </c>
      <c r="L542">
        <v>12153.318545836388</v>
      </c>
      <c r="M542">
        <v>10.25358880793042</v>
      </c>
      <c r="N542">
        <v>9.0202174016140759</v>
      </c>
      <c r="O542">
        <v>19327.449353645541</v>
      </c>
      <c r="P542">
        <v>11.57636534877798</v>
      </c>
      <c r="Q542">
        <v>10.563460994677557</v>
      </c>
      <c r="S542">
        <f t="shared" si="34"/>
        <v>889868.42161557125</v>
      </c>
      <c r="T542">
        <f t="shared" si="35"/>
        <v>1037018.6501141102</v>
      </c>
      <c r="V542">
        <f t="shared" si="32"/>
        <v>0</v>
      </c>
      <c r="W542">
        <f t="shared" si="33"/>
        <v>1</v>
      </c>
    </row>
    <row r="543" spans="1:23" x14ac:dyDescent="0.2">
      <c r="A543">
        <v>538</v>
      </c>
      <c r="B543">
        <v>536.3836222831045</v>
      </c>
      <c r="C543">
        <v>2537.9180326992432</v>
      </c>
      <c r="D543">
        <v>914.0019520838058</v>
      </c>
      <c r="E543">
        <v>982.63985744207707</v>
      </c>
      <c r="F543">
        <v>0.91936308021047297</v>
      </c>
      <c r="G543">
        <v>0.72262972086372101</v>
      </c>
      <c r="H543">
        <v>9.414252062270782E-3</v>
      </c>
      <c r="I543">
        <v>0.14026146999711553</v>
      </c>
      <c r="J543">
        <v>0.50068393829727942</v>
      </c>
      <c r="L543">
        <v>11116.486420821666</v>
      </c>
      <c r="M543">
        <v>10.450333529445667</v>
      </c>
      <c r="N543">
        <v>9.1008560394726725</v>
      </c>
      <c r="O543">
        <v>19027.576708421369</v>
      </c>
      <c r="P543">
        <v>11.575549553107427</v>
      </c>
      <c r="Q543">
        <v>10.282727409815655</v>
      </c>
      <c r="S543">
        <f t="shared" si="34"/>
        <v>898969.11752644565</v>
      </c>
      <c r="T543">
        <f t="shared" si="35"/>
        <v>1009245.1642731441</v>
      </c>
      <c r="V543">
        <f t="shared" si="32"/>
        <v>0</v>
      </c>
      <c r="W543">
        <f t="shared" si="33"/>
        <v>1</v>
      </c>
    </row>
    <row r="544" spans="1:23" x14ac:dyDescent="0.2">
      <c r="A544">
        <v>539</v>
      </c>
      <c r="B544">
        <v>547.97357221003426</v>
      </c>
      <c r="C544">
        <v>2061.5389907550698</v>
      </c>
      <c r="D544">
        <v>955.79240574770961</v>
      </c>
      <c r="E544">
        <v>1243.2449224486818</v>
      </c>
      <c r="F544">
        <v>0.9240746895596158</v>
      </c>
      <c r="G544">
        <v>0.65063252319875065</v>
      </c>
      <c r="H544">
        <v>1.0496529277997945E-2</v>
      </c>
      <c r="I544">
        <v>0.1695021568356081</v>
      </c>
      <c r="J544">
        <v>0.5286590806301843</v>
      </c>
      <c r="L544">
        <v>9567.9578075490772</v>
      </c>
      <c r="M544">
        <v>9.9539899660971685</v>
      </c>
      <c r="N544">
        <v>8.5459146772663281</v>
      </c>
      <c r="O544">
        <v>18070.016795032385</v>
      </c>
      <c r="P544">
        <v>11.106605088237185</v>
      </c>
      <c r="Q544">
        <v>9.7764839871129077</v>
      </c>
      <c r="S544">
        <f t="shared" si="34"/>
        <v>845023.50991908379</v>
      </c>
      <c r="T544">
        <f t="shared" si="35"/>
        <v>959578.38191625837</v>
      </c>
      <c r="V544">
        <f t="shared" si="32"/>
        <v>0</v>
      </c>
      <c r="W544">
        <f t="shared" si="33"/>
        <v>1</v>
      </c>
    </row>
    <row r="545" spans="1:23" x14ac:dyDescent="0.2">
      <c r="A545">
        <v>540</v>
      </c>
      <c r="B545">
        <v>492.33004875052279</v>
      </c>
      <c r="C545">
        <v>2138.5809410661368</v>
      </c>
      <c r="D545">
        <v>976.1593134944319</v>
      </c>
      <c r="E545">
        <v>1063.8008375439861</v>
      </c>
      <c r="F545">
        <v>0.95751670871039063</v>
      </c>
      <c r="G545">
        <v>0.64152258344063295</v>
      </c>
      <c r="H545">
        <v>1.159799648234423E-2</v>
      </c>
      <c r="I545">
        <v>0.16823512320252709</v>
      </c>
      <c r="J545">
        <v>0.55038572412501974</v>
      </c>
      <c r="L545">
        <v>9357.5375912742111</v>
      </c>
      <c r="M545">
        <v>9.7776512326727119</v>
      </c>
      <c r="N545">
        <v>8.5756278697106847</v>
      </c>
      <c r="O545">
        <v>17602.590433749639</v>
      </c>
      <c r="P545">
        <v>10.87474097451382</v>
      </c>
      <c r="Q545">
        <v>9.8049383277820414</v>
      </c>
      <c r="S545">
        <f t="shared" si="34"/>
        <v>848205.24937979423</v>
      </c>
      <c r="T545">
        <f t="shared" si="35"/>
        <v>962891.24234445451</v>
      </c>
      <c r="V545">
        <f t="shared" si="32"/>
        <v>0</v>
      </c>
      <c r="W545">
        <f t="shared" si="33"/>
        <v>1</v>
      </c>
    </row>
    <row r="546" spans="1:23" x14ac:dyDescent="0.2">
      <c r="A546">
        <v>541</v>
      </c>
      <c r="B546">
        <v>322.60712098872131</v>
      </c>
      <c r="C546">
        <v>3542.6909291343322</v>
      </c>
      <c r="D546">
        <v>1054.9295909975212</v>
      </c>
      <c r="E546">
        <v>958.60607239468447</v>
      </c>
      <c r="F546">
        <v>0.94458908916687201</v>
      </c>
      <c r="G546">
        <v>0.68372985926523333</v>
      </c>
      <c r="H546">
        <v>1.1439058152724529E-2</v>
      </c>
      <c r="I546">
        <v>0.13265949642382796</v>
      </c>
      <c r="J546">
        <v>0.50371719403905235</v>
      </c>
      <c r="L546">
        <v>12926.782368842434</v>
      </c>
      <c r="M546">
        <v>10.205268028191444</v>
      </c>
      <c r="N546">
        <v>8.8889463236249231</v>
      </c>
      <c r="O546">
        <v>20451.89029669332</v>
      </c>
      <c r="P546">
        <v>11.336039847131813</v>
      </c>
      <c r="Q546">
        <v>10.157568633161036</v>
      </c>
      <c r="S546">
        <f t="shared" si="34"/>
        <v>875967.84999364987</v>
      </c>
      <c r="T546">
        <f t="shared" si="35"/>
        <v>995304.97301941027</v>
      </c>
      <c r="V546">
        <f t="shared" si="32"/>
        <v>0</v>
      </c>
      <c r="W546">
        <f t="shared" si="33"/>
        <v>1</v>
      </c>
    </row>
    <row r="547" spans="1:23" x14ac:dyDescent="0.2">
      <c r="A547">
        <v>542</v>
      </c>
      <c r="B547">
        <v>590.1277020285255</v>
      </c>
      <c r="C547">
        <v>3993.7791692445921</v>
      </c>
      <c r="D547">
        <v>1063.1729684530749</v>
      </c>
      <c r="E547">
        <v>1027.8137744707608</v>
      </c>
      <c r="F547">
        <v>0.95131943707592093</v>
      </c>
      <c r="G547">
        <v>0.66763847223706652</v>
      </c>
      <c r="H547">
        <v>8.4742251911374585E-3</v>
      </c>
      <c r="I547">
        <v>0.1338681947720857</v>
      </c>
      <c r="J547">
        <v>0.41240899178264345</v>
      </c>
      <c r="L547">
        <v>15281.893243345639</v>
      </c>
      <c r="M547">
        <v>10.701312785056945</v>
      </c>
      <c r="N547">
        <v>9.4620606375707279</v>
      </c>
      <c r="O547">
        <v>23765.1061653449</v>
      </c>
      <c r="P547">
        <v>12.033682524419826</v>
      </c>
      <c r="Q547">
        <v>11.004873416410089</v>
      </c>
      <c r="S547">
        <f t="shared" si="34"/>
        <v>930924.17051372712</v>
      </c>
      <c r="T547">
        <f t="shared" si="35"/>
        <v>1076722.235475664</v>
      </c>
      <c r="V547">
        <f t="shared" si="32"/>
        <v>0</v>
      </c>
      <c r="W547">
        <f t="shared" si="33"/>
        <v>1</v>
      </c>
    </row>
    <row r="548" spans="1:23" x14ac:dyDescent="0.2">
      <c r="A548">
        <v>543</v>
      </c>
      <c r="B548">
        <v>377.83873184607921</v>
      </c>
      <c r="C548">
        <v>3357.7233999494138</v>
      </c>
      <c r="D548">
        <v>820.82146337738118</v>
      </c>
      <c r="E548">
        <v>1049.915915555945</v>
      </c>
      <c r="F548">
        <v>0.94531566706744896</v>
      </c>
      <c r="G548">
        <v>0.86979646794372067</v>
      </c>
      <c r="H548">
        <v>9.0770407305890959E-3</v>
      </c>
      <c r="I548">
        <v>0.1526084714488356</v>
      </c>
      <c r="J548">
        <v>0.52323737044928431</v>
      </c>
      <c r="L548">
        <v>11484.129093051612</v>
      </c>
      <c r="M548">
        <v>10.384409523765356</v>
      </c>
      <c r="N548">
        <v>9.6347161810723989</v>
      </c>
      <c r="O548">
        <v>17799.599338604097</v>
      </c>
      <c r="P548">
        <v>11.474008681707936</v>
      </c>
      <c r="Q548">
        <v>10.714811662042976</v>
      </c>
      <c r="S548">
        <f t="shared" si="34"/>
        <v>951987.48901418829</v>
      </c>
      <c r="T548">
        <f t="shared" si="35"/>
        <v>1053681.5668656935</v>
      </c>
      <c r="V548">
        <f t="shared" si="32"/>
        <v>0</v>
      </c>
      <c r="W548">
        <f t="shared" si="33"/>
        <v>1</v>
      </c>
    </row>
    <row r="549" spans="1:23" x14ac:dyDescent="0.2">
      <c r="A549">
        <v>544</v>
      </c>
      <c r="B549">
        <v>600.55601350268807</v>
      </c>
      <c r="C549">
        <v>3140.4154504612125</v>
      </c>
      <c r="D549">
        <v>956.72239262213805</v>
      </c>
      <c r="E549">
        <v>1175.998082727991</v>
      </c>
      <c r="F549">
        <v>0.94057531123144156</v>
      </c>
      <c r="G549">
        <v>0.86798275942480674</v>
      </c>
      <c r="H549">
        <v>8.4460298227052068E-3</v>
      </c>
      <c r="I549">
        <v>0.13017341693569004</v>
      </c>
      <c r="J549">
        <v>0.46846930018494204</v>
      </c>
      <c r="L549">
        <v>13376.731347942543</v>
      </c>
      <c r="M549">
        <v>10.748773638567329</v>
      </c>
      <c r="N549">
        <v>9.9234513540748956</v>
      </c>
      <c r="O549">
        <v>21507.859815109023</v>
      </c>
      <c r="P549">
        <v>11.897394494830435</v>
      </c>
      <c r="Q549">
        <v>11.06578701163683</v>
      </c>
      <c r="S549">
        <f t="shared" si="34"/>
        <v>978968.40405954712</v>
      </c>
      <c r="T549">
        <f t="shared" si="35"/>
        <v>1085070.841348574</v>
      </c>
      <c r="V549">
        <f t="shared" si="32"/>
        <v>0</v>
      </c>
      <c r="W549">
        <f t="shared" si="33"/>
        <v>1</v>
      </c>
    </row>
    <row r="550" spans="1:23" x14ac:dyDescent="0.2">
      <c r="A550">
        <v>545</v>
      </c>
      <c r="B550">
        <v>389.23899596800862</v>
      </c>
      <c r="C550">
        <v>3595.8453411759224</v>
      </c>
      <c r="D550">
        <v>1103.2445388126557</v>
      </c>
      <c r="E550">
        <v>1097.8939052758692</v>
      </c>
      <c r="F550">
        <v>0.95101709089600672</v>
      </c>
      <c r="G550">
        <v>0.77247612740369664</v>
      </c>
      <c r="H550">
        <v>7.7561312356887076E-3</v>
      </c>
      <c r="I550">
        <v>0.11442205346081251</v>
      </c>
      <c r="J550">
        <v>0.50395233101491388</v>
      </c>
      <c r="L550">
        <v>13168.975207744446</v>
      </c>
      <c r="M550">
        <v>11.074480100485424</v>
      </c>
      <c r="N550">
        <v>10.057388883346869</v>
      </c>
      <c r="O550">
        <v>22035.833237661474</v>
      </c>
      <c r="P550">
        <v>12.036622244159757</v>
      </c>
      <c r="Q550">
        <v>11.120917870134051</v>
      </c>
      <c r="S550">
        <f t="shared" si="34"/>
        <v>992569.91312694247</v>
      </c>
      <c r="T550">
        <f t="shared" si="35"/>
        <v>1090055.9537757435</v>
      </c>
      <c r="V550">
        <f t="shared" si="32"/>
        <v>0</v>
      </c>
      <c r="W550">
        <f t="shared" si="33"/>
        <v>1</v>
      </c>
    </row>
    <row r="551" spans="1:23" x14ac:dyDescent="0.2">
      <c r="A551">
        <v>546</v>
      </c>
      <c r="B551">
        <v>382.76853370991398</v>
      </c>
      <c r="C551">
        <v>3125.18934252289</v>
      </c>
      <c r="D551">
        <v>1099.6901748487924</v>
      </c>
      <c r="E551">
        <v>1032.9220613673911</v>
      </c>
      <c r="F551">
        <v>0.95734556734022158</v>
      </c>
      <c r="G551">
        <v>0.73641116331240974</v>
      </c>
      <c r="H551">
        <v>8.734680296260653E-3</v>
      </c>
      <c r="I551">
        <v>0.13343565178252698</v>
      </c>
      <c r="J551">
        <v>0.51185425719754896</v>
      </c>
      <c r="L551">
        <v>11483.24026733997</v>
      </c>
      <c r="M551">
        <v>10.655344080852693</v>
      </c>
      <c r="N551">
        <v>9.6328556337284574</v>
      </c>
      <c r="O551">
        <v>20597.71710255196</v>
      </c>
      <c r="P551">
        <v>11.704689297078009</v>
      </c>
      <c r="Q551">
        <v>10.802664159464168</v>
      </c>
      <c r="S551">
        <f t="shared" si="34"/>
        <v>951802.32310550578</v>
      </c>
      <c r="T551">
        <f t="shared" si="35"/>
        <v>1059668.6988438647</v>
      </c>
      <c r="V551">
        <f t="shared" si="32"/>
        <v>0</v>
      </c>
      <c r="W551">
        <f t="shared" si="33"/>
        <v>1</v>
      </c>
    </row>
    <row r="552" spans="1:23" x14ac:dyDescent="0.2">
      <c r="A552">
        <v>547</v>
      </c>
      <c r="B552">
        <v>356.1122155813261</v>
      </c>
      <c r="C552">
        <v>1841.9458997881254</v>
      </c>
      <c r="D552">
        <v>870.64031332344018</v>
      </c>
      <c r="E552">
        <v>1151.7666093100406</v>
      </c>
      <c r="F552">
        <v>0.970757957520887</v>
      </c>
      <c r="G552">
        <v>0.78230277556002581</v>
      </c>
      <c r="H552">
        <v>1.0655682213752821E-2</v>
      </c>
      <c r="I552">
        <v>0.21137704975965199</v>
      </c>
      <c r="J552">
        <v>0.42480769872106627</v>
      </c>
      <c r="L552">
        <v>6972.6994237979152</v>
      </c>
      <c r="M552">
        <v>9.5845070955567557</v>
      </c>
      <c r="N552">
        <v>8.9163239418894484</v>
      </c>
      <c r="O552">
        <v>14944.256478269132</v>
      </c>
      <c r="P552">
        <v>11.222075772645008</v>
      </c>
      <c r="Q552">
        <v>10.635473348956207</v>
      </c>
      <c r="S552">
        <f t="shared" si="34"/>
        <v>884659.69476514694</v>
      </c>
      <c r="T552">
        <f t="shared" si="35"/>
        <v>1048603.0784173517</v>
      </c>
      <c r="V552">
        <f t="shared" si="32"/>
        <v>0</v>
      </c>
      <c r="W552">
        <f t="shared" si="33"/>
        <v>1</v>
      </c>
    </row>
    <row r="553" spans="1:23" x14ac:dyDescent="0.2">
      <c r="A553">
        <v>548</v>
      </c>
      <c r="B553">
        <v>589.50826202964527</v>
      </c>
      <c r="C553">
        <v>3851.1804954746499</v>
      </c>
      <c r="D553">
        <v>930.88090356625855</v>
      </c>
      <c r="E553">
        <v>1282.1087974270172</v>
      </c>
      <c r="F553">
        <v>0.98828718344673883</v>
      </c>
      <c r="G553">
        <v>0.69860160358773549</v>
      </c>
      <c r="H553">
        <v>1.0166135135500413E-2</v>
      </c>
      <c r="I553">
        <v>0.13119509111461219</v>
      </c>
      <c r="J553">
        <v>0.45001613343654373</v>
      </c>
      <c r="L553">
        <v>15636.860090847058</v>
      </c>
      <c r="M553">
        <v>10.425468093910654</v>
      </c>
      <c r="N553">
        <v>9.5017554190236932</v>
      </c>
      <c r="O553">
        <v>22435.705160445203</v>
      </c>
      <c r="P553">
        <v>11.689834203407186</v>
      </c>
      <c r="Q553">
        <v>11.012420519609694</v>
      </c>
      <c r="S553">
        <f t="shared" si="34"/>
        <v>934538.68181152234</v>
      </c>
      <c r="T553">
        <f t="shared" si="35"/>
        <v>1078806.346800524</v>
      </c>
      <c r="V553">
        <f t="shared" si="32"/>
        <v>0</v>
      </c>
      <c r="W553">
        <f t="shared" si="33"/>
        <v>1</v>
      </c>
    </row>
    <row r="554" spans="1:23" x14ac:dyDescent="0.2">
      <c r="A554">
        <v>549</v>
      </c>
      <c r="B554">
        <v>514.9511108300369</v>
      </c>
      <c r="C554">
        <v>3559.2830739824967</v>
      </c>
      <c r="D554">
        <v>1231.3965681809627</v>
      </c>
      <c r="E554">
        <v>917.48861901805844</v>
      </c>
      <c r="F554">
        <v>0.91101855515527508</v>
      </c>
      <c r="G554">
        <v>0.66318413330203385</v>
      </c>
      <c r="H554">
        <v>1.0774654936981935E-2</v>
      </c>
      <c r="I554">
        <v>0.15444775545784006</v>
      </c>
      <c r="J554">
        <v>0.66431949254838629</v>
      </c>
      <c r="L554">
        <v>13336.109622999484</v>
      </c>
      <c r="M554">
        <v>10.055483978696323</v>
      </c>
      <c r="N554">
        <v>8.5261383108672941</v>
      </c>
      <c r="O554">
        <v>23034.622456515724</v>
      </c>
      <c r="P554">
        <v>10.786106246383062</v>
      </c>
      <c r="Q554">
        <v>9.29402434812034</v>
      </c>
      <c r="S554">
        <f t="shared" si="34"/>
        <v>839277.72146372998</v>
      </c>
      <c r="T554">
        <f t="shared" si="35"/>
        <v>906367.81235551834</v>
      </c>
      <c r="V554">
        <f t="shared" si="32"/>
        <v>0</v>
      </c>
      <c r="W554">
        <f t="shared" si="33"/>
        <v>1</v>
      </c>
    </row>
    <row r="555" spans="1:23" x14ac:dyDescent="0.2">
      <c r="A555">
        <v>550</v>
      </c>
      <c r="B555">
        <v>432.30566421982979</v>
      </c>
      <c r="C555">
        <v>1919.5376000087267</v>
      </c>
      <c r="D555">
        <v>1040.4262234447942</v>
      </c>
      <c r="E555">
        <v>1638.4932503560503</v>
      </c>
      <c r="F555">
        <v>0.94582460005598556</v>
      </c>
      <c r="G555">
        <v>0.73713030118082312</v>
      </c>
      <c r="H555">
        <v>9.0582927948715305E-3</v>
      </c>
      <c r="I555">
        <v>0.11207120846541724</v>
      </c>
      <c r="J555">
        <v>0.52174876909675572</v>
      </c>
      <c r="L555">
        <v>9514.1675698527033</v>
      </c>
      <c r="M555">
        <v>10.865429316197694</v>
      </c>
      <c r="N555">
        <v>9.6751381667228369</v>
      </c>
      <c r="O555">
        <v>18704.335390300595</v>
      </c>
      <c r="P555">
        <v>11.813606311644277</v>
      </c>
      <c r="Q555">
        <v>10.741250361455441</v>
      </c>
      <c r="S555">
        <f t="shared" si="34"/>
        <v>957999.64910243102</v>
      </c>
      <c r="T555">
        <f t="shared" si="35"/>
        <v>1055420.7007552437</v>
      </c>
      <c r="V555">
        <f t="shared" si="32"/>
        <v>0</v>
      </c>
      <c r="W555">
        <f t="shared" si="33"/>
        <v>1</v>
      </c>
    </row>
    <row r="556" spans="1:23" x14ac:dyDescent="0.2">
      <c r="A556">
        <v>551</v>
      </c>
      <c r="B556">
        <v>567.55568595488978</v>
      </c>
      <c r="C556">
        <v>2511.6978422507018</v>
      </c>
      <c r="D556">
        <v>1057.6371580073508</v>
      </c>
      <c r="E556">
        <v>949.38870664953208</v>
      </c>
      <c r="F556">
        <v>0.96289697765729509</v>
      </c>
      <c r="G556">
        <v>0.61535349864652744</v>
      </c>
      <c r="H556">
        <v>8.865130110805728E-3</v>
      </c>
      <c r="I556">
        <v>0.17060461567372476</v>
      </c>
      <c r="J556">
        <v>0.47012288418410175</v>
      </c>
      <c r="L556">
        <v>10495.343434840614</v>
      </c>
      <c r="M556">
        <v>10.261067972835036</v>
      </c>
      <c r="N556">
        <v>9.1094571647192293</v>
      </c>
      <c r="O556">
        <v>20370.66765048201</v>
      </c>
      <c r="P556">
        <v>11.562081034144851</v>
      </c>
      <c r="Q556">
        <v>10.60934342629132</v>
      </c>
      <c r="S556">
        <f t="shared" si="34"/>
        <v>900450.37303708238</v>
      </c>
      <c r="T556">
        <f t="shared" si="35"/>
        <v>1040563.6749786498</v>
      </c>
      <c r="V556">
        <f t="shared" si="32"/>
        <v>0</v>
      </c>
      <c r="W556">
        <f t="shared" si="33"/>
        <v>1</v>
      </c>
    </row>
    <row r="557" spans="1:23" x14ac:dyDescent="0.2">
      <c r="A557">
        <v>552</v>
      </c>
      <c r="B557">
        <v>394.40537083245471</v>
      </c>
      <c r="C557">
        <v>2791.9402064926794</v>
      </c>
      <c r="D557">
        <v>875.80192913592487</v>
      </c>
      <c r="E557">
        <v>1021.1910244384258</v>
      </c>
      <c r="F557">
        <v>0.92926688425867388</v>
      </c>
      <c r="G557">
        <v>0.81395276871497768</v>
      </c>
      <c r="H557">
        <v>1.0122527721625292E-2</v>
      </c>
      <c r="I557">
        <v>0.16979043199897015</v>
      </c>
      <c r="J557">
        <v>0.46077300425188611</v>
      </c>
      <c r="L557">
        <v>9991.7174772671951</v>
      </c>
      <c r="M557">
        <v>10.019717926713721</v>
      </c>
      <c r="N557">
        <v>9.0400838536356254</v>
      </c>
      <c r="O557">
        <v>17206.169446896914</v>
      </c>
      <c r="P557">
        <v>11.390493129283293</v>
      </c>
      <c r="Q557">
        <v>10.398558014977596</v>
      </c>
      <c r="S557">
        <f t="shared" si="34"/>
        <v>894016.66788629536</v>
      </c>
      <c r="T557">
        <f t="shared" si="35"/>
        <v>1022649.6320508627</v>
      </c>
      <c r="V557">
        <f t="shared" si="32"/>
        <v>0</v>
      </c>
      <c r="W557">
        <f t="shared" si="33"/>
        <v>1</v>
      </c>
    </row>
    <row r="558" spans="1:23" x14ac:dyDescent="0.2">
      <c r="A558">
        <v>553</v>
      </c>
      <c r="B558">
        <v>650.05458908292383</v>
      </c>
      <c r="C558">
        <v>2838.516580036141</v>
      </c>
      <c r="D558">
        <v>939.01473932913404</v>
      </c>
      <c r="E558">
        <v>982.58265080986155</v>
      </c>
      <c r="F558">
        <v>0.94517441686830739</v>
      </c>
      <c r="G558">
        <v>0.8622772050562042</v>
      </c>
      <c r="H558">
        <v>9.9597165422981304E-3</v>
      </c>
      <c r="I558">
        <v>0.10599971367602533</v>
      </c>
      <c r="J558">
        <v>0.53697898196646532</v>
      </c>
      <c r="L558">
        <v>14113.759678302726</v>
      </c>
      <c r="M558">
        <v>10.807725967718946</v>
      </c>
      <c r="N558">
        <v>9.9588903002547688</v>
      </c>
      <c r="O558">
        <v>21706.076144857812</v>
      </c>
      <c r="P558">
        <v>11.71086556766973</v>
      </c>
      <c r="Q558">
        <v>10.879162511777276</v>
      </c>
      <c r="S558">
        <f t="shared" si="34"/>
        <v>981775.27034717426</v>
      </c>
      <c r="T558">
        <f t="shared" si="35"/>
        <v>1066210.1750328697</v>
      </c>
      <c r="V558">
        <f t="shared" si="32"/>
        <v>0</v>
      </c>
      <c r="W558">
        <f t="shared" si="33"/>
        <v>1</v>
      </c>
    </row>
    <row r="559" spans="1:23" x14ac:dyDescent="0.2">
      <c r="A559">
        <v>554</v>
      </c>
      <c r="B559">
        <v>521.47602814725735</v>
      </c>
      <c r="C559">
        <v>2685.3436970686112</v>
      </c>
      <c r="D559">
        <v>963.96836531134625</v>
      </c>
      <c r="E559">
        <v>1254.8728760508104</v>
      </c>
      <c r="F559">
        <v>0.8690962625134584</v>
      </c>
      <c r="G559">
        <v>0.83619372133221748</v>
      </c>
      <c r="H559">
        <v>1.0998151854996523E-2</v>
      </c>
      <c r="I559">
        <v>0.17629815502128654</v>
      </c>
      <c r="J559">
        <v>0.5608512807633752</v>
      </c>
      <c r="L559">
        <v>10753.096146312024</v>
      </c>
      <c r="M559">
        <v>9.8024958983112285</v>
      </c>
      <c r="N559">
        <v>8.4414901845701387</v>
      </c>
      <c r="O559">
        <v>18763.944826304796</v>
      </c>
      <c r="P559">
        <v>10.877574797437896</v>
      </c>
      <c r="Q559">
        <v>9.3933265759904288</v>
      </c>
      <c r="S559">
        <f t="shared" si="34"/>
        <v>833395.9223107018</v>
      </c>
      <c r="T559">
        <f t="shared" si="35"/>
        <v>920568.71277273807</v>
      </c>
      <c r="V559">
        <f t="shared" si="32"/>
        <v>0</v>
      </c>
      <c r="W559">
        <f t="shared" si="33"/>
        <v>1</v>
      </c>
    </row>
    <row r="560" spans="1:23" x14ac:dyDescent="0.2">
      <c r="A560">
        <v>555</v>
      </c>
      <c r="B560">
        <v>462.51949924728075</v>
      </c>
      <c r="C560">
        <v>3473.736143643589</v>
      </c>
      <c r="D560">
        <v>1025.1618002638502</v>
      </c>
      <c r="E560">
        <v>690.37641291341254</v>
      </c>
      <c r="F560">
        <v>0.92197496783817057</v>
      </c>
      <c r="G560">
        <v>0.68583033255076198</v>
      </c>
      <c r="H560">
        <v>9.0403992298815107E-3</v>
      </c>
      <c r="I560">
        <v>0.12092173105789158</v>
      </c>
      <c r="J560">
        <v>0.46352809157478669</v>
      </c>
      <c r="L560">
        <v>13519.975650905008</v>
      </c>
      <c r="M560">
        <v>10.750130223661545</v>
      </c>
      <c r="N560">
        <v>9.259098538655266</v>
      </c>
      <c r="O560">
        <v>21526.431467128226</v>
      </c>
      <c r="P560">
        <v>11.893623758652893</v>
      </c>
      <c r="Q560">
        <v>10.528314498669117</v>
      </c>
      <c r="S560">
        <f t="shared" si="34"/>
        <v>912389.87821462157</v>
      </c>
      <c r="T560">
        <f t="shared" si="35"/>
        <v>1031305.0183997834</v>
      </c>
      <c r="V560">
        <f t="shared" si="32"/>
        <v>0</v>
      </c>
      <c r="W560">
        <f t="shared" si="33"/>
        <v>1</v>
      </c>
    </row>
    <row r="561" spans="1:23" x14ac:dyDescent="0.2">
      <c r="A561">
        <v>556</v>
      </c>
      <c r="B561">
        <v>305.83677445677785</v>
      </c>
      <c r="C561">
        <v>4342.5263385066683</v>
      </c>
      <c r="D561">
        <v>867.32514973123057</v>
      </c>
      <c r="E561">
        <v>1001.8244887710155</v>
      </c>
      <c r="F561">
        <v>0.98427365896663876</v>
      </c>
      <c r="G561">
        <v>0.76507219153947359</v>
      </c>
      <c r="H561">
        <v>7.9463216033809504E-3</v>
      </c>
      <c r="I561">
        <v>0.1453504820885666</v>
      </c>
      <c r="J561">
        <v>0.50177665711829755</v>
      </c>
      <c r="L561">
        <v>13061.341653558067</v>
      </c>
      <c r="M561">
        <v>10.689998530776117</v>
      </c>
      <c r="N561">
        <v>10.008671989075667</v>
      </c>
      <c r="O561">
        <v>19186.937814897243</v>
      </c>
      <c r="P561">
        <v>11.781030446578429</v>
      </c>
      <c r="Q561">
        <v>11.24094160703156</v>
      </c>
      <c r="S561">
        <f t="shared" si="34"/>
        <v>987805.85725400865</v>
      </c>
      <c r="T561">
        <f t="shared" si="35"/>
        <v>1104907.222888259</v>
      </c>
      <c r="V561">
        <f t="shared" si="32"/>
        <v>0</v>
      </c>
      <c r="W561">
        <f t="shared" si="33"/>
        <v>1</v>
      </c>
    </row>
    <row r="562" spans="1:23" x14ac:dyDescent="0.2">
      <c r="A562">
        <v>557</v>
      </c>
      <c r="B562">
        <v>504.80632848352997</v>
      </c>
      <c r="C562">
        <v>2652.2061805252606</v>
      </c>
      <c r="D562">
        <v>1078.5581096535136</v>
      </c>
      <c r="E562">
        <v>1416.5993972568979</v>
      </c>
      <c r="F562">
        <v>0.93166459315859185</v>
      </c>
      <c r="G562">
        <v>0.75846785738776146</v>
      </c>
      <c r="H562">
        <v>8.7299544445907165E-3</v>
      </c>
      <c r="I562">
        <v>0.16431440483768867</v>
      </c>
      <c r="J562">
        <v>0.50697100240458792</v>
      </c>
      <c r="L562">
        <v>10597.862954447495</v>
      </c>
      <c r="M562">
        <v>10.344601405121002</v>
      </c>
      <c r="N562">
        <v>9.2465169815942261</v>
      </c>
      <c r="O562">
        <v>20300.735166856677</v>
      </c>
      <c r="P562">
        <v>11.506399998144056</v>
      </c>
      <c r="Q562">
        <v>10.443079114867867</v>
      </c>
      <c r="S562">
        <f t="shared" si="34"/>
        <v>914053.8352049751</v>
      </c>
      <c r="T562">
        <f t="shared" si="35"/>
        <v>1024007.17631993</v>
      </c>
      <c r="V562">
        <f t="shared" si="32"/>
        <v>0</v>
      </c>
      <c r="W562">
        <f t="shared" si="33"/>
        <v>1</v>
      </c>
    </row>
    <row r="563" spans="1:23" x14ac:dyDescent="0.2">
      <c r="A563">
        <v>558</v>
      </c>
      <c r="B563">
        <v>415.04197176261715</v>
      </c>
      <c r="C563">
        <v>2269.5818346894685</v>
      </c>
      <c r="D563">
        <v>839.31010216864058</v>
      </c>
      <c r="E563">
        <v>855.7291204133744</v>
      </c>
      <c r="F563">
        <v>0.93007481886520516</v>
      </c>
      <c r="G563">
        <v>0.84101015398165802</v>
      </c>
      <c r="H563">
        <v>1.0866937758344353E-2</v>
      </c>
      <c r="I563">
        <v>0.1487045229609108</v>
      </c>
      <c r="J563">
        <v>0.47848312804386756</v>
      </c>
      <c r="L563">
        <v>9408.0713486555542</v>
      </c>
      <c r="M563">
        <v>10.102485024085325</v>
      </c>
      <c r="N563">
        <v>9.1616917379217586</v>
      </c>
      <c r="O563">
        <v>16382.438577327899</v>
      </c>
      <c r="P563">
        <v>11.361711005891907</v>
      </c>
      <c r="Q563">
        <v>10.401125837549008</v>
      </c>
      <c r="S563">
        <f t="shared" si="34"/>
        <v>906761.10244352033</v>
      </c>
      <c r="T563">
        <f t="shared" si="35"/>
        <v>1023730.145177573</v>
      </c>
      <c r="V563">
        <f t="shared" si="32"/>
        <v>0</v>
      </c>
      <c r="W563">
        <f t="shared" si="33"/>
        <v>1</v>
      </c>
    </row>
    <row r="564" spans="1:23" x14ac:dyDescent="0.2">
      <c r="A564">
        <v>559</v>
      </c>
      <c r="B564">
        <v>592.58642705557509</v>
      </c>
      <c r="C564">
        <v>2307.568003144776</v>
      </c>
      <c r="D564">
        <v>1239.0659245800091</v>
      </c>
      <c r="E564">
        <v>855.29881823991491</v>
      </c>
      <c r="F564">
        <v>0.92267557410452461</v>
      </c>
      <c r="G564">
        <v>0.73447222378165666</v>
      </c>
      <c r="H564">
        <v>8.6128549162906506E-3</v>
      </c>
      <c r="I564">
        <v>0.12701972299201894</v>
      </c>
      <c r="J564">
        <v>0.49027722192251605</v>
      </c>
      <c r="L564">
        <v>11167.861710138704</v>
      </c>
      <c r="M564">
        <v>10.753475376911972</v>
      </c>
      <c r="N564">
        <v>9.4270588722368629</v>
      </c>
      <c r="O564">
        <v>22734.684799485956</v>
      </c>
      <c r="P564">
        <v>11.834116633222147</v>
      </c>
      <c r="Q564">
        <v>10.578192429148514</v>
      </c>
      <c r="S564">
        <f t="shared" si="34"/>
        <v>931538.02551354759</v>
      </c>
      <c r="T564">
        <f t="shared" si="35"/>
        <v>1035084.5581153653</v>
      </c>
      <c r="V564">
        <f t="shared" si="32"/>
        <v>0</v>
      </c>
      <c r="W564">
        <f t="shared" si="33"/>
        <v>1</v>
      </c>
    </row>
    <row r="565" spans="1:23" x14ac:dyDescent="0.2">
      <c r="A565">
        <v>560</v>
      </c>
      <c r="B565">
        <v>509.25306412884959</v>
      </c>
      <c r="C565">
        <v>2646.3097961311364</v>
      </c>
      <c r="D565">
        <v>1218.3630126301787</v>
      </c>
      <c r="E565">
        <v>463.98214147516484</v>
      </c>
      <c r="F565">
        <v>0.9709143133327427</v>
      </c>
      <c r="G565">
        <v>0.69939922259418308</v>
      </c>
      <c r="H565">
        <v>1.069064309088642E-2</v>
      </c>
      <c r="I565">
        <v>0.16721621579009949</v>
      </c>
      <c r="J565">
        <v>0.57136586724908989</v>
      </c>
      <c r="L565">
        <v>10431.334705061823</v>
      </c>
      <c r="M565">
        <v>9.9411407258371494</v>
      </c>
      <c r="N565">
        <v>8.9937836639021924</v>
      </c>
      <c r="O565">
        <v>20813.879993373248</v>
      </c>
      <c r="P565">
        <v>10.958704333808422</v>
      </c>
      <c r="Q565">
        <v>10.127213946509634</v>
      </c>
      <c r="S565">
        <f t="shared" si="34"/>
        <v>888947.03168515733</v>
      </c>
      <c r="T565">
        <f t="shared" si="35"/>
        <v>991907.51465759019</v>
      </c>
      <c r="V565">
        <f t="shared" si="32"/>
        <v>0</v>
      </c>
      <c r="W565">
        <f t="shared" si="33"/>
        <v>1</v>
      </c>
    </row>
    <row r="566" spans="1:23" x14ac:dyDescent="0.2">
      <c r="A566">
        <v>561</v>
      </c>
      <c r="B566">
        <v>351.16740311303204</v>
      </c>
      <c r="C566">
        <v>3112.704145601765</v>
      </c>
      <c r="D566">
        <v>1069.5000269176485</v>
      </c>
      <c r="E566">
        <v>1201.9623919802186</v>
      </c>
      <c r="F566">
        <v>0.93947704932197063</v>
      </c>
      <c r="G566">
        <v>0.59705389900569672</v>
      </c>
      <c r="H566">
        <v>9.6806180739089417E-3</v>
      </c>
      <c r="I566">
        <v>0.10735643708362617</v>
      </c>
      <c r="J566">
        <v>0.41337348586701628</v>
      </c>
      <c r="L566">
        <v>12575.811484639218</v>
      </c>
      <c r="M566">
        <v>10.830723207628708</v>
      </c>
      <c r="N566">
        <v>9.1360186019122871</v>
      </c>
      <c r="O566">
        <v>20633.680590910939</v>
      </c>
      <c r="P566">
        <v>12.068894961569608</v>
      </c>
      <c r="Q566">
        <v>10.682627557410397</v>
      </c>
      <c r="S566">
        <f t="shared" si="34"/>
        <v>901026.0487065895</v>
      </c>
      <c r="T566">
        <f t="shared" si="35"/>
        <v>1047629.0751501288</v>
      </c>
      <c r="V566">
        <f t="shared" si="32"/>
        <v>0</v>
      </c>
      <c r="W566">
        <f t="shared" si="33"/>
        <v>1</v>
      </c>
    </row>
    <row r="567" spans="1:23" x14ac:dyDescent="0.2">
      <c r="A567">
        <v>562</v>
      </c>
      <c r="B567">
        <v>559.11859080237696</v>
      </c>
      <c r="C567">
        <v>2541.079472984321</v>
      </c>
      <c r="D567">
        <v>941.55686715430329</v>
      </c>
      <c r="E567">
        <v>1013.8395142234052</v>
      </c>
      <c r="F567">
        <v>0.92584220035525389</v>
      </c>
      <c r="G567">
        <v>0.60266518322566331</v>
      </c>
      <c r="H567">
        <v>9.6712155903612446E-3</v>
      </c>
      <c r="I567">
        <v>0.14018382310932978</v>
      </c>
      <c r="J567">
        <v>0.47742224440426229</v>
      </c>
      <c r="L567">
        <v>11352.285970553088</v>
      </c>
      <c r="M567">
        <v>10.404435838770338</v>
      </c>
      <c r="N567">
        <v>8.7907261782117221</v>
      </c>
      <c r="O567">
        <v>19552.902982380358</v>
      </c>
      <c r="P567">
        <v>11.606536607166856</v>
      </c>
      <c r="Q567">
        <v>10.162269481284216</v>
      </c>
      <c r="S567">
        <f t="shared" si="34"/>
        <v>867720.33185061917</v>
      </c>
      <c r="T567">
        <f t="shared" si="35"/>
        <v>996674.04514604132</v>
      </c>
      <c r="V567">
        <f t="shared" si="32"/>
        <v>0</v>
      </c>
      <c r="W567">
        <f t="shared" si="33"/>
        <v>1</v>
      </c>
    </row>
    <row r="568" spans="1:23" x14ac:dyDescent="0.2">
      <c r="A568">
        <v>563</v>
      </c>
      <c r="B568">
        <v>544.2286802592273</v>
      </c>
      <c r="C568">
        <v>3676.1776557942344</v>
      </c>
      <c r="D568">
        <v>1258.7592792076787</v>
      </c>
      <c r="E568">
        <v>696.8870266519084</v>
      </c>
      <c r="F568">
        <v>0.95334997750076367</v>
      </c>
      <c r="G568">
        <v>0.8270045642693562</v>
      </c>
      <c r="H568">
        <v>1.0608417075472923E-2</v>
      </c>
      <c r="I568">
        <v>0.15286712698011695</v>
      </c>
      <c r="J568">
        <v>0.55039251415744606</v>
      </c>
      <c r="L568">
        <v>13793.951293256589</v>
      </c>
      <c r="M568">
        <v>10.100597581674039</v>
      </c>
      <c r="N568">
        <v>9.3057102437794654</v>
      </c>
      <c r="O568">
        <v>23955.96525931999</v>
      </c>
      <c r="P568">
        <v>11.143282301930492</v>
      </c>
      <c r="Q568">
        <v>10.376799577302641</v>
      </c>
      <c r="S568">
        <f t="shared" si="34"/>
        <v>916777.07308468991</v>
      </c>
      <c r="T568">
        <f t="shared" si="35"/>
        <v>1013723.9924709442</v>
      </c>
      <c r="V568">
        <f t="shared" si="32"/>
        <v>0</v>
      </c>
      <c r="W568">
        <f t="shared" si="33"/>
        <v>1</v>
      </c>
    </row>
    <row r="569" spans="1:23" x14ac:dyDescent="0.2">
      <c r="A569">
        <v>564</v>
      </c>
      <c r="B569">
        <v>603.41758020983093</v>
      </c>
      <c r="C569">
        <v>3186.6837473325422</v>
      </c>
      <c r="D569">
        <v>886.78343855975811</v>
      </c>
      <c r="E569">
        <v>1377.8976913541453</v>
      </c>
      <c r="F569">
        <v>0.92995290103282757</v>
      </c>
      <c r="G569">
        <v>0.76110197657785839</v>
      </c>
      <c r="H569">
        <v>9.7660576151703017E-3</v>
      </c>
      <c r="I569">
        <v>0.21366444568069076</v>
      </c>
      <c r="J569">
        <v>0.48955926009130568</v>
      </c>
      <c r="L569">
        <v>11563.884530621097</v>
      </c>
      <c r="M569">
        <v>9.7460358613558604</v>
      </c>
      <c r="N569">
        <v>8.7299001997146863</v>
      </c>
      <c r="O569">
        <v>19361.750417972191</v>
      </c>
      <c r="P569">
        <v>11.116746328887318</v>
      </c>
      <c r="Q569">
        <v>10.100953820858621</v>
      </c>
      <c r="S569">
        <f t="shared" si="34"/>
        <v>861426.13544084749</v>
      </c>
      <c r="T569">
        <f t="shared" si="35"/>
        <v>990733.63166788989</v>
      </c>
      <c r="V569">
        <f t="shared" si="32"/>
        <v>0</v>
      </c>
      <c r="W569">
        <f t="shared" si="33"/>
        <v>1</v>
      </c>
    </row>
    <row r="570" spans="1:23" x14ac:dyDescent="0.2">
      <c r="A570">
        <v>565</v>
      </c>
      <c r="B570">
        <v>322.91762288122203</v>
      </c>
      <c r="C570">
        <v>3338.3944806181994</v>
      </c>
      <c r="D570">
        <v>1270.7616099481947</v>
      </c>
      <c r="E570">
        <v>882.53621906735691</v>
      </c>
      <c r="F570">
        <v>0.97344988892054141</v>
      </c>
      <c r="G570">
        <v>0.75359434640782497</v>
      </c>
      <c r="H570">
        <v>8.5018870686472889E-3</v>
      </c>
      <c r="I570">
        <v>0.16349410951912802</v>
      </c>
      <c r="J570">
        <v>0.50934650571761197</v>
      </c>
      <c r="L570">
        <v>10436.966799145386</v>
      </c>
      <c r="M570">
        <v>10.400310597431206</v>
      </c>
      <c r="N570">
        <v>9.6316597874080045</v>
      </c>
      <c r="O570">
        <v>21391.071835191909</v>
      </c>
      <c r="P570">
        <v>11.544948028002457</v>
      </c>
      <c r="Q570">
        <v>10.890183662486814</v>
      </c>
      <c r="S570">
        <f t="shared" si="34"/>
        <v>952729.01194165507</v>
      </c>
      <c r="T570">
        <f t="shared" si="35"/>
        <v>1067627.2944134895</v>
      </c>
      <c r="V570">
        <f t="shared" si="32"/>
        <v>0</v>
      </c>
      <c r="W570">
        <f t="shared" si="33"/>
        <v>1</v>
      </c>
    </row>
    <row r="571" spans="1:23" x14ac:dyDescent="0.2">
      <c r="A571">
        <v>566</v>
      </c>
      <c r="B571">
        <v>496.27707151261734</v>
      </c>
      <c r="C571">
        <v>3197.2187124636926</v>
      </c>
      <c r="D571">
        <v>911.89805795091229</v>
      </c>
      <c r="E571">
        <v>733.32143474677025</v>
      </c>
      <c r="F571">
        <v>0.94442449647449378</v>
      </c>
      <c r="G571">
        <v>0.70406728428658016</v>
      </c>
      <c r="H571">
        <v>1.0662958328036124E-2</v>
      </c>
      <c r="I571">
        <v>0.19458007005943923</v>
      </c>
      <c r="J571">
        <v>0.410169228370596</v>
      </c>
      <c r="L571">
        <v>11028.411375017848</v>
      </c>
      <c r="M571">
        <v>9.7081956339432214</v>
      </c>
      <c r="N571">
        <v>8.6437205338445935</v>
      </c>
      <c r="O571">
        <v>18743.858997849577</v>
      </c>
      <c r="P571">
        <v>11.359090575333477</v>
      </c>
      <c r="Q571">
        <v>10.385848041912684</v>
      </c>
      <c r="S571">
        <f t="shared" si="34"/>
        <v>853343.64200944151</v>
      </c>
      <c r="T571">
        <f t="shared" si="35"/>
        <v>1019840.9451934188</v>
      </c>
      <c r="V571">
        <f t="shared" si="32"/>
        <v>0</v>
      </c>
      <c r="W571">
        <f t="shared" si="33"/>
        <v>1</v>
      </c>
    </row>
    <row r="572" spans="1:23" x14ac:dyDescent="0.2">
      <c r="A572">
        <v>567</v>
      </c>
      <c r="B572">
        <v>511.31598669006161</v>
      </c>
      <c r="C572">
        <v>3974.6207722012668</v>
      </c>
      <c r="D572">
        <v>1089.4330724882341</v>
      </c>
      <c r="E572">
        <v>900.78055748567715</v>
      </c>
      <c r="F572">
        <v>0.97833371208614039</v>
      </c>
      <c r="G572">
        <v>0.68957386978441948</v>
      </c>
      <c r="H572">
        <v>9.4764095428053838E-3</v>
      </c>
      <c r="I572">
        <v>0.16641568533936246</v>
      </c>
      <c r="J572">
        <v>0.48214485909458937</v>
      </c>
      <c r="L572">
        <v>13578.695578246199</v>
      </c>
      <c r="M572">
        <v>10.174101599711543</v>
      </c>
      <c r="N572">
        <v>9.2842336181823413</v>
      </c>
      <c r="O572">
        <v>22398.475253448072</v>
      </c>
      <c r="P572">
        <v>11.443832891156585</v>
      </c>
      <c r="Q572">
        <v>10.729097267109065</v>
      </c>
      <c r="S572">
        <f t="shared" si="34"/>
        <v>914844.66623998794</v>
      </c>
      <c r="T572">
        <f t="shared" si="35"/>
        <v>1050511.2514574584</v>
      </c>
      <c r="V572">
        <f t="shared" si="32"/>
        <v>0</v>
      </c>
      <c r="W572">
        <f t="shared" si="33"/>
        <v>1</v>
      </c>
    </row>
    <row r="573" spans="1:23" x14ac:dyDescent="0.2">
      <c r="A573">
        <v>568</v>
      </c>
      <c r="B573">
        <v>411.7274681065565</v>
      </c>
      <c r="C573">
        <v>3389.3992074874327</v>
      </c>
      <c r="D573">
        <v>1055.4349042874255</v>
      </c>
      <c r="E573">
        <v>967.48043865408499</v>
      </c>
      <c r="F573">
        <v>0.89729923072340911</v>
      </c>
      <c r="G573">
        <v>0.75132130519390139</v>
      </c>
      <c r="H573">
        <v>1.1036112781959935E-2</v>
      </c>
      <c r="I573">
        <v>0.16317350934855801</v>
      </c>
      <c r="J573">
        <v>0.42767457823966049</v>
      </c>
      <c r="L573">
        <v>11903.805192709695</v>
      </c>
      <c r="M573">
        <v>9.9212384558465487</v>
      </c>
      <c r="N573">
        <v>8.5383007476253425</v>
      </c>
      <c r="O573">
        <v>20213.749644136278</v>
      </c>
      <c r="P573">
        <v>11.413008409090235</v>
      </c>
      <c r="Q573">
        <v>9.9974346169863413</v>
      </c>
      <c r="S573">
        <f t="shared" si="34"/>
        <v>841926.26956982457</v>
      </c>
      <c r="T573">
        <f t="shared" si="35"/>
        <v>979529.7120544978</v>
      </c>
      <c r="V573">
        <f t="shared" si="32"/>
        <v>0</v>
      </c>
      <c r="W573">
        <f t="shared" si="33"/>
        <v>1</v>
      </c>
    </row>
    <row r="574" spans="1:23" x14ac:dyDescent="0.2">
      <c r="A574">
        <v>569</v>
      </c>
      <c r="B574">
        <v>456.72941168805772</v>
      </c>
      <c r="C574">
        <v>1717.0869031272587</v>
      </c>
      <c r="D574">
        <v>956.04827486535839</v>
      </c>
      <c r="E574">
        <v>926.34494747076974</v>
      </c>
      <c r="F574">
        <v>0.93101065701525287</v>
      </c>
      <c r="G574">
        <v>0.73277501416859991</v>
      </c>
      <c r="H574">
        <v>1.0241071599052102E-2</v>
      </c>
      <c r="I574">
        <v>0.14132814883620565</v>
      </c>
      <c r="J574">
        <v>0.45573631271006476</v>
      </c>
      <c r="L574">
        <v>8392.4134286734716</v>
      </c>
      <c r="M574">
        <v>10.291384082262182</v>
      </c>
      <c r="N574">
        <v>9.0553294438619254</v>
      </c>
      <c r="O574">
        <v>17149.944431545428</v>
      </c>
      <c r="P574">
        <v>11.582068857054949</v>
      </c>
      <c r="Q574">
        <v>10.424544766894535</v>
      </c>
      <c r="S574">
        <f t="shared" si="34"/>
        <v>897140.53095751908</v>
      </c>
      <c r="T574">
        <f t="shared" si="35"/>
        <v>1025304.532257908</v>
      </c>
      <c r="V574">
        <f t="shared" si="32"/>
        <v>0</v>
      </c>
      <c r="W574">
        <f t="shared" si="33"/>
        <v>1</v>
      </c>
    </row>
    <row r="575" spans="1:23" x14ac:dyDescent="0.2">
      <c r="A575">
        <v>570</v>
      </c>
      <c r="B575">
        <v>695.61081751100039</v>
      </c>
      <c r="C575">
        <v>1954.7724215690787</v>
      </c>
      <c r="D575">
        <v>965.44197260569854</v>
      </c>
      <c r="E575">
        <v>445.76238711372531</v>
      </c>
      <c r="F575">
        <v>0.90406224303170024</v>
      </c>
      <c r="G575">
        <v>0.70216002053047777</v>
      </c>
      <c r="H575">
        <v>1.2276042558675621E-2</v>
      </c>
      <c r="I575">
        <v>0.14505101291242137</v>
      </c>
      <c r="J575">
        <v>0.55871682105822584</v>
      </c>
      <c r="L575">
        <v>10607.510980961881</v>
      </c>
      <c r="M575">
        <v>9.926205563789356</v>
      </c>
      <c r="N575">
        <v>8.409185506025775</v>
      </c>
      <c r="O575">
        <v>18960.186853146006</v>
      </c>
      <c r="P575">
        <v>10.942662057788834</v>
      </c>
      <c r="Q575">
        <v>9.4512451874837105</v>
      </c>
      <c r="S575">
        <f t="shared" si="34"/>
        <v>830311.03962161567</v>
      </c>
      <c r="T575">
        <f t="shared" si="35"/>
        <v>926164.33189522498</v>
      </c>
      <c r="V575">
        <f t="shared" si="32"/>
        <v>0</v>
      </c>
      <c r="W575">
        <f t="shared" si="33"/>
        <v>1</v>
      </c>
    </row>
    <row r="576" spans="1:23" x14ac:dyDescent="0.2">
      <c r="A576">
        <v>571</v>
      </c>
      <c r="B576">
        <v>424.5532444533842</v>
      </c>
      <c r="C576">
        <v>2763.5025711849248</v>
      </c>
      <c r="D576">
        <v>962.84055287078411</v>
      </c>
      <c r="E576">
        <v>1251.7587971438609</v>
      </c>
      <c r="F576">
        <v>0.95585485672149795</v>
      </c>
      <c r="G576">
        <v>0.81865429221304176</v>
      </c>
      <c r="H576">
        <v>1.0121182444184891E-2</v>
      </c>
      <c r="I576">
        <v>0.10255695865207817</v>
      </c>
      <c r="J576">
        <v>0.44305137353324825</v>
      </c>
      <c r="L576">
        <v>12413.814960370102</v>
      </c>
      <c r="M576">
        <v>10.837292983135818</v>
      </c>
      <c r="N576">
        <v>9.924432454519307</v>
      </c>
      <c r="O576">
        <v>19774.458169359441</v>
      </c>
      <c r="P576">
        <v>11.974948463666092</v>
      </c>
      <c r="Q576">
        <v>11.158093910592161</v>
      </c>
      <c r="S576">
        <f t="shared" si="34"/>
        <v>980029.4304915606</v>
      </c>
      <c r="T576">
        <f t="shared" si="35"/>
        <v>1096034.9328898566</v>
      </c>
      <c r="V576">
        <f t="shared" si="32"/>
        <v>0</v>
      </c>
      <c r="W576">
        <f t="shared" si="33"/>
        <v>1</v>
      </c>
    </row>
    <row r="577" spans="1:23" x14ac:dyDescent="0.2">
      <c r="A577">
        <v>572</v>
      </c>
      <c r="B577">
        <v>407.4709685566167</v>
      </c>
      <c r="C577">
        <v>3045.7562780319377</v>
      </c>
      <c r="D577">
        <v>1231.3776709038382</v>
      </c>
      <c r="E577">
        <v>1243.4042011253202</v>
      </c>
      <c r="F577">
        <v>0.95203299909077121</v>
      </c>
      <c r="G577">
        <v>0.69571027819757292</v>
      </c>
      <c r="H577">
        <v>1.1565774943323047E-2</v>
      </c>
      <c r="I577">
        <v>0.1508490186903797</v>
      </c>
      <c r="J577">
        <v>0.40445789628133427</v>
      </c>
      <c r="L577">
        <v>11605.500795925213</v>
      </c>
      <c r="M577">
        <v>9.9659246519122693</v>
      </c>
      <c r="N577">
        <v>8.8035390344145892</v>
      </c>
      <c r="O577">
        <v>21639.369721378815</v>
      </c>
      <c r="P577">
        <v>11.509549015602854</v>
      </c>
      <c r="Q577">
        <v>10.51105477236198</v>
      </c>
      <c r="S577">
        <f t="shared" si="34"/>
        <v>868748.40264553367</v>
      </c>
      <c r="T577">
        <f t="shared" si="35"/>
        <v>1029466.1075148192</v>
      </c>
      <c r="V577">
        <f t="shared" si="32"/>
        <v>0</v>
      </c>
      <c r="W577">
        <f t="shared" si="33"/>
        <v>1</v>
      </c>
    </row>
    <row r="578" spans="1:23" x14ac:dyDescent="0.2">
      <c r="A578">
        <v>573</v>
      </c>
      <c r="B578">
        <v>551.83902912243536</v>
      </c>
      <c r="C578">
        <v>3464.213403005499</v>
      </c>
      <c r="D578">
        <v>936.38118476418515</v>
      </c>
      <c r="E578">
        <v>589.2346016216992</v>
      </c>
      <c r="F578">
        <v>0.95748800823308922</v>
      </c>
      <c r="G578">
        <v>0.6374209568376501</v>
      </c>
      <c r="H578">
        <v>1.0070800675041347E-2</v>
      </c>
      <c r="I578">
        <v>0.14400689532623456</v>
      </c>
      <c r="J578">
        <v>0.46111558373938827</v>
      </c>
      <c r="L578">
        <v>13488.509488827091</v>
      </c>
      <c r="M578">
        <v>10.290493118362173</v>
      </c>
      <c r="N578">
        <v>9.0190318583973355</v>
      </c>
      <c r="O578">
        <v>20893.078770025186</v>
      </c>
      <c r="P578">
        <v>11.569619387091036</v>
      </c>
      <c r="Q578">
        <v>10.507022836820781</v>
      </c>
      <c r="S578">
        <f t="shared" si="34"/>
        <v>888414.67635090649</v>
      </c>
      <c r="T578">
        <f t="shared" si="35"/>
        <v>1029809.204912053</v>
      </c>
      <c r="V578">
        <f t="shared" si="32"/>
        <v>0</v>
      </c>
      <c r="W578">
        <f t="shared" si="33"/>
        <v>1</v>
      </c>
    </row>
    <row r="579" spans="1:23" x14ac:dyDescent="0.2">
      <c r="A579">
        <v>574</v>
      </c>
      <c r="B579">
        <v>541.52900256952591</v>
      </c>
      <c r="C579">
        <v>2567.8759615999052</v>
      </c>
      <c r="D579">
        <v>878.44847320459962</v>
      </c>
      <c r="E579">
        <v>842.39272937557303</v>
      </c>
      <c r="F579">
        <v>0.9594006939117381</v>
      </c>
      <c r="G579">
        <v>0.75395110008583632</v>
      </c>
      <c r="H579">
        <v>1.0319381589044123E-2</v>
      </c>
      <c r="I579">
        <v>0.13128411241481966</v>
      </c>
      <c r="J579">
        <v>0.42928929541006539</v>
      </c>
      <c r="L579">
        <v>11577.737531503057</v>
      </c>
      <c r="M579">
        <v>10.398940317079024</v>
      </c>
      <c r="N579">
        <v>9.405051015303366</v>
      </c>
      <c r="O579">
        <v>18965.631604325059</v>
      </c>
      <c r="P579">
        <v>11.734482475084414</v>
      </c>
      <c r="Q579">
        <v>10.8821155395622</v>
      </c>
      <c r="S579">
        <f t="shared" si="34"/>
        <v>928927.36399883346</v>
      </c>
      <c r="T579">
        <f t="shared" si="35"/>
        <v>1069245.9223518949</v>
      </c>
      <c r="V579">
        <f t="shared" si="32"/>
        <v>0</v>
      </c>
      <c r="W579">
        <f t="shared" si="33"/>
        <v>1</v>
      </c>
    </row>
    <row r="580" spans="1:23" x14ac:dyDescent="0.2">
      <c r="A580">
        <v>575</v>
      </c>
      <c r="B580">
        <v>536.82804809471259</v>
      </c>
      <c r="C580">
        <v>2266.1823502625521</v>
      </c>
      <c r="D580">
        <v>844.80388846017968</v>
      </c>
      <c r="E580">
        <v>1153.7665939875801</v>
      </c>
      <c r="F580">
        <v>0.96412362973704935</v>
      </c>
      <c r="G580">
        <v>0.84541744680288788</v>
      </c>
      <c r="H580">
        <v>8.7100252458186603E-3</v>
      </c>
      <c r="I580">
        <v>0.16987806453785081</v>
      </c>
      <c r="J580">
        <v>0.53418133408698543</v>
      </c>
      <c r="L580">
        <v>9780.0419473179099</v>
      </c>
      <c r="M580">
        <v>10.300126218054265</v>
      </c>
      <c r="N580">
        <v>9.6685248832163175</v>
      </c>
      <c r="O580">
        <v>17484.372312788106</v>
      </c>
      <c r="P580">
        <v>11.393889104964877</v>
      </c>
      <c r="Q580">
        <v>10.793723303857423</v>
      </c>
      <c r="S580">
        <f t="shared" si="34"/>
        <v>957072.44637431391</v>
      </c>
      <c r="T580">
        <f t="shared" si="35"/>
        <v>1061887.9580729541</v>
      </c>
      <c r="V580">
        <f t="shared" si="32"/>
        <v>0</v>
      </c>
      <c r="W580">
        <f t="shared" si="33"/>
        <v>1</v>
      </c>
    </row>
    <row r="581" spans="1:23" x14ac:dyDescent="0.2">
      <c r="A581">
        <v>576</v>
      </c>
      <c r="B581">
        <v>451.65193642455171</v>
      </c>
      <c r="C581">
        <v>3300.0998751357583</v>
      </c>
      <c r="D581">
        <v>993.95233966422677</v>
      </c>
      <c r="E581">
        <v>894.21711500880883</v>
      </c>
      <c r="F581">
        <v>0.96467397701918456</v>
      </c>
      <c r="G581">
        <v>0.71650088214023155</v>
      </c>
      <c r="H581">
        <v>1.0430428444083826E-2</v>
      </c>
      <c r="I581">
        <v>0.13237866679589552</v>
      </c>
      <c r="J581">
        <v>0.4253731951284368</v>
      </c>
      <c r="L581">
        <v>12932.49300137407</v>
      </c>
      <c r="M581">
        <v>10.367001781716779</v>
      </c>
      <c r="N581">
        <v>9.3106508565212671</v>
      </c>
      <c r="O581">
        <v>20544.415303225298</v>
      </c>
      <c r="P581">
        <v>11.72373237113583</v>
      </c>
      <c r="Q581">
        <v>10.857160726914355</v>
      </c>
      <c r="S581">
        <f t="shared" si="34"/>
        <v>918132.59265075263</v>
      </c>
      <c r="T581">
        <f t="shared" si="35"/>
        <v>1065171.6573882101</v>
      </c>
      <c r="V581">
        <f t="shared" si="32"/>
        <v>0</v>
      </c>
      <c r="W581">
        <f t="shared" si="33"/>
        <v>1</v>
      </c>
    </row>
    <row r="582" spans="1:23" x14ac:dyDescent="0.2">
      <c r="A582">
        <v>577</v>
      </c>
      <c r="B582">
        <v>356.93498002520909</v>
      </c>
      <c r="C582">
        <v>2731.2906632037225</v>
      </c>
      <c r="D582">
        <v>926.60018942333625</v>
      </c>
      <c r="E582">
        <v>836.90091206488296</v>
      </c>
      <c r="F582">
        <v>0.90664835526839471</v>
      </c>
      <c r="G582">
        <v>0.5959009379452147</v>
      </c>
      <c r="H582">
        <v>9.1571079017225571E-3</v>
      </c>
      <c r="I582">
        <v>0.1722392225982976</v>
      </c>
      <c r="J582">
        <v>0.4063042239038766</v>
      </c>
      <c r="L582">
        <v>9263.1179685832594</v>
      </c>
      <c r="M582">
        <v>10.18640411938167</v>
      </c>
      <c r="N582">
        <v>8.5411659287186339</v>
      </c>
      <c r="O582">
        <v>17271.601153197073</v>
      </c>
      <c r="P582">
        <v>11.723784655456374</v>
      </c>
      <c r="Q582">
        <v>10.195270442105523</v>
      </c>
      <c r="S582">
        <f t="shared" si="34"/>
        <v>844853.47490328015</v>
      </c>
      <c r="T582">
        <f t="shared" si="35"/>
        <v>1002255.4430573551</v>
      </c>
      <c r="V582">
        <f t="shared" ref="V582:V645" si="36">IF(S582=MAX($S582:$T582),1,0)</f>
        <v>0</v>
      </c>
      <c r="W582">
        <f t="shared" ref="W582:W645" si="37">IF(T582=MAX($S582:$T582),1,0)</f>
        <v>1</v>
      </c>
    </row>
    <row r="583" spans="1:23" x14ac:dyDescent="0.2">
      <c r="A583">
        <v>578</v>
      </c>
      <c r="B583">
        <v>372.85587422267042</v>
      </c>
      <c r="C583">
        <v>2711.1860070988691</v>
      </c>
      <c r="D583">
        <v>1013.3943207327166</v>
      </c>
      <c r="E583">
        <v>881.95865440584839</v>
      </c>
      <c r="F583">
        <v>0.95917680384586623</v>
      </c>
      <c r="G583">
        <v>0.82628765262548032</v>
      </c>
      <c r="H583">
        <v>1.0590669645736505E-2</v>
      </c>
      <c r="I583">
        <v>0.17616509881237363</v>
      </c>
      <c r="J583">
        <v>0.49072444431959888</v>
      </c>
      <c r="L583">
        <v>9499.4750521046444</v>
      </c>
      <c r="M583">
        <v>9.8760547236346881</v>
      </c>
      <c r="N583">
        <v>9.1628880869524245</v>
      </c>
      <c r="O583">
        <v>17970.766049829006</v>
      </c>
      <c r="P583">
        <v>11.173869680167742</v>
      </c>
      <c r="Q583">
        <v>10.494994934132906</v>
      </c>
      <c r="S583">
        <f t="shared" ref="S583:S646" si="38">$T$1*N583-L583</f>
        <v>906789.33364313783</v>
      </c>
      <c r="T583">
        <f t="shared" ref="T583:T646" si="39">$T$1*Q583-O583</f>
        <v>1031528.7273634617</v>
      </c>
      <c r="V583">
        <f t="shared" si="36"/>
        <v>0</v>
      </c>
      <c r="W583">
        <f t="shared" si="37"/>
        <v>1</v>
      </c>
    </row>
    <row r="584" spans="1:23" x14ac:dyDescent="0.2">
      <c r="A584">
        <v>579</v>
      </c>
      <c r="B584">
        <v>451.60832040772021</v>
      </c>
      <c r="C584">
        <v>2922.2541316026659</v>
      </c>
      <c r="D584">
        <v>946.71750672117116</v>
      </c>
      <c r="E584">
        <v>1058.3237063716929</v>
      </c>
      <c r="F584">
        <v>0.92762153284824611</v>
      </c>
      <c r="G584">
        <v>0.65043982866314776</v>
      </c>
      <c r="H584">
        <v>7.8011350018836537E-3</v>
      </c>
      <c r="I584">
        <v>0.14334104753933621</v>
      </c>
      <c r="J584">
        <v>0.54096919750828909</v>
      </c>
      <c r="L584">
        <v>10991.098398739839</v>
      </c>
      <c r="M584">
        <v>10.741487929499266</v>
      </c>
      <c r="N584">
        <v>9.3150222029952925</v>
      </c>
      <c r="O584">
        <v>19211.117445790667</v>
      </c>
      <c r="P584">
        <v>11.714028491594263</v>
      </c>
      <c r="Q584">
        <v>10.397867921635704</v>
      </c>
      <c r="S584">
        <f t="shared" si="38"/>
        <v>920511.12190078944</v>
      </c>
      <c r="T584">
        <f t="shared" si="39"/>
        <v>1020575.6747177797</v>
      </c>
      <c r="V584">
        <f t="shared" si="36"/>
        <v>0</v>
      </c>
      <c r="W584">
        <f t="shared" si="37"/>
        <v>1</v>
      </c>
    </row>
    <row r="585" spans="1:23" x14ac:dyDescent="0.2">
      <c r="A585">
        <v>580</v>
      </c>
      <c r="B585">
        <v>488.94132643567616</v>
      </c>
      <c r="C585">
        <v>2330.4679833106902</v>
      </c>
      <c r="D585">
        <v>1077.2919618583678</v>
      </c>
      <c r="E585">
        <v>1345.6439503359379</v>
      </c>
      <c r="F585">
        <v>0.91168832596258831</v>
      </c>
      <c r="G585">
        <v>0.66375436006521327</v>
      </c>
      <c r="H585">
        <v>1.1802893891487944E-2</v>
      </c>
      <c r="I585">
        <v>0.10330381734578858</v>
      </c>
      <c r="J585">
        <v>0.52170855847389908</v>
      </c>
      <c r="L585">
        <v>11817.519364313002</v>
      </c>
      <c r="M585">
        <v>10.591297304156633</v>
      </c>
      <c r="N585">
        <v>8.8248577848938812</v>
      </c>
      <c r="O585">
        <v>20349.003042436983</v>
      </c>
      <c r="P585">
        <v>11.549830857270756</v>
      </c>
      <c r="Q585">
        <v>9.9096922627913724</v>
      </c>
      <c r="S585">
        <f t="shared" si="38"/>
        <v>870668.25912507507</v>
      </c>
      <c r="T585">
        <f t="shared" si="39"/>
        <v>970620.22323670017</v>
      </c>
      <c r="V585">
        <f t="shared" si="36"/>
        <v>0</v>
      </c>
      <c r="W585">
        <f t="shared" si="37"/>
        <v>1</v>
      </c>
    </row>
    <row r="586" spans="1:23" x14ac:dyDescent="0.2">
      <c r="A586">
        <v>581</v>
      </c>
      <c r="B586">
        <v>441.84020907799311</v>
      </c>
      <c r="C586">
        <v>3573.034881389995</v>
      </c>
      <c r="D586">
        <v>1152.7930630495982</v>
      </c>
      <c r="E586">
        <v>1019.0891155601657</v>
      </c>
      <c r="F586">
        <v>0.93349362027009097</v>
      </c>
      <c r="G586">
        <v>0.70724961484523874</v>
      </c>
      <c r="H586">
        <v>9.6220510083519419E-3</v>
      </c>
      <c r="I586">
        <v>0.17295914929348755</v>
      </c>
      <c r="J586">
        <v>0.49173759533955907</v>
      </c>
      <c r="L586">
        <v>11977.806371792778</v>
      </c>
      <c r="M586">
        <v>10.086899532123118</v>
      </c>
      <c r="N586">
        <v>8.9015874213800572</v>
      </c>
      <c r="O586">
        <v>21563.797447262186</v>
      </c>
      <c r="P586">
        <v>11.348301304958435</v>
      </c>
      <c r="Q586">
        <v>10.229480748184297</v>
      </c>
      <c r="S586">
        <f t="shared" si="38"/>
        <v>878180.93576621288</v>
      </c>
      <c r="T586">
        <f t="shared" si="39"/>
        <v>1001384.2773711676</v>
      </c>
      <c r="V586">
        <f t="shared" si="36"/>
        <v>0</v>
      </c>
      <c r="W586">
        <f t="shared" si="37"/>
        <v>1</v>
      </c>
    </row>
    <row r="587" spans="1:23" x14ac:dyDescent="0.2">
      <c r="A587">
        <v>582</v>
      </c>
      <c r="B587">
        <v>469.6271101261047</v>
      </c>
      <c r="C587">
        <v>2353.1934119003481</v>
      </c>
      <c r="D587">
        <v>1177.0436559805312</v>
      </c>
      <c r="E587">
        <v>872.27121923683626</v>
      </c>
      <c r="F587">
        <v>0.94068006431410223</v>
      </c>
      <c r="G587">
        <v>0.78449399305627465</v>
      </c>
      <c r="H587">
        <v>1.122058438273447E-2</v>
      </c>
      <c r="I587">
        <v>0.14614239263551723</v>
      </c>
      <c r="J587">
        <v>0.37165700899627535</v>
      </c>
      <c r="L587">
        <v>10146.923629955842</v>
      </c>
      <c r="M587">
        <v>10.074101564580296</v>
      </c>
      <c r="N587">
        <v>9.0558884058610687</v>
      </c>
      <c r="O587">
        <v>20668.76891053715</v>
      </c>
      <c r="P587">
        <v>11.711945239194804</v>
      </c>
      <c r="Q587">
        <v>10.758184150381373</v>
      </c>
      <c r="S587">
        <f t="shared" si="38"/>
        <v>895441.91695615102</v>
      </c>
      <c r="T587">
        <f t="shared" si="39"/>
        <v>1055149.6461276</v>
      </c>
      <c r="V587">
        <f t="shared" si="36"/>
        <v>0</v>
      </c>
      <c r="W587">
        <f t="shared" si="37"/>
        <v>1</v>
      </c>
    </row>
    <row r="588" spans="1:23" x14ac:dyDescent="0.2">
      <c r="A588">
        <v>583</v>
      </c>
      <c r="B588">
        <v>513.95773619754891</v>
      </c>
      <c r="C588">
        <v>2892.3142666153822</v>
      </c>
      <c r="D588">
        <v>861.47020383969993</v>
      </c>
      <c r="E588">
        <v>1275.4819791597429</v>
      </c>
      <c r="F588">
        <v>0.98158795719948377</v>
      </c>
      <c r="G588">
        <v>0.63637410975402842</v>
      </c>
      <c r="H588">
        <v>9.704169848789114E-3</v>
      </c>
      <c r="I588">
        <v>0.17387968371887919</v>
      </c>
      <c r="J588">
        <v>0.54887179509737549</v>
      </c>
      <c r="L588">
        <v>11083.769485147644</v>
      </c>
      <c r="M588">
        <v>10.062761830838051</v>
      </c>
      <c r="N588">
        <v>9.0925725933744133</v>
      </c>
      <c r="O588">
        <v>18310.32815948292</v>
      </c>
      <c r="P588">
        <v>11.146925591632677</v>
      </c>
      <c r="Q588">
        <v>10.35029705900461</v>
      </c>
      <c r="S588">
        <f t="shared" si="38"/>
        <v>898173.48985229363</v>
      </c>
      <c r="T588">
        <f t="shared" si="39"/>
        <v>1016719.3777409781</v>
      </c>
      <c r="V588">
        <f t="shared" si="36"/>
        <v>0</v>
      </c>
      <c r="W588">
        <f t="shared" si="37"/>
        <v>1</v>
      </c>
    </row>
    <row r="589" spans="1:23" x14ac:dyDescent="0.2">
      <c r="A589">
        <v>584</v>
      </c>
      <c r="B589">
        <v>429.88525855140864</v>
      </c>
      <c r="C589">
        <v>2871.4036728703036</v>
      </c>
      <c r="D589">
        <v>913.96678834078159</v>
      </c>
      <c r="E589">
        <v>1324.4749813770848</v>
      </c>
      <c r="F589">
        <v>0.86869502764436979</v>
      </c>
      <c r="G589">
        <v>0.78032356072160169</v>
      </c>
      <c r="H589">
        <v>1.0867781388227122E-2</v>
      </c>
      <c r="I589">
        <v>0.12729255633230918</v>
      </c>
      <c r="J589">
        <v>0.52929375219888974</v>
      </c>
      <c r="L589">
        <v>12003.653591855566</v>
      </c>
      <c r="M589">
        <v>10.362884657668653</v>
      </c>
      <c r="N589">
        <v>8.7466041769038387</v>
      </c>
      <c r="O589">
        <v>18965.181174017293</v>
      </c>
      <c r="P589">
        <v>11.388857154322489</v>
      </c>
      <c r="Q589">
        <v>9.7027402464726613</v>
      </c>
      <c r="S589">
        <f t="shared" si="38"/>
        <v>862656.76409852831</v>
      </c>
      <c r="T589">
        <f t="shared" si="39"/>
        <v>951308.84347324888</v>
      </c>
      <c r="V589">
        <f t="shared" si="36"/>
        <v>0</v>
      </c>
      <c r="W589">
        <f t="shared" si="37"/>
        <v>1</v>
      </c>
    </row>
    <row r="590" spans="1:23" x14ac:dyDescent="0.2">
      <c r="A590">
        <v>585</v>
      </c>
      <c r="B590">
        <v>404.07777515445804</v>
      </c>
      <c r="C590">
        <v>3328.6064472161497</v>
      </c>
      <c r="D590">
        <v>1085.6220099167188</v>
      </c>
      <c r="E590">
        <v>955.34736431039482</v>
      </c>
      <c r="F590">
        <v>0.9541865370574163</v>
      </c>
      <c r="G590">
        <v>0.72451932143285336</v>
      </c>
      <c r="H590">
        <v>1.2294626677547554E-2</v>
      </c>
      <c r="I590">
        <v>0.19109647057280943</v>
      </c>
      <c r="J590">
        <v>0.53702581904220603</v>
      </c>
      <c r="L590">
        <v>11059.51866724506</v>
      </c>
      <c r="M590">
        <v>9.4548130463450342</v>
      </c>
      <c r="N590">
        <v>8.4865666257905623</v>
      </c>
      <c r="O590">
        <v>19508.046190438134</v>
      </c>
      <c r="P590">
        <v>10.656645800415291</v>
      </c>
      <c r="Q590">
        <v>9.7556862753308558</v>
      </c>
      <c r="S590">
        <f t="shared" si="38"/>
        <v>837597.14391181117</v>
      </c>
      <c r="T590">
        <f t="shared" si="39"/>
        <v>956060.58134264743</v>
      </c>
      <c r="V590">
        <f t="shared" si="36"/>
        <v>0</v>
      </c>
      <c r="W590">
        <f t="shared" si="37"/>
        <v>1</v>
      </c>
    </row>
    <row r="591" spans="1:23" x14ac:dyDescent="0.2">
      <c r="A591">
        <v>586</v>
      </c>
      <c r="B591">
        <v>493.90788705198764</v>
      </c>
      <c r="C591">
        <v>3102.8476110932747</v>
      </c>
      <c r="D591">
        <v>872.29613868879198</v>
      </c>
      <c r="E591">
        <v>850.82650976151967</v>
      </c>
      <c r="F591">
        <v>0.91433336134423271</v>
      </c>
      <c r="G591">
        <v>0.86305522175829918</v>
      </c>
      <c r="H591">
        <v>8.3928802028691296E-3</v>
      </c>
      <c r="I591">
        <v>0.16706856162744443</v>
      </c>
      <c r="J591">
        <v>0.44338494202717221</v>
      </c>
      <c r="L591">
        <v>11175.817308773661</v>
      </c>
      <c r="M591">
        <v>10.392696731471823</v>
      </c>
      <c r="N591">
        <v>9.3897564952519126</v>
      </c>
      <c r="O591">
        <v>18729.748454523702</v>
      </c>
      <c r="P591">
        <v>11.750709251690985</v>
      </c>
      <c r="Q591">
        <v>10.671032172520555</v>
      </c>
      <c r="S591">
        <f t="shared" si="38"/>
        <v>927799.83221641765</v>
      </c>
      <c r="T591">
        <f t="shared" si="39"/>
        <v>1048373.4687975317</v>
      </c>
      <c r="V591">
        <f t="shared" si="36"/>
        <v>0</v>
      </c>
      <c r="W591">
        <f t="shared" si="37"/>
        <v>1</v>
      </c>
    </row>
    <row r="592" spans="1:23" x14ac:dyDescent="0.2">
      <c r="A592">
        <v>587</v>
      </c>
      <c r="B592">
        <v>449.5651648341406</v>
      </c>
      <c r="C592">
        <v>2799.1846598122356</v>
      </c>
      <c r="D592">
        <v>1053.5324308734112</v>
      </c>
      <c r="E592">
        <v>755.02097437509542</v>
      </c>
      <c r="F592">
        <v>0.91590161892046373</v>
      </c>
      <c r="G592">
        <v>0.83349656508094394</v>
      </c>
      <c r="H592">
        <v>8.4832112032327961E-3</v>
      </c>
      <c r="I592">
        <v>0.12604924089201539</v>
      </c>
      <c r="J592">
        <v>0.51743507236646247</v>
      </c>
      <c r="L592">
        <v>11264.981160558656</v>
      </c>
      <c r="M592">
        <v>10.78988738497525</v>
      </c>
      <c r="N592">
        <v>9.6662749164798374</v>
      </c>
      <c r="O592">
        <v>20310.547733808773</v>
      </c>
      <c r="P592">
        <v>11.789192883568052</v>
      </c>
      <c r="Q592">
        <v>10.644319225966571</v>
      </c>
      <c r="S592">
        <f t="shared" si="38"/>
        <v>955362.51048742514</v>
      </c>
      <c r="T592">
        <f t="shared" si="39"/>
        <v>1044121.3748628484</v>
      </c>
      <c r="V592">
        <f t="shared" si="36"/>
        <v>0</v>
      </c>
      <c r="W592">
        <f t="shared" si="37"/>
        <v>1</v>
      </c>
    </row>
    <row r="593" spans="1:23" x14ac:dyDescent="0.2">
      <c r="A593">
        <v>588</v>
      </c>
      <c r="B593">
        <v>482.63484754108714</v>
      </c>
      <c r="C593">
        <v>2466.2571411998792</v>
      </c>
      <c r="D593">
        <v>953.86734083418753</v>
      </c>
      <c r="E593">
        <v>1124.3829355062744</v>
      </c>
      <c r="F593">
        <v>0.94073235814357126</v>
      </c>
      <c r="G593">
        <v>0.77743171389811805</v>
      </c>
      <c r="H593">
        <v>1.0468374538975788E-2</v>
      </c>
      <c r="I593">
        <v>0.13699814550893397</v>
      </c>
      <c r="J593">
        <v>0.42296931039150587</v>
      </c>
      <c r="L593">
        <v>10804.912154367323</v>
      </c>
      <c r="M593">
        <v>10.304090992015066</v>
      </c>
      <c r="N593">
        <v>9.2478877628393779</v>
      </c>
      <c r="O593">
        <v>18907.944748650239</v>
      </c>
      <c r="P593">
        <v>11.691188900701336</v>
      </c>
      <c r="Q593">
        <v>10.706725258664813</v>
      </c>
      <c r="S593">
        <f t="shared" si="38"/>
        <v>913983.86412957043</v>
      </c>
      <c r="T593">
        <f t="shared" si="39"/>
        <v>1051764.5811178309</v>
      </c>
      <c r="V593">
        <f t="shared" si="36"/>
        <v>0</v>
      </c>
      <c r="W593">
        <f t="shared" si="37"/>
        <v>1</v>
      </c>
    </row>
    <row r="594" spans="1:23" x14ac:dyDescent="0.2">
      <c r="A594">
        <v>589</v>
      </c>
      <c r="B594">
        <v>680.63872558731407</v>
      </c>
      <c r="C594">
        <v>2553.2730710602145</v>
      </c>
      <c r="D594">
        <v>920.58094140065202</v>
      </c>
      <c r="E594">
        <v>1036.1101190656132</v>
      </c>
      <c r="F594">
        <v>0.92713751545936107</v>
      </c>
      <c r="G594">
        <v>0.77626504252739725</v>
      </c>
      <c r="H594">
        <v>1.0000657034895513E-2</v>
      </c>
      <c r="I594">
        <v>0.13216224215467476</v>
      </c>
      <c r="J594">
        <v>0.56974835614768105</v>
      </c>
      <c r="L594">
        <v>12606.837339507018</v>
      </c>
      <c r="M594">
        <v>10.441382923730277</v>
      </c>
      <c r="N594">
        <v>9.2676720657676803</v>
      </c>
      <c r="O594">
        <v>20474.945636127854</v>
      </c>
      <c r="P594">
        <v>11.35776849458345</v>
      </c>
      <c r="Q594">
        <v>10.213133289532042</v>
      </c>
      <c r="S594">
        <f t="shared" si="38"/>
        <v>914160.36923726101</v>
      </c>
      <c r="T594">
        <f t="shared" si="39"/>
        <v>1000838.3833170764</v>
      </c>
      <c r="V594">
        <f t="shared" si="36"/>
        <v>0</v>
      </c>
      <c r="W594">
        <f t="shared" si="37"/>
        <v>1</v>
      </c>
    </row>
    <row r="595" spans="1:23" x14ac:dyDescent="0.2">
      <c r="A595">
        <v>590</v>
      </c>
      <c r="B595">
        <v>466.89818797926443</v>
      </c>
      <c r="C595">
        <v>2425.3991645880606</v>
      </c>
      <c r="D595">
        <v>975.69985715180326</v>
      </c>
      <c r="E595">
        <v>1269.9671076262262</v>
      </c>
      <c r="F595">
        <v>0.91802354153192667</v>
      </c>
      <c r="G595">
        <v>0.56023845335916267</v>
      </c>
      <c r="H595">
        <v>1.1697217617743193E-2</v>
      </c>
      <c r="I595">
        <v>0.12843378394239088</v>
      </c>
      <c r="J595">
        <v>0.4545198071194882</v>
      </c>
      <c r="L595">
        <v>11050.883957339058</v>
      </c>
      <c r="M595">
        <v>10.223285975458364</v>
      </c>
      <c r="N595">
        <v>8.3265626229152687</v>
      </c>
      <c r="O595">
        <v>18941.179951003774</v>
      </c>
      <c r="P595">
        <v>11.495796094624776</v>
      </c>
      <c r="Q595">
        <v>9.8173742583769013</v>
      </c>
      <c r="S595">
        <f t="shared" si="38"/>
        <v>821605.37833418779</v>
      </c>
      <c r="T595">
        <f t="shared" si="39"/>
        <v>962796.24588668637</v>
      </c>
      <c r="V595">
        <f t="shared" si="36"/>
        <v>0</v>
      </c>
      <c r="W595">
        <f t="shared" si="37"/>
        <v>1</v>
      </c>
    </row>
    <row r="596" spans="1:23" x14ac:dyDescent="0.2">
      <c r="A596">
        <v>591</v>
      </c>
      <c r="B596">
        <v>551.8354886360521</v>
      </c>
      <c r="C596">
        <v>2606.9210191539973</v>
      </c>
      <c r="D596">
        <v>942.87663838644073</v>
      </c>
      <c r="E596">
        <v>1267.0762488395244</v>
      </c>
      <c r="F596">
        <v>0.92387049609772831</v>
      </c>
      <c r="G596">
        <v>0.89136366784991805</v>
      </c>
      <c r="H596">
        <v>9.9959165727703404E-3</v>
      </c>
      <c r="I596">
        <v>0.17825480428713281</v>
      </c>
      <c r="J596">
        <v>0.57145073809719793</v>
      </c>
      <c r="L596">
        <v>10661.835005857252</v>
      </c>
      <c r="M596">
        <v>9.9684133255408458</v>
      </c>
      <c r="N596">
        <v>9.1359724744402886</v>
      </c>
      <c r="O596">
        <v>18781.598171442911</v>
      </c>
      <c r="P596">
        <v>10.999089983973793</v>
      </c>
      <c r="Q596">
        <v>10.104859913337886</v>
      </c>
      <c r="S596">
        <f t="shared" si="38"/>
        <v>902935.41243817157</v>
      </c>
      <c r="T596">
        <f t="shared" si="39"/>
        <v>991704.39316234575</v>
      </c>
      <c r="V596">
        <f t="shared" si="36"/>
        <v>0</v>
      </c>
      <c r="W596">
        <f t="shared" si="37"/>
        <v>1</v>
      </c>
    </row>
    <row r="597" spans="1:23" x14ac:dyDescent="0.2">
      <c r="A597">
        <v>592</v>
      </c>
      <c r="B597">
        <v>482.03379923298911</v>
      </c>
      <c r="C597">
        <v>3287.6549984424669</v>
      </c>
      <c r="D597">
        <v>713.29843941550132</v>
      </c>
      <c r="E597">
        <v>1021.0156220236232</v>
      </c>
      <c r="F597">
        <v>0.94383450441513783</v>
      </c>
      <c r="G597">
        <v>0.69649868736041765</v>
      </c>
      <c r="H597">
        <v>1.173174726934809E-2</v>
      </c>
      <c r="I597">
        <v>0.13373575160176157</v>
      </c>
      <c r="J597">
        <v>0.53867728134735526</v>
      </c>
      <c r="L597">
        <v>13399.287753728297</v>
      </c>
      <c r="M597">
        <v>10.147766012408557</v>
      </c>
      <c r="N597">
        <v>8.8626028440294267</v>
      </c>
      <c r="O597">
        <v>18277.213988115011</v>
      </c>
      <c r="P597">
        <v>11.18187540956499</v>
      </c>
      <c r="Q597">
        <v>10.008852577640752</v>
      </c>
      <c r="S597">
        <f t="shared" si="38"/>
        <v>872860.9966492143</v>
      </c>
      <c r="T597">
        <f t="shared" si="39"/>
        <v>982608.04377596022</v>
      </c>
      <c r="V597">
        <f t="shared" si="36"/>
        <v>0</v>
      </c>
      <c r="W597">
        <f t="shared" si="37"/>
        <v>1</v>
      </c>
    </row>
    <row r="598" spans="1:23" x14ac:dyDescent="0.2">
      <c r="A598">
        <v>593</v>
      </c>
      <c r="B598">
        <v>585.96282117574037</v>
      </c>
      <c r="C598">
        <v>2943.3234355227614</v>
      </c>
      <c r="D598">
        <v>853.06124936516426</v>
      </c>
      <c r="E598">
        <v>942.24792024853286</v>
      </c>
      <c r="F598">
        <v>0.96532028644659729</v>
      </c>
      <c r="G598">
        <v>0.66841476404656741</v>
      </c>
      <c r="H598">
        <v>9.4523171202600623E-3</v>
      </c>
      <c r="I598">
        <v>0.10613743944250249</v>
      </c>
      <c r="J598">
        <v>0.53128879097027981</v>
      </c>
      <c r="L598">
        <v>13806.050436738353</v>
      </c>
      <c r="M598">
        <v>10.885510409049786</v>
      </c>
      <c r="N598">
        <v>9.6105889527854504</v>
      </c>
      <c r="O598">
        <v>20510.488712512226</v>
      </c>
      <c r="P598">
        <v>11.793144028742834</v>
      </c>
      <c r="Q598">
        <v>10.729045268251427</v>
      </c>
      <c r="S598">
        <f t="shared" si="38"/>
        <v>947252.8448418068</v>
      </c>
      <c r="T598">
        <f t="shared" si="39"/>
        <v>1052394.0381126306</v>
      </c>
      <c r="V598">
        <f t="shared" si="36"/>
        <v>0</v>
      </c>
      <c r="W598">
        <f t="shared" si="37"/>
        <v>1</v>
      </c>
    </row>
    <row r="599" spans="1:23" x14ac:dyDescent="0.2">
      <c r="A599">
        <v>594</v>
      </c>
      <c r="B599">
        <v>433.3034917643572</v>
      </c>
      <c r="C599">
        <v>2990.2810700081959</v>
      </c>
      <c r="D599">
        <v>1022.7547034405245</v>
      </c>
      <c r="E599">
        <v>1064.2851135897915</v>
      </c>
      <c r="F599">
        <v>0.9378280735222444</v>
      </c>
      <c r="G599">
        <v>0.73749826943672359</v>
      </c>
      <c r="H599">
        <v>8.6251735113737626E-3</v>
      </c>
      <c r="I599">
        <v>0.15377715608614384</v>
      </c>
      <c r="J599">
        <v>0.51409972370261592</v>
      </c>
      <c r="L599">
        <v>10912.341927439184</v>
      </c>
      <c r="M599">
        <v>10.464183064919325</v>
      </c>
      <c r="N599">
        <v>9.3439583949849681</v>
      </c>
      <c r="O599">
        <v>19680.22554027152</v>
      </c>
      <c r="P599">
        <v>11.570607056868342</v>
      </c>
      <c r="Q599">
        <v>10.51701035773038</v>
      </c>
      <c r="S599">
        <f t="shared" si="38"/>
        <v>923483.49757105764</v>
      </c>
      <c r="T599">
        <f t="shared" si="39"/>
        <v>1032020.8102327664</v>
      </c>
      <c r="V599">
        <f t="shared" si="36"/>
        <v>0</v>
      </c>
      <c r="W599">
        <f t="shared" si="37"/>
        <v>1</v>
      </c>
    </row>
    <row r="600" spans="1:23" x14ac:dyDescent="0.2">
      <c r="A600">
        <v>595</v>
      </c>
      <c r="B600">
        <v>391.88756643056593</v>
      </c>
      <c r="C600">
        <v>2757.3479164946543</v>
      </c>
      <c r="D600">
        <v>1307.3171157309318</v>
      </c>
      <c r="E600">
        <v>836.27858756960302</v>
      </c>
      <c r="F600">
        <v>0.96152765573126198</v>
      </c>
      <c r="G600">
        <v>0.83905415244976389</v>
      </c>
      <c r="H600">
        <v>1.1289846008862054E-2</v>
      </c>
      <c r="I600">
        <v>0.15043064299705688</v>
      </c>
      <c r="J600">
        <v>0.50874218384419223</v>
      </c>
      <c r="L600">
        <v>10527.798907485667</v>
      </c>
      <c r="M600">
        <v>10.014357106221984</v>
      </c>
      <c r="N600">
        <v>9.3044551540189513</v>
      </c>
      <c r="O600">
        <v>21327.178029015406</v>
      </c>
      <c r="P600">
        <v>11.189416053046607</v>
      </c>
      <c r="Q600">
        <v>10.519553448696579</v>
      </c>
      <c r="S600">
        <f t="shared" si="38"/>
        <v>919917.71649440948</v>
      </c>
      <c r="T600">
        <f t="shared" si="39"/>
        <v>1030628.1668406425</v>
      </c>
      <c r="V600">
        <f t="shared" si="36"/>
        <v>0</v>
      </c>
      <c r="W600">
        <f t="shared" si="37"/>
        <v>1</v>
      </c>
    </row>
    <row r="601" spans="1:23" x14ac:dyDescent="0.2">
      <c r="A601">
        <v>596</v>
      </c>
      <c r="B601">
        <v>583.17335663900178</v>
      </c>
      <c r="C601">
        <v>2492.2696522603128</v>
      </c>
      <c r="D601">
        <v>925.33862774405895</v>
      </c>
      <c r="E601">
        <v>1334.6380969239281</v>
      </c>
      <c r="F601">
        <v>0.94786382110919121</v>
      </c>
      <c r="G601">
        <v>0.73129332425230242</v>
      </c>
      <c r="H601">
        <v>1.0982246790525481E-2</v>
      </c>
      <c r="I601">
        <v>0.13320311639663795</v>
      </c>
      <c r="J601">
        <v>0.46944297270724228</v>
      </c>
      <c r="L601">
        <v>11887.788677027336</v>
      </c>
      <c r="M601">
        <v>10.268315305651518</v>
      </c>
      <c r="N601">
        <v>9.1207211084239539</v>
      </c>
      <c r="O601">
        <v>19647.9890853656</v>
      </c>
      <c r="P601">
        <v>11.49954608992071</v>
      </c>
      <c r="Q601">
        <v>10.471017830706488</v>
      </c>
      <c r="S601">
        <f t="shared" si="38"/>
        <v>900184.32216536801</v>
      </c>
      <c r="T601">
        <f t="shared" si="39"/>
        <v>1027453.7939852832</v>
      </c>
      <c r="V601">
        <f t="shared" si="36"/>
        <v>0</v>
      </c>
      <c r="W601">
        <f t="shared" si="37"/>
        <v>1</v>
      </c>
    </row>
    <row r="602" spans="1:23" x14ac:dyDescent="0.2">
      <c r="A602">
        <v>597</v>
      </c>
      <c r="B602">
        <v>430.79032720966495</v>
      </c>
      <c r="C602">
        <v>2542.2549164204815</v>
      </c>
      <c r="D602">
        <v>984.79329831418318</v>
      </c>
      <c r="E602">
        <v>1160.2655488487369</v>
      </c>
      <c r="F602">
        <v>0.96926403643782644</v>
      </c>
      <c r="G602">
        <v>0.5608447647226863</v>
      </c>
      <c r="H602">
        <v>1.0496779073941302E-2</v>
      </c>
      <c r="I602">
        <v>0.1615019934595654</v>
      </c>
      <c r="J602">
        <v>0.49444820981992621</v>
      </c>
      <c r="L602">
        <v>9982.7630680762395</v>
      </c>
      <c r="M602">
        <v>10.03109131273178</v>
      </c>
      <c r="N602">
        <v>8.7169461768736287</v>
      </c>
      <c r="O602">
        <v>18283.242721505594</v>
      </c>
      <c r="P602">
        <v>11.272028592552083</v>
      </c>
      <c r="Q602">
        <v>10.202401397728403</v>
      </c>
      <c r="S602">
        <f t="shared" si="38"/>
        <v>861711.85461928661</v>
      </c>
      <c r="T602">
        <f t="shared" si="39"/>
        <v>1001956.8970513347</v>
      </c>
      <c r="V602">
        <f t="shared" si="36"/>
        <v>0</v>
      </c>
      <c r="W602">
        <f t="shared" si="37"/>
        <v>1</v>
      </c>
    </row>
    <row r="603" spans="1:23" x14ac:dyDescent="0.2">
      <c r="A603">
        <v>598</v>
      </c>
      <c r="B603">
        <v>290.54849810687438</v>
      </c>
      <c r="C603">
        <v>1911.0664626061716</v>
      </c>
      <c r="D603">
        <v>1044.5437972937002</v>
      </c>
      <c r="E603">
        <v>930.18060709694305</v>
      </c>
      <c r="F603">
        <v>0.97280027085437182</v>
      </c>
      <c r="G603">
        <v>0.64506393688986829</v>
      </c>
      <c r="H603">
        <v>8.4496631448606942E-3</v>
      </c>
      <c r="I603">
        <v>0.16817029135004091</v>
      </c>
      <c r="J603">
        <v>0.52883310426848229</v>
      </c>
      <c r="L603">
        <v>6911.0011441879242</v>
      </c>
      <c r="M603">
        <v>10.370856175057055</v>
      </c>
      <c r="N603">
        <v>9.3698761724510611</v>
      </c>
      <c r="O603">
        <v>16471.943806576037</v>
      </c>
      <c r="P603">
        <v>11.468126379529131</v>
      </c>
      <c r="Q603">
        <v>10.636699446046448</v>
      </c>
      <c r="S603">
        <f t="shared" si="38"/>
        <v>930076.61610091827</v>
      </c>
      <c r="T603">
        <f t="shared" si="39"/>
        <v>1047198.0007980687</v>
      </c>
      <c r="V603">
        <f t="shared" si="36"/>
        <v>0</v>
      </c>
      <c r="W603">
        <f t="shared" si="37"/>
        <v>1</v>
      </c>
    </row>
    <row r="604" spans="1:23" x14ac:dyDescent="0.2">
      <c r="A604">
        <v>599</v>
      </c>
      <c r="B604">
        <v>429.40134239094658</v>
      </c>
      <c r="C604">
        <v>2682.1435874842505</v>
      </c>
      <c r="D604">
        <v>1068.0933776418117</v>
      </c>
      <c r="E604">
        <v>1306.4976523275757</v>
      </c>
      <c r="F604">
        <v>0.87377609675549583</v>
      </c>
      <c r="G604">
        <v>0.69281777116610022</v>
      </c>
      <c r="H604">
        <v>9.5898495205012212E-3</v>
      </c>
      <c r="I604">
        <v>0.18338399349593271</v>
      </c>
      <c r="J604">
        <v>0.58409739119608117</v>
      </c>
      <c r="L604">
        <v>9736.7094425326322</v>
      </c>
      <c r="M604">
        <v>10.005236889313366</v>
      </c>
      <c r="N604">
        <v>8.3473277297395594</v>
      </c>
      <c r="O604">
        <v>18894.030591576247</v>
      </c>
      <c r="P604">
        <v>11.000795262503187</v>
      </c>
      <c r="Q604">
        <v>9.3047056557361945</v>
      </c>
      <c r="S604">
        <f t="shared" si="38"/>
        <v>824996.06353142334</v>
      </c>
      <c r="T604">
        <f t="shared" si="39"/>
        <v>911576.5349820432</v>
      </c>
      <c r="V604">
        <f t="shared" si="36"/>
        <v>0</v>
      </c>
      <c r="W604">
        <f t="shared" si="37"/>
        <v>1</v>
      </c>
    </row>
    <row r="605" spans="1:23" x14ac:dyDescent="0.2">
      <c r="A605">
        <v>600</v>
      </c>
      <c r="B605">
        <v>418.79738924220408</v>
      </c>
      <c r="C605">
        <v>2410.6101625705214</v>
      </c>
      <c r="D605">
        <v>1016.2429016739268</v>
      </c>
      <c r="E605">
        <v>1201.3666321436867</v>
      </c>
      <c r="F605">
        <v>0.95950831272384107</v>
      </c>
      <c r="G605">
        <v>0.75580422408540515</v>
      </c>
      <c r="H605">
        <v>1.0650113127922498E-2</v>
      </c>
      <c r="I605">
        <v>0.15047265380699071</v>
      </c>
      <c r="J605">
        <v>0.3703500581797286</v>
      </c>
      <c r="L605">
        <v>9868.6604650428817</v>
      </c>
      <c r="M605">
        <v>10.119308956697656</v>
      </c>
      <c r="N605">
        <v>9.1816183451439706</v>
      </c>
      <c r="O605">
        <v>18702.22394255831</v>
      </c>
      <c r="P605">
        <v>11.763410627197629</v>
      </c>
      <c r="Q605">
        <v>10.966253527010553</v>
      </c>
      <c r="S605">
        <f t="shared" si="38"/>
        <v>908293.17404935416</v>
      </c>
      <c r="T605">
        <f t="shared" si="39"/>
        <v>1077923.1287584971</v>
      </c>
      <c r="V605">
        <f t="shared" si="36"/>
        <v>0</v>
      </c>
      <c r="W605">
        <f t="shared" si="37"/>
        <v>1</v>
      </c>
    </row>
    <row r="606" spans="1:23" x14ac:dyDescent="0.2">
      <c r="A606">
        <v>601</v>
      </c>
      <c r="B606">
        <v>482.06160071348012</v>
      </c>
      <c r="C606">
        <v>3586.1493743083593</v>
      </c>
      <c r="D606">
        <v>1024.8614348290187</v>
      </c>
      <c r="E606">
        <v>959.21584674318103</v>
      </c>
      <c r="F606">
        <v>0.92465106602711367</v>
      </c>
      <c r="G606">
        <v>0.77334849944249595</v>
      </c>
      <c r="H606">
        <v>1.0783619726079387E-2</v>
      </c>
      <c r="I606">
        <v>0.11734574508497919</v>
      </c>
      <c r="J606">
        <v>0.49793349856148095</v>
      </c>
      <c r="L606">
        <v>14784.98861885019</v>
      </c>
      <c r="M606">
        <v>10.513400434744543</v>
      </c>
      <c r="N606">
        <v>9.2641705888008712</v>
      </c>
      <c r="O606">
        <v>22225.279281205687</v>
      </c>
      <c r="P606">
        <v>11.586703255777616</v>
      </c>
      <c r="Q606">
        <v>10.384721184124491</v>
      </c>
      <c r="S606">
        <f t="shared" si="38"/>
        <v>911632.07026123686</v>
      </c>
      <c r="T606">
        <f t="shared" si="39"/>
        <v>1016246.8391312433</v>
      </c>
      <c r="V606">
        <f t="shared" si="36"/>
        <v>0</v>
      </c>
      <c r="W606">
        <f t="shared" si="37"/>
        <v>1</v>
      </c>
    </row>
    <row r="607" spans="1:23" x14ac:dyDescent="0.2">
      <c r="A607">
        <v>602</v>
      </c>
      <c r="B607">
        <v>739.44147400999361</v>
      </c>
      <c r="C607">
        <v>2565.6549701267627</v>
      </c>
      <c r="D607">
        <v>1061.8842833319475</v>
      </c>
      <c r="E607">
        <v>772.6026639939912</v>
      </c>
      <c r="F607">
        <v>0.98312189582829435</v>
      </c>
      <c r="G607">
        <v>0.73024286906352898</v>
      </c>
      <c r="H607">
        <v>1.1545151361068765E-2</v>
      </c>
      <c r="I607">
        <v>0.21283810843486506</v>
      </c>
      <c r="J607">
        <v>0.56466928963751606</v>
      </c>
      <c r="L607">
        <v>11157.948415333445</v>
      </c>
      <c r="M607">
        <v>9.4105933631623255</v>
      </c>
      <c r="N607">
        <v>8.7183014946419899</v>
      </c>
      <c r="O607">
        <v>20545.192617132368</v>
      </c>
      <c r="P607">
        <v>10.551192487037623</v>
      </c>
      <c r="Q607">
        <v>9.9540637417464612</v>
      </c>
      <c r="S607">
        <f t="shared" si="38"/>
        <v>860672.20104886557</v>
      </c>
      <c r="T607">
        <f t="shared" si="39"/>
        <v>974861.18155751377</v>
      </c>
      <c r="V607">
        <f t="shared" si="36"/>
        <v>0</v>
      </c>
      <c r="W607">
        <f t="shared" si="37"/>
        <v>1</v>
      </c>
    </row>
    <row r="608" spans="1:23" x14ac:dyDescent="0.2">
      <c r="A608">
        <v>603</v>
      </c>
      <c r="B608">
        <v>254.25860766587181</v>
      </c>
      <c r="C608">
        <v>3871.3617225881821</v>
      </c>
      <c r="D608">
        <v>825.83049219388624</v>
      </c>
      <c r="E608">
        <v>833.7296996388817</v>
      </c>
      <c r="F608">
        <v>0.88924906838670059</v>
      </c>
      <c r="G608">
        <v>0.7858315952940641</v>
      </c>
      <c r="H608">
        <v>1.0204548549667868E-2</v>
      </c>
      <c r="I608">
        <v>0.12632985389564372</v>
      </c>
      <c r="J608">
        <v>0.49520662383217634</v>
      </c>
      <c r="L608">
        <v>13211.941862405243</v>
      </c>
      <c r="M608">
        <v>10.481097964569978</v>
      </c>
      <c r="N608">
        <v>9.0272861771428285</v>
      </c>
      <c r="O608">
        <v>18363.042227547729</v>
      </c>
      <c r="P608">
        <v>11.58881617966872</v>
      </c>
      <c r="Q608">
        <v>10.096620600381259</v>
      </c>
      <c r="S608">
        <f t="shared" si="38"/>
        <v>889516.67585187755</v>
      </c>
      <c r="T608">
        <f t="shared" si="39"/>
        <v>991299.01781057823</v>
      </c>
      <c r="V608">
        <f t="shared" si="36"/>
        <v>0</v>
      </c>
      <c r="W608">
        <f t="shared" si="37"/>
        <v>1</v>
      </c>
    </row>
    <row r="609" spans="1:23" x14ac:dyDescent="0.2">
      <c r="A609">
        <v>604</v>
      </c>
      <c r="B609">
        <v>662.43813337697623</v>
      </c>
      <c r="C609">
        <v>2554.7018813768309</v>
      </c>
      <c r="D609">
        <v>1107.9504394880503</v>
      </c>
      <c r="E609">
        <v>1178.3489989899188</v>
      </c>
      <c r="F609">
        <v>0.97419537224650155</v>
      </c>
      <c r="G609">
        <v>0.624701967841223</v>
      </c>
      <c r="H609">
        <v>1.0864758637704981E-2</v>
      </c>
      <c r="I609">
        <v>0.18433577920336686</v>
      </c>
      <c r="J609">
        <v>0.53339172488745878</v>
      </c>
      <c r="L609">
        <v>11279.941816245606</v>
      </c>
      <c r="M609">
        <v>9.7553377302121866</v>
      </c>
      <c r="N609">
        <v>8.7054295715834193</v>
      </c>
      <c r="O609">
        <v>21086.215477484522</v>
      </c>
      <c r="P609">
        <v>10.935174319610214</v>
      </c>
      <c r="Q609">
        <v>10.050442231492042</v>
      </c>
      <c r="S609">
        <f t="shared" si="38"/>
        <v>859263.01534209633</v>
      </c>
      <c r="T609">
        <f t="shared" si="39"/>
        <v>983958.00767171965</v>
      </c>
      <c r="V609">
        <f t="shared" si="36"/>
        <v>0</v>
      </c>
      <c r="W609">
        <f t="shared" si="37"/>
        <v>1</v>
      </c>
    </row>
    <row r="610" spans="1:23" x14ac:dyDescent="0.2">
      <c r="A610">
        <v>605</v>
      </c>
      <c r="B610">
        <v>514.09578874373221</v>
      </c>
      <c r="C610">
        <v>3019.7311163060458</v>
      </c>
      <c r="D610">
        <v>874.76385648638075</v>
      </c>
      <c r="E610">
        <v>944.68355910572348</v>
      </c>
      <c r="F610">
        <v>0.95285097496549265</v>
      </c>
      <c r="G610">
        <v>0.64855079135418869</v>
      </c>
      <c r="H610">
        <v>9.7809748140227984E-3</v>
      </c>
      <c r="I610">
        <v>0.14315639342815775</v>
      </c>
      <c r="J610">
        <v>0.40020188173356003</v>
      </c>
      <c r="L610">
        <v>12146.898349315923</v>
      </c>
      <c r="M610">
        <v>10.351386655512036</v>
      </c>
      <c r="N610">
        <v>9.0768698517750881</v>
      </c>
      <c r="O610">
        <v>19269.847277591991</v>
      </c>
      <c r="P610">
        <v>11.821303419932171</v>
      </c>
      <c r="Q610">
        <v>10.772590452314198</v>
      </c>
      <c r="S610">
        <f t="shared" si="38"/>
        <v>895540.08682819281</v>
      </c>
      <c r="T610">
        <f t="shared" si="39"/>
        <v>1057989.1979538279</v>
      </c>
      <c r="V610">
        <f t="shared" si="36"/>
        <v>0</v>
      </c>
      <c r="W610">
        <f t="shared" si="37"/>
        <v>1</v>
      </c>
    </row>
    <row r="611" spans="1:23" x14ac:dyDescent="0.2">
      <c r="A611">
        <v>606</v>
      </c>
      <c r="B611">
        <v>599.80969651481666</v>
      </c>
      <c r="C611">
        <v>2877.5078870128355</v>
      </c>
      <c r="D611">
        <v>1127.1126803166294</v>
      </c>
      <c r="E611">
        <v>576.10002419187003</v>
      </c>
      <c r="F611">
        <v>0.9635688218163736</v>
      </c>
      <c r="G611">
        <v>0.68843225400335695</v>
      </c>
      <c r="H611">
        <v>9.9815070893224736E-3</v>
      </c>
      <c r="I611">
        <v>0.16563730356663198</v>
      </c>
      <c r="J611">
        <v>0.55389302888480296</v>
      </c>
      <c r="L611">
        <v>11684.544611473126</v>
      </c>
      <c r="M611">
        <v>10.08464634395841</v>
      </c>
      <c r="N611">
        <v>9.0638580758693141</v>
      </c>
      <c r="O611">
        <v>21483.740763623566</v>
      </c>
      <c r="P611">
        <v>11.139284354449513</v>
      </c>
      <c r="Q611">
        <v>10.237283955140169</v>
      </c>
      <c r="S611">
        <f t="shared" si="38"/>
        <v>894701.26297545829</v>
      </c>
      <c r="T611">
        <f t="shared" si="39"/>
        <v>1002244.6547503934</v>
      </c>
      <c r="V611">
        <f t="shared" si="36"/>
        <v>0</v>
      </c>
      <c r="W611">
        <f t="shared" si="37"/>
        <v>1</v>
      </c>
    </row>
    <row r="612" spans="1:23" x14ac:dyDescent="0.2">
      <c r="A612">
        <v>607</v>
      </c>
      <c r="B612">
        <v>443.82029862096476</v>
      </c>
      <c r="C612">
        <v>3104.7382148202437</v>
      </c>
      <c r="D612">
        <v>1000.1793693119777</v>
      </c>
      <c r="E612">
        <v>1093.3447476420959</v>
      </c>
      <c r="F612">
        <v>0.97779705399941896</v>
      </c>
      <c r="G612">
        <v>0.71756626614384433</v>
      </c>
      <c r="H612">
        <v>8.7467306787245621E-3</v>
      </c>
      <c r="I612">
        <v>0.13595332310006839</v>
      </c>
      <c r="J612">
        <v>0.49042377889972549</v>
      </c>
      <c r="L612">
        <v>11862.955707041947</v>
      </c>
      <c r="M612">
        <v>10.624626756862398</v>
      </c>
      <c r="N612">
        <v>9.7267011043908962</v>
      </c>
      <c r="O612">
        <v>20142.056506030091</v>
      </c>
      <c r="P612">
        <v>11.74394970480223</v>
      </c>
      <c r="Q612">
        <v>11.025296212798693</v>
      </c>
      <c r="S612">
        <f t="shared" si="38"/>
        <v>960807.1547320477</v>
      </c>
      <c r="T612">
        <f t="shared" si="39"/>
        <v>1082387.5647738392</v>
      </c>
      <c r="V612">
        <f t="shared" si="36"/>
        <v>0</v>
      </c>
      <c r="W612">
        <f t="shared" si="37"/>
        <v>1</v>
      </c>
    </row>
    <row r="613" spans="1:23" x14ac:dyDescent="0.2">
      <c r="A613">
        <v>608</v>
      </c>
      <c r="B613">
        <v>351.82529832520663</v>
      </c>
      <c r="C613">
        <v>2748.2208000725668</v>
      </c>
      <c r="D613">
        <v>1012.9325013998672</v>
      </c>
      <c r="E613">
        <v>545.98993465780472</v>
      </c>
      <c r="F613">
        <v>0.91903787763204503</v>
      </c>
      <c r="G613">
        <v>0.72910553484923768</v>
      </c>
      <c r="H613">
        <v>8.7709871291792932E-3</v>
      </c>
      <c r="I613">
        <v>0.21476950600878986</v>
      </c>
      <c r="J613">
        <v>0.48603373098714581</v>
      </c>
      <c r="L613">
        <v>8236.8594181613698</v>
      </c>
      <c r="M613">
        <v>9.9561858720422762</v>
      </c>
      <c r="N613">
        <v>8.7924085587131451</v>
      </c>
      <c r="O613">
        <v>17399.826586289706</v>
      </c>
      <c r="P613">
        <v>11.309290311583862</v>
      </c>
      <c r="Q613">
        <v>10.144926342451607</v>
      </c>
      <c r="S613">
        <f t="shared" si="38"/>
        <v>871003.9964531532</v>
      </c>
      <c r="T613">
        <f t="shared" si="39"/>
        <v>997092.80765887094</v>
      </c>
      <c r="V613">
        <f t="shared" si="36"/>
        <v>0</v>
      </c>
      <c r="W613">
        <f t="shared" si="37"/>
        <v>1</v>
      </c>
    </row>
    <row r="614" spans="1:23" x14ac:dyDescent="0.2">
      <c r="A614">
        <v>609</v>
      </c>
      <c r="B614">
        <v>514.64517201963031</v>
      </c>
      <c r="C614">
        <v>3058.8531667957513</v>
      </c>
      <c r="D614">
        <v>1093.9352591759664</v>
      </c>
      <c r="E614">
        <v>1323.9490048566818</v>
      </c>
      <c r="F614">
        <v>0.95057639168772612</v>
      </c>
      <c r="G614">
        <v>0.76219459550918067</v>
      </c>
      <c r="H614">
        <v>9.6914481159506155E-3</v>
      </c>
      <c r="I614">
        <v>0.13593539170023519</v>
      </c>
      <c r="J614">
        <v>0.53941237497254835</v>
      </c>
      <c r="L614">
        <v>12616.124394843015</v>
      </c>
      <c r="M614">
        <v>10.449768042592273</v>
      </c>
      <c r="N614">
        <v>9.4327684441442869</v>
      </c>
      <c r="O614">
        <v>21643.578586700161</v>
      </c>
      <c r="P614">
        <v>11.455556611688737</v>
      </c>
      <c r="Q614">
        <v>10.517713344540301</v>
      </c>
      <c r="S614">
        <f t="shared" si="38"/>
        <v>930660.72001958569</v>
      </c>
      <c r="T614">
        <f t="shared" si="39"/>
        <v>1030127.7558673299</v>
      </c>
      <c r="V614">
        <f t="shared" si="36"/>
        <v>0</v>
      </c>
      <c r="W614">
        <f t="shared" si="37"/>
        <v>1</v>
      </c>
    </row>
    <row r="615" spans="1:23" x14ac:dyDescent="0.2">
      <c r="A615">
        <v>610</v>
      </c>
      <c r="B615">
        <v>699.96478048566098</v>
      </c>
      <c r="C615">
        <v>2630.0250379432032</v>
      </c>
      <c r="D615">
        <v>1011.8769791611315</v>
      </c>
      <c r="E615">
        <v>1006.2476431894862</v>
      </c>
      <c r="F615">
        <v>0.96662443299185252</v>
      </c>
      <c r="G615">
        <v>0.78064019197708856</v>
      </c>
      <c r="H615">
        <v>8.9574200820593738E-3</v>
      </c>
      <c r="I615">
        <v>0.2075048116649183</v>
      </c>
      <c r="J615">
        <v>0.6297442458871233</v>
      </c>
      <c r="L615">
        <v>11137.575193955656</v>
      </c>
      <c r="M615">
        <v>9.9612334068342392</v>
      </c>
      <c r="N615">
        <v>9.2665994666614395</v>
      </c>
      <c r="O615">
        <v>20341.568803770548</v>
      </c>
      <c r="P615">
        <v>10.850650430047668</v>
      </c>
      <c r="Q615">
        <v>10.196903539031622</v>
      </c>
      <c r="S615">
        <f t="shared" si="38"/>
        <v>915522.37147218827</v>
      </c>
      <c r="T615">
        <f t="shared" si="39"/>
        <v>999348.78509939159</v>
      </c>
      <c r="V615">
        <f t="shared" si="36"/>
        <v>0</v>
      </c>
      <c r="W615">
        <f t="shared" si="37"/>
        <v>1</v>
      </c>
    </row>
    <row r="616" spans="1:23" x14ac:dyDescent="0.2">
      <c r="A616">
        <v>611</v>
      </c>
      <c r="B616">
        <v>455.04186268813265</v>
      </c>
      <c r="C616">
        <v>2708.6367739025227</v>
      </c>
      <c r="D616">
        <v>901.28422634129811</v>
      </c>
      <c r="E616">
        <v>977.61909640174827</v>
      </c>
      <c r="F616">
        <v>0.94181790458886006</v>
      </c>
      <c r="G616">
        <v>0.87295900008109339</v>
      </c>
      <c r="H616">
        <v>1.2831213654035238E-2</v>
      </c>
      <c r="I616">
        <v>0.11992328282241685</v>
      </c>
      <c r="J616">
        <v>0.56969898410547981</v>
      </c>
      <c r="L616">
        <v>12188.669458321709</v>
      </c>
      <c r="M616">
        <v>10.190863454930481</v>
      </c>
      <c r="N616">
        <v>9.378613543285427</v>
      </c>
      <c r="O616">
        <v>18756.466690346031</v>
      </c>
      <c r="P616">
        <v>11.099402088474328</v>
      </c>
      <c r="Q616">
        <v>10.280147775363814</v>
      </c>
      <c r="S616">
        <f t="shared" si="38"/>
        <v>925672.68487022095</v>
      </c>
      <c r="T616">
        <f t="shared" si="39"/>
        <v>1009258.3108460354</v>
      </c>
      <c r="V616">
        <f t="shared" si="36"/>
        <v>0</v>
      </c>
      <c r="W616">
        <f t="shared" si="37"/>
        <v>1</v>
      </c>
    </row>
    <row r="617" spans="1:23" x14ac:dyDescent="0.2">
      <c r="A617">
        <v>612</v>
      </c>
      <c r="B617">
        <v>654.07219269850543</v>
      </c>
      <c r="C617">
        <v>2696.633698312904</v>
      </c>
      <c r="D617">
        <v>1004.2178242125342</v>
      </c>
      <c r="E617">
        <v>1069.9510625883418</v>
      </c>
      <c r="F617">
        <v>0.96096221280689431</v>
      </c>
      <c r="G617">
        <v>0.75435866206621982</v>
      </c>
      <c r="H617">
        <v>9.0537676543620167E-3</v>
      </c>
      <c r="I617">
        <v>0.13639283711528236</v>
      </c>
      <c r="J617">
        <v>0.45019802614433602</v>
      </c>
      <c r="L617">
        <v>12547.610848264572</v>
      </c>
      <c r="M617">
        <v>10.560991052233289</v>
      </c>
      <c r="N617">
        <v>9.6162763229698189</v>
      </c>
      <c r="O617">
        <v>21603.996989234929</v>
      </c>
      <c r="P617">
        <v>11.81189602273483</v>
      </c>
      <c r="Q617">
        <v>10.999005588976436</v>
      </c>
      <c r="S617">
        <f t="shared" si="38"/>
        <v>949080.02144871734</v>
      </c>
      <c r="T617">
        <f t="shared" si="39"/>
        <v>1078296.5619084088</v>
      </c>
      <c r="V617">
        <f t="shared" si="36"/>
        <v>0</v>
      </c>
      <c r="W617">
        <f t="shared" si="37"/>
        <v>1</v>
      </c>
    </row>
    <row r="618" spans="1:23" x14ac:dyDescent="0.2">
      <c r="A618">
        <v>613</v>
      </c>
      <c r="B618">
        <v>380.84097212530787</v>
      </c>
      <c r="C618">
        <v>3382.5340322709867</v>
      </c>
      <c r="D618">
        <v>968.58126182246031</v>
      </c>
      <c r="E618">
        <v>794.69747023605714</v>
      </c>
      <c r="F618">
        <v>0.97018765827945641</v>
      </c>
      <c r="G618">
        <v>0.6097220772989459</v>
      </c>
      <c r="H618">
        <v>1.0023418625199256E-2</v>
      </c>
      <c r="I618">
        <v>0.12598394055820078</v>
      </c>
      <c r="J618">
        <v>0.52866277436561904</v>
      </c>
      <c r="L618">
        <v>12743.668188240646</v>
      </c>
      <c r="M618">
        <v>10.515443777352015</v>
      </c>
      <c r="N618">
        <v>9.1863884210686564</v>
      </c>
      <c r="O618">
        <v>19977.464270769404</v>
      </c>
      <c r="P618">
        <v>11.52301201071678</v>
      </c>
      <c r="Q618">
        <v>10.431247341432801</v>
      </c>
      <c r="S618">
        <f t="shared" si="38"/>
        <v>905895.17391862499</v>
      </c>
      <c r="T618">
        <f t="shared" si="39"/>
        <v>1023147.2698725107</v>
      </c>
      <c r="V618">
        <f t="shared" si="36"/>
        <v>0</v>
      </c>
      <c r="W618">
        <f t="shared" si="37"/>
        <v>1</v>
      </c>
    </row>
    <row r="619" spans="1:23" x14ac:dyDescent="0.2">
      <c r="A619">
        <v>614</v>
      </c>
      <c r="B619">
        <v>427.72383809628559</v>
      </c>
      <c r="C619">
        <v>3740.3444638081392</v>
      </c>
      <c r="D619">
        <v>1057.8052924656331</v>
      </c>
      <c r="E619">
        <v>1047.3744506965602</v>
      </c>
      <c r="F619">
        <v>0.93684871310560114</v>
      </c>
      <c r="G619">
        <v>0.7110262197281233</v>
      </c>
      <c r="H619">
        <v>9.0837347827953229E-3</v>
      </c>
      <c r="I619">
        <v>0.14056718846307772</v>
      </c>
      <c r="J619">
        <v>0.56160609486244162</v>
      </c>
      <c r="L619">
        <v>13262.923429933162</v>
      </c>
      <c r="M619">
        <v>10.508851132459425</v>
      </c>
      <c r="N619">
        <v>9.2729182432183226</v>
      </c>
      <c r="O619">
        <v>21600.445529032808</v>
      </c>
      <c r="P619">
        <v>11.454572328076106</v>
      </c>
      <c r="Q619">
        <v>10.300214617281812</v>
      </c>
      <c r="S619">
        <f t="shared" si="38"/>
        <v>914028.90089189913</v>
      </c>
      <c r="T619">
        <f t="shared" si="39"/>
        <v>1008421.0161991484</v>
      </c>
      <c r="V619">
        <f t="shared" si="36"/>
        <v>0</v>
      </c>
      <c r="W619">
        <f t="shared" si="37"/>
        <v>1</v>
      </c>
    </row>
    <row r="620" spans="1:23" x14ac:dyDescent="0.2">
      <c r="A620">
        <v>615</v>
      </c>
      <c r="B620">
        <v>496.21312265336604</v>
      </c>
      <c r="C620">
        <v>3539.8899529042556</v>
      </c>
      <c r="D620">
        <v>1218.2029525699606</v>
      </c>
      <c r="E620">
        <v>565.77063935420517</v>
      </c>
      <c r="F620">
        <v>0.97676753795952487</v>
      </c>
      <c r="G620">
        <v>0.64197169960203515</v>
      </c>
      <c r="H620">
        <v>1.0103161198656696E-2</v>
      </c>
      <c r="I620">
        <v>0.13905202075152803</v>
      </c>
      <c r="J620">
        <v>0.55204518597152796</v>
      </c>
      <c r="L620">
        <v>13454.592423863311</v>
      </c>
      <c r="M620">
        <v>10.341429649502951</v>
      </c>
      <c r="N620">
        <v>9.2087294663275276</v>
      </c>
      <c r="O620">
        <v>23265.091622306842</v>
      </c>
      <c r="P620">
        <v>11.329878011277447</v>
      </c>
      <c r="Q620">
        <v>10.391320165125324</v>
      </c>
      <c r="S620">
        <f t="shared" si="38"/>
        <v>907418.35420888942</v>
      </c>
      <c r="T620">
        <f t="shared" si="39"/>
        <v>1015866.9248902255</v>
      </c>
      <c r="V620">
        <f t="shared" si="36"/>
        <v>0</v>
      </c>
      <c r="W620">
        <f t="shared" si="37"/>
        <v>1</v>
      </c>
    </row>
    <row r="621" spans="1:23" x14ac:dyDescent="0.2">
      <c r="A621">
        <v>616</v>
      </c>
      <c r="B621">
        <v>760.91423897605421</v>
      </c>
      <c r="C621">
        <v>2093.7298510563464</v>
      </c>
      <c r="D621">
        <v>1076.2425746688775</v>
      </c>
      <c r="E621">
        <v>957.27871781802969</v>
      </c>
      <c r="F621">
        <v>0.93772084771206032</v>
      </c>
      <c r="G621">
        <v>0.58153636726826397</v>
      </c>
      <c r="H621">
        <v>9.6794583907524913E-3</v>
      </c>
      <c r="I621">
        <v>0.14379682001132491</v>
      </c>
      <c r="J621">
        <v>0.47009721910921881</v>
      </c>
      <c r="L621">
        <v>11658.913967743998</v>
      </c>
      <c r="M621">
        <v>10.362640551475687</v>
      </c>
      <c r="N621">
        <v>8.8031471592307273</v>
      </c>
      <c r="O621">
        <v>22008.700051242846</v>
      </c>
      <c r="P621">
        <v>11.601298707744975</v>
      </c>
      <c r="Q621">
        <v>10.250579349212718</v>
      </c>
      <c r="S621">
        <f t="shared" si="38"/>
        <v>868655.80195532879</v>
      </c>
      <c r="T621">
        <f t="shared" si="39"/>
        <v>1003049.2348700289</v>
      </c>
      <c r="V621">
        <f t="shared" si="36"/>
        <v>0</v>
      </c>
      <c r="W621">
        <f t="shared" si="37"/>
        <v>1</v>
      </c>
    </row>
    <row r="622" spans="1:23" x14ac:dyDescent="0.2">
      <c r="A622">
        <v>617</v>
      </c>
      <c r="B622">
        <v>516.36618574109252</v>
      </c>
      <c r="C622">
        <v>3757.174147294395</v>
      </c>
      <c r="D622">
        <v>977.58058453916294</v>
      </c>
      <c r="E622">
        <v>1317.346852167756</v>
      </c>
      <c r="F622">
        <v>0.94144843604690931</v>
      </c>
      <c r="G622">
        <v>0.75629866403999479</v>
      </c>
      <c r="H622">
        <v>8.9343389362359395E-3</v>
      </c>
      <c r="I622">
        <v>0.20305644555690283</v>
      </c>
      <c r="J622">
        <v>0.53551256544154313</v>
      </c>
      <c r="L622">
        <v>12092.130168431311</v>
      </c>
      <c r="M622">
        <v>9.9965296084130078</v>
      </c>
      <c r="N622">
        <v>9.0454745694206338</v>
      </c>
      <c r="O622">
        <v>20364.320034720662</v>
      </c>
      <c r="P622">
        <v>11.166029106627755</v>
      </c>
      <c r="Q622">
        <v>10.242799088387791</v>
      </c>
      <c r="S622">
        <f t="shared" si="38"/>
        <v>892455.32677363208</v>
      </c>
      <c r="T622">
        <f t="shared" si="39"/>
        <v>1003915.5888040584</v>
      </c>
      <c r="V622">
        <f t="shared" si="36"/>
        <v>0</v>
      </c>
      <c r="W622">
        <f t="shared" si="37"/>
        <v>1</v>
      </c>
    </row>
    <row r="623" spans="1:23" x14ac:dyDescent="0.2">
      <c r="A623">
        <v>618</v>
      </c>
      <c r="B623">
        <v>354.800681108096</v>
      </c>
      <c r="C623">
        <v>3046.2070981334273</v>
      </c>
      <c r="D623">
        <v>895.25340527209676</v>
      </c>
      <c r="E623">
        <v>827.84844742358166</v>
      </c>
      <c r="F623">
        <v>0.96945516521992015</v>
      </c>
      <c r="G623">
        <v>0.70083691142575366</v>
      </c>
      <c r="H623">
        <v>1.0177012885654606E-2</v>
      </c>
      <c r="I623">
        <v>0.17769346012127163</v>
      </c>
      <c r="J623">
        <v>0.45723989030266748</v>
      </c>
      <c r="L623">
        <v>10008.212392463643</v>
      </c>
      <c r="M623">
        <v>9.938874742794356</v>
      </c>
      <c r="N623">
        <v>9.021888907850764</v>
      </c>
      <c r="O623">
        <v>17228.779853156186</v>
      </c>
      <c r="P623">
        <v>11.347536284858109</v>
      </c>
      <c r="Q623">
        <v>10.580187650172084</v>
      </c>
      <c r="S623">
        <f t="shared" si="38"/>
        <v>892180.67839261272</v>
      </c>
      <c r="T623">
        <f t="shared" si="39"/>
        <v>1040789.9851640522</v>
      </c>
      <c r="V623">
        <f t="shared" si="36"/>
        <v>0</v>
      </c>
      <c r="W623">
        <f t="shared" si="37"/>
        <v>1</v>
      </c>
    </row>
    <row r="624" spans="1:23" x14ac:dyDescent="0.2">
      <c r="A624">
        <v>619</v>
      </c>
      <c r="B624">
        <v>505.74190469573392</v>
      </c>
      <c r="C624">
        <v>2394.6133665585839</v>
      </c>
      <c r="D624">
        <v>879.41878729747043</v>
      </c>
      <c r="E624">
        <v>1449.7232347825925</v>
      </c>
      <c r="F624">
        <v>0.93912712884843574</v>
      </c>
      <c r="G624">
        <v>0.63747826968242127</v>
      </c>
      <c r="H624">
        <v>9.9062983149839565E-3</v>
      </c>
      <c r="I624">
        <v>0.13446467931089273</v>
      </c>
      <c r="J624">
        <v>0.48621438240964243</v>
      </c>
      <c r="L624">
        <v>10897.868260126326</v>
      </c>
      <c r="M624">
        <v>10.429621660730291</v>
      </c>
      <c r="N624">
        <v>8.980738945941896</v>
      </c>
      <c r="O624">
        <v>18336.211387208416</v>
      </c>
      <c r="P624">
        <v>11.589355120381411</v>
      </c>
      <c r="Q624">
        <v>10.312059203874899</v>
      </c>
      <c r="S624">
        <f t="shared" si="38"/>
        <v>887176.02633406327</v>
      </c>
      <c r="T624">
        <f t="shared" si="39"/>
        <v>1012869.7090002814</v>
      </c>
      <c r="V624">
        <f t="shared" si="36"/>
        <v>0</v>
      </c>
      <c r="W624">
        <f t="shared" si="37"/>
        <v>1</v>
      </c>
    </row>
    <row r="625" spans="1:23" x14ac:dyDescent="0.2">
      <c r="A625">
        <v>620</v>
      </c>
      <c r="B625">
        <v>499.57222324877489</v>
      </c>
      <c r="C625">
        <v>2776.1088394587091</v>
      </c>
      <c r="D625">
        <v>867.29314006528728</v>
      </c>
      <c r="E625">
        <v>689.74458581127351</v>
      </c>
      <c r="F625">
        <v>0.98643877485790199</v>
      </c>
      <c r="G625">
        <v>0.69948651889842728</v>
      </c>
      <c r="H625">
        <v>8.0844086349995282E-3</v>
      </c>
      <c r="I625">
        <v>0.14153368434796096</v>
      </c>
      <c r="J625">
        <v>0.52628335831871476</v>
      </c>
      <c r="L625">
        <v>11038.480997329158</v>
      </c>
      <c r="M625">
        <v>10.698883565801783</v>
      </c>
      <c r="N625">
        <v>9.8656357519114639</v>
      </c>
      <c r="O625">
        <v>18590.527892274553</v>
      </c>
      <c r="P625">
        <v>11.71505243708862</v>
      </c>
      <c r="Q625">
        <v>11.065324444634523</v>
      </c>
      <c r="S625">
        <f t="shared" si="38"/>
        <v>975525.09419381723</v>
      </c>
      <c r="T625">
        <f t="shared" si="39"/>
        <v>1087941.9165711778</v>
      </c>
      <c r="V625">
        <f t="shared" si="36"/>
        <v>0</v>
      </c>
      <c r="W625">
        <f t="shared" si="37"/>
        <v>1</v>
      </c>
    </row>
    <row r="626" spans="1:23" x14ac:dyDescent="0.2">
      <c r="A626">
        <v>621</v>
      </c>
      <c r="B626">
        <v>480.37906217015961</v>
      </c>
      <c r="C626">
        <v>2815.4099886266417</v>
      </c>
      <c r="D626">
        <v>1250.7699733868869</v>
      </c>
      <c r="E626">
        <v>1320.8473580272537</v>
      </c>
      <c r="F626">
        <v>0.96386230258774497</v>
      </c>
      <c r="G626">
        <v>0.73387148435060734</v>
      </c>
      <c r="H626">
        <v>1.0586607287150777E-2</v>
      </c>
      <c r="I626">
        <v>0.15756127490613414</v>
      </c>
      <c r="J626">
        <v>0.51314228093540681</v>
      </c>
      <c r="L626">
        <v>11215.619112937404</v>
      </c>
      <c r="M626">
        <v>10.055196578603685</v>
      </c>
      <c r="N626">
        <v>9.1143654331227122</v>
      </c>
      <c r="O626">
        <v>21816.113612692556</v>
      </c>
      <c r="P626">
        <v>11.225747685366828</v>
      </c>
      <c r="Q626">
        <v>10.396055372003783</v>
      </c>
      <c r="S626">
        <f t="shared" si="38"/>
        <v>900220.92419933388</v>
      </c>
      <c r="T626">
        <f t="shared" si="39"/>
        <v>1017789.4235876857</v>
      </c>
      <c r="V626">
        <f t="shared" si="36"/>
        <v>0</v>
      </c>
      <c r="W626">
        <f t="shared" si="37"/>
        <v>1</v>
      </c>
    </row>
    <row r="627" spans="1:23" x14ac:dyDescent="0.2">
      <c r="A627">
        <v>622</v>
      </c>
      <c r="B627">
        <v>622.94472123444382</v>
      </c>
      <c r="C627">
        <v>4078.2915982455916</v>
      </c>
      <c r="D627">
        <v>938.23719941879324</v>
      </c>
      <c r="E627">
        <v>1211.5685108528696</v>
      </c>
      <c r="F627">
        <v>0.9723402495310699</v>
      </c>
      <c r="G627">
        <v>0.79421757948534699</v>
      </c>
      <c r="H627">
        <v>8.9831544086915269E-3</v>
      </c>
      <c r="I627">
        <v>0.13131024109643732</v>
      </c>
      <c r="J627">
        <v>0.44641127127599101</v>
      </c>
      <c r="L627">
        <v>16118.692803571252</v>
      </c>
      <c r="M627">
        <v>10.632831928075509</v>
      </c>
      <c r="N627">
        <v>9.8708072693600837</v>
      </c>
      <c r="O627">
        <v>23142.504066261146</v>
      </c>
      <c r="P627">
        <v>11.871027957221761</v>
      </c>
      <c r="Q627">
        <v>11.235867739956465</v>
      </c>
      <c r="S627">
        <f t="shared" si="38"/>
        <v>970962.03413243708</v>
      </c>
      <c r="T627">
        <f t="shared" si="39"/>
        <v>1100444.2699293853</v>
      </c>
      <c r="V627">
        <f t="shared" si="36"/>
        <v>0</v>
      </c>
      <c r="W627">
        <f t="shared" si="37"/>
        <v>1</v>
      </c>
    </row>
    <row r="628" spans="1:23" x14ac:dyDescent="0.2">
      <c r="A628">
        <v>623</v>
      </c>
      <c r="B628">
        <v>356.88495028565364</v>
      </c>
      <c r="C628">
        <v>2795.1144952068403</v>
      </c>
      <c r="D628">
        <v>1089.5912273723236</v>
      </c>
      <c r="E628">
        <v>795.63079399533922</v>
      </c>
      <c r="F628">
        <v>0.96947031999581657</v>
      </c>
      <c r="G628">
        <v>0.83058918872596954</v>
      </c>
      <c r="H628">
        <v>1.2060207050852031E-2</v>
      </c>
      <c r="I628">
        <v>0.1520901483665571</v>
      </c>
      <c r="J628">
        <v>0.50947193757692677</v>
      </c>
      <c r="L628">
        <v>10426.857812854756</v>
      </c>
      <c r="M628">
        <v>9.8758267072389767</v>
      </c>
      <c r="N628">
        <v>9.1997551407988123</v>
      </c>
      <c r="O628">
        <v>18960.803437488892</v>
      </c>
      <c r="P628">
        <v>11.065223252940026</v>
      </c>
      <c r="Q628">
        <v>10.448137907842165</v>
      </c>
      <c r="S628">
        <f t="shared" si="38"/>
        <v>909548.65626702644</v>
      </c>
      <c r="T628">
        <f t="shared" si="39"/>
        <v>1025852.9873467276</v>
      </c>
      <c r="V628">
        <f t="shared" si="36"/>
        <v>0</v>
      </c>
      <c r="W628">
        <f t="shared" si="37"/>
        <v>1</v>
      </c>
    </row>
    <row r="629" spans="1:23" x14ac:dyDescent="0.2">
      <c r="A629">
        <v>624</v>
      </c>
      <c r="B629">
        <v>493.47809643564915</v>
      </c>
      <c r="C629">
        <v>2712.0631112424599</v>
      </c>
      <c r="D629">
        <v>955.49198274647961</v>
      </c>
      <c r="E629">
        <v>1530.3709262726397</v>
      </c>
      <c r="F629">
        <v>0.95021562545502947</v>
      </c>
      <c r="G629">
        <v>0.71231155763728859</v>
      </c>
      <c r="H629">
        <v>8.7530163286954465E-3</v>
      </c>
      <c r="I629">
        <v>0.16501338955296252</v>
      </c>
      <c r="J629">
        <v>0.45682629090990873</v>
      </c>
      <c r="L629">
        <v>10671.519613199896</v>
      </c>
      <c r="M629">
        <v>10.333524580069662</v>
      </c>
      <c r="N629">
        <v>9.2826237023900369</v>
      </c>
      <c r="O629">
        <v>19164.502713606977</v>
      </c>
      <c r="P629">
        <v>11.656387534621622</v>
      </c>
      <c r="Q629">
        <v>10.719020022001294</v>
      </c>
      <c r="S629">
        <f t="shared" si="38"/>
        <v>917590.85062580381</v>
      </c>
      <c r="T629">
        <f t="shared" si="39"/>
        <v>1052737.4994865225</v>
      </c>
      <c r="V629">
        <f t="shared" si="36"/>
        <v>0</v>
      </c>
      <c r="W629">
        <f t="shared" si="37"/>
        <v>1</v>
      </c>
    </row>
    <row r="630" spans="1:23" x14ac:dyDescent="0.2">
      <c r="A630">
        <v>625</v>
      </c>
      <c r="B630">
        <v>259.46608825260063</v>
      </c>
      <c r="C630">
        <v>3662.3942209264583</v>
      </c>
      <c r="D630">
        <v>983.73334984239818</v>
      </c>
      <c r="E630">
        <v>1353.3170688962969</v>
      </c>
      <c r="F630">
        <v>0.96775154203562574</v>
      </c>
      <c r="G630">
        <v>0.84033748709555911</v>
      </c>
      <c r="H630">
        <v>9.9477142116390395E-3</v>
      </c>
      <c r="I630">
        <v>0.13093349529109738</v>
      </c>
      <c r="J630">
        <v>0.51000750644784887</v>
      </c>
      <c r="L630">
        <v>12546.988970227325</v>
      </c>
      <c r="M630">
        <v>10.46553155302569</v>
      </c>
      <c r="N630">
        <v>9.7781367406398836</v>
      </c>
      <c r="O630">
        <v>19497.041402612169</v>
      </c>
      <c r="P630">
        <v>11.542738438206175</v>
      </c>
      <c r="Q630">
        <v>10.917915667190327</v>
      </c>
      <c r="S630">
        <f t="shared" si="38"/>
        <v>965266.68509376107</v>
      </c>
      <c r="T630">
        <f t="shared" si="39"/>
        <v>1072294.5253164205</v>
      </c>
      <c r="V630">
        <f t="shared" si="36"/>
        <v>0</v>
      </c>
      <c r="W630">
        <f t="shared" si="37"/>
        <v>1</v>
      </c>
    </row>
    <row r="631" spans="1:23" x14ac:dyDescent="0.2">
      <c r="A631">
        <v>626</v>
      </c>
      <c r="B631">
        <v>592.90035096078668</v>
      </c>
      <c r="C631">
        <v>3509.4927561310828</v>
      </c>
      <c r="D631">
        <v>938.63705151713373</v>
      </c>
      <c r="E631">
        <v>1060.2258823449997</v>
      </c>
      <c r="F631">
        <v>0.95470984290924443</v>
      </c>
      <c r="G631">
        <v>0.68260207924039573</v>
      </c>
      <c r="H631">
        <v>9.7298803983856645E-3</v>
      </c>
      <c r="I631">
        <v>0.14195986122459864</v>
      </c>
      <c r="J631">
        <v>0.46306270541406458</v>
      </c>
      <c r="L631">
        <v>14101.481206625365</v>
      </c>
      <c r="M631">
        <v>10.373904583940419</v>
      </c>
      <c r="N631">
        <v>9.1986890748196561</v>
      </c>
      <c r="O631">
        <v>21571.221231580763</v>
      </c>
      <c r="P631">
        <v>11.629206106446643</v>
      </c>
      <c r="Q631">
        <v>10.621746622867819</v>
      </c>
      <c r="S631">
        <f t="shared" si="38"/>
        <v>905767.42627534026</v>
      </c>
      <c r="T631">
        <f t="shared" si="39"/>
        <v>1040603.4410552012</v>
      </c>
      <c r="V631">
        <f t="shared" si="36"/>
        <v>0</v>
      </c>
      <c r="W631">
        <f t="shared" si="37"/>
        <v>1</v>
      </c>
    </row>
    <row r="632" spans="1:23" x14ac:dyDescent="0.2">
      <c r="A632">
        <v>627</v>
      </c>
      <c r="B632">
        <v>363.58583463357189</v>
      </c>
      <c r="C632">
        <v>3714.1859481140859</v>
      </c>
      <c r="D632">
        <v>1028.1099802015378</v>
      </c>
      <c r="E632">
        <v>1071.3675853640805</v>
      </c>
      <c r="F632">
        <v>0.9429371664447066</v>
      </c>
      <c r="G632">
        <v>0.69553357782993441</v>
      </c>
      <c r="H632">
        <v>8.6923269957753391E-3</v>
      </c>
      <c r="I632">
        <v>0.17891509355050306</v>
      </c>
      <c r="J632">
        <v>0.52286188496748098</v>
      </c>
      <c r="L632">
        <v>11267.474908290578</v>
      </c>
      <c r="M632">
        <v>10.229027619490779</v>
      </c>
      <c r="N632">
        <v>9.1181315512157095</v>
      </c>
      <c r="O632">
        <v>19703.284061674181</v>
      </c>
      <c r="P632">
        <v>11.37882919917063</v>
      </c>
      <c r="Q632">
        <v>10.348953672986665</v>
      </c>
      <c r="S632">
        <f t="shared" si="38"/>
        <v>900545.68021328037</v>
      </c>
      <c r="T632">
        <f t="shared" si="39"/>
        <v>1015192.0832369924</v>
      </c>
      <c r="V632">
        <f t="shared" si="36"/>
        <v>0</v>
      </c>
      <c r="W632">
        <f t="shared" si="37"/>
        <v>1</v>
      </c>
    </row>
    <row r="633" spans="1:23" x14ac:dyDescent="0.2">
      <c r="A633">
        <v>628</v>
      </c>
      <c r="B633">
        <v>449.03732042870996</v>
      </c>
      <c r="C633">
        <v>2294.8289385755697</v>
      </c>
      <c r="D633">
        <v>892.62402526903122</v>
      </c>
      <c r="E633">
        <v>807.32213579377128</v>
      </c>
      <c r="F633">
        <v>0.97199911231863512</v>
      </c>
      <c r="G633">
        <v>0.74374251992412799</v>
      </c>
      <c r="H633">
        <v>1.0252874975252435E-2</v>
      </c>
      <c r="I633">
        <v>0.13585151730803746</v>
      </c>
      <c r="J633">
        <v>0.44190597045466479</v>
      </c>
      <c r="L633">
        <v>9967.0207273377473</v>
      </c>
      <c r="M633">
        <v>10.353866741246398</v>
      </c>
      <c r="N633">
        <v>9.4432225051806515</v>
      </c>
      <c r="O633">
        <v>17586.053428550724</v>
      </c>
      <c r="P633">
        <v>11.666985607131494</v>
      </c>
      <c r="Q633">
        <v>10.925187366418227</v>
      </c>
      <c r="S633">
        <f t="shared" si="38"/>
        <v>934355.22979072738</v>
      </c>
      <c r="T633">
        <f t="shared" si="39"/>
        <v>1074932.6832132719</v>
      </c>
      <c r="V633">
        <f t="shared" si="36"/>
        <v>0</v>
      </c>
      <c r="W633">
        <f t="shared" si="37"/>
        <v>1</v>
      </c>
    </row>
    <row r="634" spans="1:23" x14ac:dyDescent="0.2">
      <c r="A634">
        <v>629</v>
      </c>
      <c r="B634">
        <v>386.13451397108275</v>
      </c>
      <c r="C634">
        <v>3354.3214428470269</v>
      </c>
      <c r="D634">
        <v>1046.4424443636151</v>
      </c>
      <c r="E634">
        <v>1233.1104895620847</v>
      </c>
      <c r="F634">
        <v>0.96798402252942661</v>
      </c>
      <c r="G634">
        <v>0.85808572796668869</v>
      </c>
      <c r="H634">
        <v>9.8989992041959365E-3</v>
      </c>
      <c r="I634">
        <v>0.12806344580886356</v>
      </c>
      <c r="J634">
        <v>0.51792760095679324</v>
      </c>
      <c r="L634">
        <v>12737.816164178497</v>
      </c>
      <c r="M634">
        <v>10.509696980561246</v>
      </c>
      <c r="N634">
        <v>9.8680849628841472</v>
      </c>
      <c r="O634">
        <v>20749.196297878108</v>
      </c>
      <c r="P634">
        <v>11.552437195303799</v>
      </c>
      <c r="Q634">
        <v>10.960657963000825</v>
      </c>
      <c r="S634">
        <f t="shared" si="38"/>
        <v>974070.68012423615</v>
      </c>
      <c r="T634">
        <f t="shared" si="39"/>
        <v>1075316.6000022043</v>
      </c>
      <c r="V634">
        <f t="shared" si="36"/>
        <v>0</v>
      </c>
      <c r="W634">
        <f t="shared" si="37"/>
        <v>1</v>
      </c>
    </row>
    <row r="635" spans="1:23" x14ac:dyDescent="0.2">
      <c r="A635">
        <v>630</v>
      </c>
      <c r="B635">
        <v>486.69191869308952</v>
      </c>
      <c r="C635">
        <v>3067.5687986867906</v>
      </c>
      <c r="D635">
        <v>1054.4712195536245</v>
      </c>
      <c r="E635">
        <v>552.33102434511227</v>
      </c>
      <c r="F635">
        <v>0.95696786491951036</v>
      </c>
      <c r="G635">
        <v>0.69065550393432962</v>
      </c>
      <c r="H635">
        <v>1.0624796603255838E-2</v>
      </c>
      <c r="I635">
        <v>0.14803392799098447</v>
      </c>
      <c r="J635">
        <v>0.51033526884727887</v>
      </c>
      <c r="L635">
        <v>11905.865510600675</v>
      </c>
      <c r="M635">
        <v>10.150390208365058</v>
      </c>
      <c r="N635">
        <v>9.0168956256932304</v>
      </c>
      <c r="O635">
        <v>20493.905612009712</v>
      </c>
      <c r="P635">
        <v>11.300771951022909</v>
      </c>
      <c r="Q635">
        <v>10.304830546829514</v>
      </c>
      <c r="S635">
        <f t="shared" si="38"/>
        <v>889783.69705872238</v>
      </c>
      <c r="T635">
        <f t="shared" si="39"/>
        <v>1009989.1490709417</v>
      </c>
      <c r="V635">
        <f t="shared" si="36"/>
        <v>0</v>
      </c>
      <c r="W635">
        <f t="shared" si="37"/>
        <v>1</v>
      </c>
    </row>
    <row r="636" spans="1:23" x14ac:dyDescent="0.2">
      <c r="A636">
        <v>631</v>
      </c>
      <c r="B636">
        <v>555.88637386790424</v>
      </c>
      <c r="C636">
        <v>2812.7881093063606</v>
      </c>
      <c r="D636">
        <v>809.31398132844606</v>
      </c>
      <c r="E636">
        <v>1286.0995074946643</v>
      </c>
      <c r="F636">
        <v>0.95786806222056975</v>
      </c>
      <c r="G636">
        <v>0.7828790996689402</v>
      </c>
      <c r="H636">
        <v>1.0281692235429549E-2</v>
      </c>
      <c r="I636">
        <v>0.16236537594161826</v>
      </c>
      <c r="J636">
        <v>0.59310251962833793</v>
      </c>
      <c r="L636">
        <v>11595.317459992291</v>
      </c>
      <c r="M636">
        <v>10.060958825390728</v>
      </c>
      <c r="N636">
        <v>9.2110766309141923</v>
      </c>
      <c r="O636">
        <v>18198.484415791965</v>
      </c>
      <c r="P636">
        <v>10.997427005683724</v>
      </c>
      <c r="Q636">
        <v>10.197630518217089</v>
      </c>
      <c r="S636">
        <f t="shared" si="38"/>
        <v>909512.34563142702</v>
      </c>
      <c r="T636">
        <f t="shared" si="39"/>
        <v>1001564.567405917</v>
      </c>
      <c r="V636">
        <f t="shared" si="36"/>
        <v>0</v>
      </c>
      <c r="W636">
        <f t="shared" si="37"/>
        <v>1</v>
      </c>
    </row>
    <row r="637" spans="1:23" x14ac:dyDescent="0.2">
      <c r="A637">
        <v>632</v>
      </c>
      <c r="B637">
        <v>177.62040740187211</v>
      </c>
      <c r="C637">
        <v>2235.0676950143334</v>
      </c>
      <c r="D637">
        <v>1160.1828799073962</v>
      </c>
      <c r="E637">
        <v>909.23562485387163</v>
      </c>
      <c r="F637">
        <v>0.90021615267610944</v>
      </c>
      <c r="G637">
        <v>0.68681101687275992</v>
      </c>
      <c r="H637">
        <v>8.8362190834867099E-3</v>
      </c>
      <c r="I637">
        <v>0.14308836843268266</v>
      </c>
      <c r="J637">
        <v>0.44501332299442209</v>
      </c>
      <c r="L637">
        <v>7289.8466904492443</v>
      </c>
      <c r="M637">
        <v>10.529568942314544</v>
      </c>
      <c r="N637">
        <v>8.9501837080953042</v>
      </c>
      <c r="O637">
        <v>17470.759593634146</v>
      </c>
      <c r="P637">
        <v>11.815430738231935</v>
      </c>
      <c r="Q637">
        <v>10.290786458801831</v>
      </c>
      <c r="S637">
        <f t="shared" si="38"/>
        <v>887728.52411908109</v>
      </c>
      <c r="T637">
        <f t="shared" si="39"/>
        <v>1011607.8862865489</v>
      </c>
      <c r="V637">
        <f t="shared" si="36"/>
        <v>0</v>
      </c>
      <c r="W637">
        <f t="shared" si="37"/>
        <v>1</v>
      </c>
    </row>
    <row r="638" spans="1:23" x14ac:dyDescent="0.2">
      <c r="A638">
        <v>633</v>
      </c>
      <c r="B638">
        <v>439.42778303575653</v>
      </c>
      <c r="C638">
        <v>3175.0557392436563</v>
      </c>
      <c r="D638">
        <v>1082.0985542560809</v>
      </c>
      <c r="E638">
        <v>1444.9696942044302</v>
      </c>
      <c r="F638">
        <v>0.96300953388576149</v>
      </c>
      <c r="G638">
        <v>0.73488363693744496</v>
      </c>
      <c r="H638">
        <v>9.7279179594288515E-3</v>
      </c>
      <c r="I638">
        <v>0.15816069951250999</v>
      </c>
      <c r="J638">
        <v>0.5109097127035227</v>
      </c>
      <c r="L638">
        <v>11663.148107070427</v>
      </c>
      <c r="M638">
        <v>10.204171495522909</v>
      </c>
      <c r="N638">
        <v>9.2741978912270877</v>
      </c>
      <c r="O638">
        <v>20587.371761835107</v>
      </c>
      <c r="P638">
        <v>11.364572844632985</v>
      </c>
      <c r="Q638">
        <v>10.54469799357928</v>
      </c>
      <c r="S638">
        <f t="shared" si="38"/>
        <v>915756.64101563825</v>
      </c>
      <c r="T638">
        <f t="shared" si="39"/>
        <v>1033882.427596093</v>
      </c>
      <c r="V638">
        <f t="shared" si="36"/>
        <v>0</v>
      </c>
      <c r="W638">
        <f t="shared" si="37"/>
        <v>1</v>
      </c>
    </row>
    <row r="639" spans="1:23" x14ac:dyDescent="0.2">
      <c r="A639">
        <v>634</v>
      </c>
      <c r="B639">
        <v>399.95813094216385</v>
      </c>
      <c r="C639">
        <v>3300.1455137804346</v>
      </c>
      <c r="D639">
        <v>1078.2469788449362</v>
      </c>
      <c r="E639">
        <v>917.28008284673069</v>
      </c>
      <c r="F639">
        <v>0.95782024471602223</v>
      </c>
      <c r="G639">
        <v>0.66952302460964175</v>
      </c>
      <c r="H639">
        <v>1.0378181165999353E-2</v>
      </c>
      <c r="I639">
        <v>0.1371939722167434</v>
      </c>
      <c r="J639">
        <v>0.45221366433851867</v>
      </c>
      <c r="L639">
        <v>12346.320511242589</v>
      </c>
      <c r="M639">
        <v>10.316739420512835</v>
      </c>
      <c r="N639">
        <v>9.0984378247480659</v>
      </c>
      <c r="O639">
        <v>20750.889658531585</v>
      </c>
      <c r="P639">
        <v>11.605591188185535</v>
      </c>
      <c r="Q639">
        <v>10.583898233503772</v>
      </c>
      <c r="S639">
        <f t="shared" si="38"/>
        <v>897497.46196356404</v>
      </c>
      <c r="T639">
        <f t="shared" si="39"/>
        <v>1037638.9336918455</v>
      </c>
      <c r="V639">
        <f t="shared" si="36"/>
        <v>0</v>
      </c>
      <c r="W639">
        <f t="shared" si="37"/>
        <v>1</v>
      </c>
    </row>
    <row r="640" spans="1:23" x14ac:dyDescent="0.2">
      <c r="A640">
        <v>635</v>
      </c>
      <c r="B640">
        <v>450.56534766522293</v>
      </c>
      <c r="C640">
        <v>3557.4253706633162</v>
      </c>
      <c r="D640">
        <v>1037.2791045679774</v>
      </c>
      <c r="E640">
        <v>1362.3032803814983</v>
      </c>
      <c r="F640">
        <v>0.95673464302002997</v>
      </c>
      <c r="G640">
        <v>0.74982455210465027</v>
      </c>
      <c r="H640">
        <v>1.250633235531886E-2</v>
      </c>
      <c r="I640">
        <v>0.134141961151058</v>
      </c>
      <c r="J640">
        <v>0.46050998385691538</v>
      </c>
      <c r="L640">
        <v>14239.465395185722</v>
      </c>
      <c r="M640">
        <v>10.031875899990576</v>
      </c>
      <c r="N640">
        <v>8.9865071876492717</v>
      </c>
      <c r="O640">
        <v>21567.367265028774</v>
      </c>
      <c r="P640">
        <v>11.323281190338665</v>
      </c>
      <c r="Q640">
        <v>10.399763743715303</v>
      </c>
      <c r="S640">
        <f t="shared" si="38"/>
        <v>884411.25336974137</v>
      </c>
      <c r="T640">
        <f t="shared" si="39"/>
        <v>1018409.0071065015</v>
      </c>
      <c r="V640">
        <f t="shared" si="36"/>
        <v>0</v>
      </c>
      <c r="W640">
        <f t="shared" si="37"/>
        <v>1</v>
      </c>
    </row>
    <row r="641" spans="1:23" x14ac:dyDescent="0.2">
      <c r="A641">
        <v>636</v>
      </c>
      <c r="B641">
        <v>370.78143176412391</v>
      </c>
      <c r="C641">
        <v>2838.8396559916546</v>
      </c>
      <c r="D641">
        <v>977.38088499776325</v>
      </c>
      <c r="E641">
        <v>1086.1034410190039</v>
      </c>
      <c r="F641">
        <v>0.96205731754504864</v>
      </c>
      <c r="G641">
        <v>0.70186449326585021</v>
      </c>
      <c r="H641">
        <v>1.1054072729203397E-2</v>
      </c>
      <c r="I641">
        <v>0.18341018936655729</v>
      </c>
      <c r="J641">
        <v>0.53604711991484078</v>
      </c>
      <c r="L641">
        <v>9759.9999631405517</v>
      </c>
      <c r="M641">
        <v>9.7296601850962219</v>
      </c>
      <c r="N641">
        <v>8.7603183831405325</v>
      </c>
      <c r="O641">
        <v>17654.387844729048</v>
      </c>
      <c r="P641">
        <v>10.901661645143653</v>
      </c>
      <c r="Q641">
        <v>10.032703035929606</v>
      </c>
      <c r="S641">
        <f t="shared" si="38"/>
        <v>866271.83835091267</v>
      </c>
      <c r="T641">
        <f t="shared" si="39"/>
        <v>985615.91574823158</v>
      </c>
      <c r="V641">
        <f t="shared" si="36"/>
        <v>0</v>
      </c>
      <c r="W641">
        <f t="shared" si="37"/>
        <v>1</v>
      </c>
    </row>
    <row r="642" spans="1:23" x14ac:dyDescent="0.2">
      <c r="A642">
        <v>637</v>
      </c>
      <c r="B642">
        <v>362.08381378884184</v>
      </c>
      <c r="C642">
        <v>2970.2644504766413</v>
      </c>
      <c r="D642">
        <v>1032.4065465554443</v>
      </c>
      <c r="E642">
        <v>638.82072199210484</v>
      </c>
      <c r="F642">
        <v>0.98648133330626142</v>
      </c>
      <c r="G642">
        <v>0.58944506325888824</v>
      </c>
      <c r="H642">
        <v>9.6424042758923786E-3</v>
      </c>
      <c r="I642">
        <v>0.1371768369385738</v>
      </c>
      <c r="J642">
        <v>0.53004119641386882</v>
      </c>
      <c r="L642">
        <v>10890.518063344973</v>
      </c>
      <c r="M642">
        <v>10.444023764338619</v>
      </c>
      <c r="N642">
        <v>9.2558425167612413</v>
      </c>
      <c r="O642">
        <v>19231.41659054915</v>
      </c>
      <c r="P642">
        <v>11.479283104175545</v>
      </c>
      <c r="Q642">
        <v>10.554645288169777</v>
      </c>
      <c r="S642">
        <f t="shared" si="38"/>
        <v>914693.73361277918</v>
      </c>
      <c r="T642">
        <f t="shared" si="39"/>
        <v>1036233.1122264286</v>
      </c>
      <c r="V642">
        <f t="shared" si="36"/>
        <v>0</v>
      </c>
      <c r="W642">
        <f t="shared" si="37"/>
        <v>1</v>
      </c>
    </row>
    <row r="643" spans="1:23" x14ac:dyDescent="0.2">
      <c r="A643">
        <v>638</v>
      </c>
      <c r="B643">
        <v>623.46701995768501</v>
      </c>
      <c r="C643">
        <v>3017.5002810719134</v>
      </c>
      <c r="D643">
        <v>896.11755735689735</v>
      </c>
      <c r="E643">
        <v>1402.3842686749535</v>
      </c>
      <c r="F643">
        <v>0.95333930064164141</v>
      </c>
      <c r="G643">
        <v>0.91977124457906334</v>
      </c>
      <c r="H643">
        <v>9.6118160303823447E-3</v>
      </c>
      <c r="I643">
        <v>0.15918853833711655</v>
      </c>
      <c r="J643">
        <v>0.59166453668672259</v>
      </c>
      <c r="L643">
        <v>12651.211169799821</v>
      </c>
      <c r="M643">
        <v>10.216072680894213</v>
      </c>
      <c r="N643">
        <v>9.6588156004679924</v>
      </c>
      <c r="O643">
        <v>20157.029224195776</v>
      </c>
      <c r="P643">
        <v>11.138502360463253</v>
      </c>
      <c r="Q643">
        <v>10.555754726273186</v>
      </c>
      <c r="S643">
        <f t="shared" si="38"/>
        <v>953230.34887699946</v>
      </c>
      <c r="T643">
        <f t="shared" si="39"/>
        <v>1035418.4434031229</v>
      </c>
      <c r="V643">
        <f t="shared" si="36"/>
        <v>0</v>
      </c>
      <c r="W643">
        <f t="shared" si="37"/>
        <v>1</v>
      </c>
    </row>
    <row r="644" spans="1:23" x14ac:dyDescent="0.2">
      <c r="A644">
        <v>639</v>
      </c>
      <c r="B644">
        <v>424.90402284923948</v>
      </c>
      <c r="C644">
        <v>2752.0230687603103</v>
      </c>
      <c r="D644">
        <v>858.30115215092474</v>
      </c>
      <c r="E644">
        <v>1061.4397723977447</v>
      </c>
      <c r="F644">
        <v>0.94630440151843342</v>
      </c>
      <c r="G644">
        <v>0.79974499525156939</v>
      </c>
      <c r="H644">
        <v>1.0809740954530869E-2</v>
      </c>
      <c r="I644">
        <v>0.14533106630450238</v>
      </c>
      <c r="J644">
        <v>0.47885383726517838</v>
      </c>
      <c r="L644">
        <v>10923.618271507274</v>
      </c>
      <c r="M644">
        <v>10.149977555570747</v>
      </c>
      <c r="N644">
        <v>9.2145071423598779</v>
      </c>
      <c r="O644">
        <v>17683.381622957328</v>
      </c>
      <c r="P644">
        <v>11.394657190543299</v>
      </c>
      <c r="Q644">
        <v>10.506351444424956</v>
      </c>
      <c r="S644">
        <f t="shared" si="38"/>
        <v>910527.09596448042</v>
      </c>
      <c r="T644">
        <f t="shared" si="39"/>
        <v>1032951.7628195384</v>
      </c>
      <c r="V644">
        <f t="shared" si="36"/>
        <v>0</v>
      </c>
      <c r="W644">
        <f t="shared" si="37"/>
        <v>1</v>
      </c>
    </row>
    <row r="645" spans="1:23" x14ac:dyDescent="0.2">
      <c r="A645">
        <v>640</v>
      </c>
      <c r="B645">
        <v>431.01204657930276</v>
      </c>
      <c r="C645">
        <v>4261.74740004659</v>
      </c>
      <c r="D645">
        <v>1071.3595562860069</v>
      </c>
      <c r="E645">
        <v>806.37524590907537</v>
      </c>
      <c r="F645">
        <v>0.97895871208876484</v>
      </c>
      <c r="G645">
        <v>0.79148538688589731</v>
      </c>
      <c r="H645">
        <v>1.0870475597991459E-2</v>
      </c>
      <c r="I645">
        <v>0.13513987576521377</v>
      </c>
      <c r="J645">
        <v>0.4694984893165699</v>
      </c>
      <c r="L645">
        <v>15420.763427233127</v>
      </c>
      <c r="M645">
        <v>10.261602284126251</v>
      </c>
      <c r="N645">
        <v>9.5223440275823243</v>
      </c>
      <c r="O645">
        <v>22877.523882908703</v>
      </c>
      <c r="P645">
        <v>11.498274423314445</v>
      </c>
      <c r="Q645">
        <v>10.89013797904795</v>
      </c>
      <c r="S645">
        <f t="shared" si="38"/>
        <v>936813.63933099934</v>
      </c>
      <c r="T645">
        <f t="shared" si="39"/>
        <v>1066136.2740218863</v>
      </c>
      <c r="V645">
        <f t="shared" si="36"/>
        <v>0</v>
      </c>
      <c r="W645">
        <f t="shared" si="37"/>
        <v>1</v>
      </c>
    </row>
    <row r="646" spans="1:23" x14ac:dyDescent="0.2">
      <c r="A646">
        <v>641</v>
      </c>
      <c r="B646">
        <v>502.03378093401938</v>
      </c>
      <c r="C646">
        <v>2706.2861119544782</v>
      </c>
      <c r="D646">
        <v>947.56832718454109</v>
      </c>
      <c r="E646">
        <v>1039.8653674275688</v>
      </c>
      <c r="F646">
        <v>0.99233891474103575</v>
      </c>
      <c r="G646">
        <v>0.76612002761507314</v>
      </c>
      <c r="H646">
        <v>8.9641213358168537E-3</v>
      </c>
      <c r="I646">
        <v>0.15485686589747572</v>
      </c>
      <c r="J646">
        <v>0.51092368805872102</v>
      </c>
      <c r="L646">
        <v>10826.122631650409</v>
      </c>
      <c r="M646">
        <v>10.384733077065773</v>
      </c>
      <c r="N646">
        <v>9.7683745328402409</v>
      </c>
      <c r="O646">
        <v>19091.523963865777</v>
      </c>
      <c r="P646">
        <v>11.514345889304087</v>
      </c>
      <c r="Q646">
        <v>11.043126803276104</v>
      </c>
      <c r="S646">
        <f t="shared" si="38"/>
        <v>966011.33065237373</v>
      </c>
      <c r="T646">
        <f t="shared" si="39"/>
        <v>1085221.1563637445</v>
      </c>
      <c r="V646">
        <f t="shared" ref="V646:V709" si="40">IF(S646=MAX($S646:$T646),1,0)</f>
        <v>0</v>
      </c>
      <c r="W646">
        <f t="shared" ref="W646:W709" si="41">IF(T646=MAX($S646:$T646),1,0)</f>
        <v>1</v>
      </c>
    </row>
    <row r="647" spans="1:23" x14ac:dyDescent="0.2">
      <c r="A647">
        <v>642</v>
      </c>
      <c r="B647">
        <v>754.96215981400326</v>
      </c>
      <c r="C647">
        <v>4247.7622720651279</v>
      </c>
      <c r="D647">
        <v>1001.7864792450818</v>
      </c>
      <c r="E647">
        <v>977.27560119424254</v>
      </c>
      <c r="F647">
        <v>0.9008781677033445</v>
      </c>
      <c r="G647">
        <v>0.75311732014580968</v>
      </c>
      <c r="H647">
        <v>1.1613454266753986E-2</v>
      </c>
      <c r="I647">
        <v>0.16537103345828619</v>
      </c>
      <c r="J647">
        <v>0.46315183134486126</v>
      </c>
      <c r="L647">
        <v>16607.499749386167</v>
      </c>
      <c r="M647">
        <v>9.8036853580578409</v>
      </c>
      <c r="N647">
        <v>8.4596913994557248</v>
      </c>
      <c r="O647">
        <v>24370.816757325305</v>
      </c>
      <c r="P647">
        <v>11.18687632050373</v>
      </c>
      <c r="Q647">
        <v>9.8151870869468194</v>
      </c>
      <c r="S647">
        <f t="shared" ref="S647:S710" si="42">$T$1*N647-L647</f>
        <v>829361.64019618626</v>
      </c>
      <c r="T647">
        <f t="shared" ref="T647:T710" si="43">$T$1*Q647-O647</f>
        <v>957147.89193735668</v>
      </c>
      <c r="V647">
        <f t="shared" si="40"/>
        <v>0</v>
      </c>
      <c r="W647">
        <f t="shared" si="41"/>
        <v>1</v>
      </c>
    </row>
    <row r="648" spans="1:23" x14ac:dyDescent="0.2">
      <c r="A648">
        <v>643</v>
      </c>
      <c r="B648">
        <v>596.05733604825718</v>
      </c>
      <c r="C648">
        <v>2871.7495717718698</v>
      </c>
      <c r="D648">
        <v>909.14006764995349</v>
      </c>
      <c r="E648">
        <v>830.14487280480557</v>
      </c>
      <c r="F648">
        <v>0.98036456640123215</v>
      </c>
      <c r="G648">
        <v>0.59718262390006971</v>
      </c>
      <c r="H648">
        <v>8.4914517249301217E-3</v>
      </c>
      <c r="I648">
        <v>0.15133855776630922</v>
      </c>
      <c r="J648">
        <v>0.4424685319514382</v>
      </c>
      <c r="L648">
        <v>11915.757537420806</v>
      </c>
      <c r="M648">
        <v>10.515533046101217</v>
      </c>
      <c r="N648">
        <v>9.4078152358150948</v>
      </c>
      <c r="O648">
        <v>20073.540029961525</v>
      </c>
      <c r="P648">
        <v>11.826588021822113</v>
      </c>
      <c r="Q648">
        <v>11.010886371258662</v>
      </c>
      <c r="S648">
        <f t="shared" si="42"/>
        <v>928865.76604408864</v>
      </c>
      <c r="T648">
        <f t="shared" si="43"/>
        <v>1081015.0970959046</v>
      </c>
      <c r="V648">
        <f t="shared" si="40"/>
        <v>0</v>
      </c>
      <c r="W648">
        <f t="shared" si="41"/>
        <v>1</v>
      </c>
    </row>
    <row r="649" spans="1:23" x14ac:dyDescent="0.2">
      <c r="A649">
        <v>644</v>
      </c>
      <c r="B649">
        <v>542.93585234141131</v>
      </c>
      <c r="C649">
        <v>2958.1111256536192</v>
      </c>
      <c r="D649">
        <v>961.77741815269633</v>
      </c>
      <c r="E649">
        <v>1081.121383564581</v>
      </c>
      <c r="F649">
        <v>0.9452754587419292</v>
      </c>
      <c r="G649">
        <v>0.73407992113685683</v>
      </c>
      <c r="H649">
        <v>1.0096232402370692E-2</v>
      </c>
      <c r="I649">
        <v>0.16150792546144321</v>
      </c>
      <c r="J649">
        <v>0.55416124944492373</v>
      </c>
      <c r="L649">
        <v>11766.34062996554</v>
      </c>
      <c r="M649">
        <v>10.103037100620169</v>
      </c>
      <c r="N649">
        <v>9.0379377082752264</v>
      </c>
      <c r="O649">
        <v>19777.921854078057</v>
      </c>
      <c r="P649">
        <v>11.148642540902678</v>
      </c>
      <c r="Q649">
        <v>10.149046193536691</v>
      </c>
      <c r="S649">
        <f t="shared" si="42"/>
        <v>892027.43019755709</v>
      </c>
      <c r="T649">
        <f t="shared" si="43"/>
        <v>995126.69749959104</v>
      </c>
      <c r="V649">
        <f t="shared" si="40"/>
        <v>0</v>
      </c>
      <c r="W649">
        <f t="shared" si="41"/>
        <v>1</v>
      </c>
    </row>
    <row r="650" spans="1:23" x14ac:dyDescent="0.2">
      <c r="A650">
        <v>645</v>
      </c>
      <c r="B650">
        <v>525.10915236954077</v>
      </c>
      <c r="C650">
        <v>4308.2579060936678</v>
      </c>
      <c r="D650">
        <v>879.67697179739423</v>
      </c>
      <c r="E650">
        <v>1198.4753122495604</v>
      </c>
      <c r="F650">
        <v>0.94034086639683567</v>
      </c>
      <c r="G650">
        <v>0.72513651617926012</v>
      </c>
      <c r="H650">
        <v>9.6447892865017155E-3</v>
      </c>
      <c r="I650">
        <v>0.12204604461696569</v>
      </c>
      <c r="J650">
        <v>0.52742589360573566</v>
      </c>
      <c r="L650">
        <v>16678.892961827551</v>
      </c>
      <c r="M650">
        <v>10.630342503886427</v>
      </c>
      <c r="N650">
        <v>9.3884014616444667</v>
      </c>
      <c r="O650">
        <v>22618.39609639005</v>
      </c>
      <c r="P650">
        <v>11.618282115531388</v>
      </c>
      <c r="Q650">
        <v>10.480785214564255</v>
      </c>
      <c r="S650">
        <f t="shared" si="42"/>
        <v>922161.25320261915</v>
      </c>
      <c r="T650">
        <f t="shared" si="43"/>
        <v>1025460.1253600355</v>
      </c>
      <c r="V650">
        <f t="shared" si="40"/>
        <v>0</v>
      </c>
      <c r="W650">
        <f t="shared" si="41"/>
        <v>1</v>
      </c>
    </row>
    <row r="651" spans="1:23" x14ac:dyDescent="0.2">
      <c r="A651">
        <v>646</v>
      </c>
      <c r="B651">
        <v>386.11501885500542</v>
      </c>
      <c r="C651">
        <v>2934.9643819468674</v>
      </c>
      <c r="D651">
        <v>1025.0482261293673</v>
      </c>
      <c r="E651">
        <v>1138.608466203538</v>
      </c>
      <c r="F651">
        <v>0.96969297700898727</v>
      </c>
      <c r="G651">
        <v>0.80400630594158262</v>
      </c>
      <c r="H651">
        <v>1.0143315808700927E-2</v>
      </c>
      <c r="I651">
        <v>0.12650447370326859</v>
      </c>
      <c r="J651">
        <v>0.5207299930096424</v>
      </c>
      <c r="L651">
        <v>11655.261731720499</v>
      </c>
      <c r="M651">
        <v>10.488878277334736</v>
      </c>
      <c r="N651">
        <v>9.7030535960581812</v>
      </c>
      <c r="O651">
        <v>19708.655557699596</v>
      </c>
      <c r="P651">
        <v>11.522961549511313</v>
      </c>
      <c r="Q651">
        <v>10.831215831049452</v>
      </c>
      <c r="S651">
        <f t="shared" si="42"/>
        <v>958650.09787409764</v>
      </c>
      <c r="T651">
        <f t="shared" si="43"/>
        <v>1063412.9275472458</v>
      </c>
      <c r="V651">
        <f t="shared" si="40"/>
        <v>0</v>
      </c>
      <c r="W651">
        <f t="shared" si="41"/>
        <v>1</v>
      </c>
    </row>
    <row r="652" spans="1:23" x14ac:dyDescent="0.2">
      <c r="A652">
        <v>647</v>
      </c>
      <c r="B652">
        <v>345.99532059134555</v>
      </c>
      <c r="C652">
        <v>3211.4783439846792</v>
      </c>
      <c r="D652">
        <v>976.58695902140846</v>
      </c>
      <c r="E652">
        <v>566.64995634481477</v>
      </c>
      <c r="F652">
        <v>0.94567737527453322</v>
      </c>
      <c r="G652">
        <v>0.82027630047575029</v>
      </c>
      <c r="H652">
        <v>9.7271763382280572E-3</v>
      </c>
      <c r="I652">
        <v>0.15455975683704248</v>
      </c>
      <c r="J652">
        <v>0.51969486349433058</v>
      </c>
      <c r="L652">
        <v>10801.340929641674</v>
      </c>
      <c r="M652">
        <v>10.240276649427242</v>
      </c>
      <c r="N652">
        <v>9.3757781931791779</v>
      </c>
      <c r="O652">
        <v>18572.872758274014</v>
      </c>
      <c r="P652">
        <v>11.362946516041303</v>
      </c>
      <c r="Q652">
        <v>10.520798151842806</v>
      </c>
      <c r="S652">
        <f t="shared" si="42"/>
        <v>926776.47838827618</v>
      </c>
      <c r="T652">
        <f t="shared" si="43"/>
        <v>1033506.9424260065</v>
      </c>
      <c r="V652">
        <f t="shared" si="40"/>
        <v>0</v>
      </c>
      <c r="W652">
        <f t="shared" si="41"/>
        <v>1</v>
      </c>
    </row>
    <row r="653" spans="1:23" x14ac:dyDescent="0.2">
      <c r="A653">
        <v>648</v>
      </c>
      <c r="B653">
        <v>453.8626547607351</v>
      </c>
      <c r="C653">
        <v>2800.484520787772</v>
      </c>
      <c r="D653">
        <v>831.42998122618906</v>
      </c>
      <c r="E653">
        <v>817.10957583627351</v>
      </c>
      <c r="F653">
        <v>0.9599905465113181</v>
      </c>
      <c r="G653">
        <v>0.70568499938600515</v>
      </c>
      <c r="H653">
        <v>1.0379101398066639E-2</v>
      </c>
      <c r="I653">
        <v>0.12977777016112496</v>
      </c>
      <c r="J653">
        <v>0.48431725017965688</v>
      </c>
      <c r="L653">
        <v>11611.350672666407</v>
      </c>
      <c r="M653">
        <v>10.40819701903443</v>
      </c>
      <c r="N653">
        <v>9.2776417039841181</v>
      </c>
      <c r="O653">
        <v>18079.333691890592</v>
      </c>
      <c r="P653">
        <v>11.566214037876209</v>
      </c>
      <c r="Q653">
        <v>10.599410447436105</v>
      </c>
      <c r="S653">
        <f t="shared" si="42"/>
        <v>916152.81972574536</v>
      </c>
      <c r="T653">
        <f t="shared" si="43"/>
        <v>1041861.71105172</v>
      </c>
      <c r="V653">
        <f t="shared" si="40"/>
        <v>0</v>
      </c>
      <c r="W653">
        <f t="shared" si="41"/>
        <v>1</v>
      </c>
    </row>
    <row r="654" spans="1:23" x14ac:dyDescent="0.2">
      <c r="A654">
        <v>649</v>
      </c>
      <c r="B654">
        <v>445.18185574271587</v>
      </c>
      <c r="C654">
        <v>3750.0479740545825</v>
      </c>
      <c r="D654">
        <v>939.94370105697999</v>
      </c>
      <c r="E654">
        <v>1158.0364851378995</v>
      </c>
      <c r="F654">
        <v>0.9543977611152541</v>
      </c>
      <c r="G654">
        <v>0.74487225874399299</v>
      </c>
      <c r="H654">
        <v>8.3212520213454544E-3</v>
      </c>
      <c r="I654">
        <v>0.19719549896071897</v>
      </c>
      <c r="J654">
        <v>0.57301003261010963</v>
      </c>
      <c r="L654">
        <v>11442.935553925676</v>
      </c>
      <c r="M654">
        <v>10.176569526939376</v>
      </c>
      <c r="N654">
        <v>9.3025730342796269</v>
      </c>
      <c r="O654">
        <v>19358.008453412334</v>
      </c>
      <c r="P654">
        <v>11.201282528322222</v>
      </c>
      <c r="Q654">
        <v>10.379995958318489</v>
      </c>
      <c r="S654">
        <f t="shared" si="42"/>
        <v>918814.36787403701</v>
      </c>
      <c r="T654">
        <f t="shared" si="43"/>
        <v>1018641.5873784366</v>
      </c>
      <c r="V654">
        <f t="shared" si="40"/>
        <v>0</v>
      </c>
      <c r="W654">
        <f t="shared" si="41"/>
        <v>1</v>
      </c>
    </row>
    <row r="655" spans="1:23" x14ac:dyDescent="0.2">
      <c r="A655">
        <v>650</v>
      </c>
      <c r="B655">
        <v>638.59769806010843</v>
      </c>
      <c r="C655">
        <v>2899.3030661931007</v>
      </c>
      <c r="D655">
        <v>856.40187918071797</v>
      </c>
      <c r="E655">
        <v>1649.9286710751173</v>
      </c>
      <c r="F655">
        <v>0.94375564573721749</v>
      </c>
      <c r="G655">
        <v>0.73309558207363257</v>
      </c>
      <c r="H655">
        <v>1.1270227374369935E-2</v>
      </c>
      <c r="I655">
        <v>0.18176207307699488</v>
      </c>
      <c r="J655">
        <v>0.4769484569756921</v>
      </c>
      <c r="L655">
        <v>12184.583994548078</v>
      </c>
      <c r="M655">
        <v>9.706421725354609</v>
      </c>
      <c r="N655">
        <v>8.668016186459047</v>
      </c>
      <c r="O655">
        <v>19417.647751511282</v>
      </c>
      <c r="P655">
        <v>11.082120042862648</v>
      </c>
      <c r="Q655">
        <v>10.106532373451291</v>
      </c>
      <c r="S655">
        <f t="shared" si="42"/>
        <v>854617.03465135663</v>
      </c>
      <c r="T655">
        <f t="shared" si="43"/>
        <v>991235.58959361783</v>
      </c>
      <c r="V655">
        <f t="shared" si="40"/>
        <v>0</v>
      </c>
      <c r="W655">
        <f t="shared" si="41"/>
        <v>1</v>
      </c>
    </row>
    <row r="656" spans="1:23" x14ac:dyDescent="0.2">
      <c r="A656">
        <v>651</v>
      </c>
      <c r="B656">
        <v>384.72803260362684</v>
      </c>
      <c r="C656">
        <v>2806.4805196159959</v>
      </c>
      <c r="D656">
        <v>989.46208201328773</v>
      </c>
      <c r="E656">
        <v>1285.746188282196</v>
      </c>
      <c r="F656">
        <v>0.94829338312383071</v>
      </c>
      <c r="G656">
        <v>0.84243795225303042</v>
      </c>
      <c r="H656">
        <v>8.5062843921348621E-3</v>
      </c>
      <c r="I656">
        <v>0.1688093661704223</v>
      </c>
      <c r="J656">
        <v>0.50628423104586606</v>
      </c>
      <c r="L656">
        <v>9773.7568982820212</v>
      </c>
      <c r="M656">
        <v>10.353081107155152</v>
      </c>
      <c r="N656">
        <v>9.58546686581934</v>
      </c>
      <c r="O656">
        <v>18385.083926750129</v>
      </c>
      <c r="P656">
        <v>11.521825925779257</v>
      </c>
      <c r="Q656">
        <v>10.762288468424234</v>
      </c>
      <c r="S656">
        <f t="shared" si="42"/>
        <v>948772.92968365201</v>
      </c>
      <c r="T656">
        <f t="shared" si="43"/>
        <v>1057843.7629156734</v>
      </c>
      <c r="V656">
        <f t="shared" si="40"/>
        <v>0</v>
      </c>
      <c r="W656">
        <f t="shared" si="41"/>
        <v>1</v>
      </c>
    </row>
    <row r="657" spans="1:23" x14ac:dyDescent="0.2">
      <c r="A657">
        <v>652</v>
      </c>
      <c r="B657">
        <v>321.28383000264466</v>
      </c>
      <c r="C657">
        <v>2660.5987419624303</v>
      </c>
      <c r="D657">
        <v>1048.5269175664293</v>
      </c>
      <c r="E657">
        <v>768.40028772897699</v>
      </c>
      <c r="F657">
        <v>0.96016832194093837</v>
      </c>
      <c r="G657">
        <v>0.87191397249759472</v>
      </c>
      <c r="H657">
        <v>1.0555853486379933E-2</v>
      </c>
      <c r="I657">
        <v>0.14771937628687631</v>
      </c>
      <c r="J657">
        <v>0.45361024037823522</v>
      </c>
      <c r="L657">
        <v>9675.1469027434669</v>
      </c>
      <c r="M657">
        <v>10.165537881286678</v>
      </c>
      <c r="N657">
        <v>9.5300224786719507</v>
      </c>
      <c r="O657">
        <v>18258.267571607077</v>
      </c>
      <c r="P657">
        <v>11.496394706615938</v>
      </c>
      <c r="Q657">
        <v>10.880706534238614</v>
      </c>
      <c r="S657">
        <f t="shared" si="42"/>
        <v>943327.10096445156</v>
      </c>
      <c r="T657">
        <f t="shared" si="43"/>
        <v>1069812.3858522542</v>
      </c>
      <c r="V657">
        <f t="shared" si="40"/>
        <v>0</v>
      </c>
      <c r="W657">
        <f t="shared" si="41"/>
        <v>1</v>
      </c>
    </row>
    <row r="658" spans="1:23" x14ac:dyDescent="0.2">
      <c r="A658">
        <v>653</v>
      </c>
      <c r="B658">
        <v>386.13976936303328</v>
      </c>
      <c r="C658">
        <v>3776.2459928153598</v>
      </c>
      <c r="D658">
        <v>899.27544675041509</v>
      </c>
      <c r="E658">
        <v>836.60508891565996</v>
      </c>
      <c r="F658">
        <v>0.95129359305588357</v>
      </c>
      <c r="G658">
        <v>0.80233113106224097</v>
      </c>
      <c r="H658">
        <v>1.1649588548060677E-2</v>
      </c>
      <c r="I658">
        <v>0.14239804169676334</v>
      </c>
      <c r="J658">
        <v>0.43428372742150562</v>
      </c>
      <c r="L658">
        <v>13621.814268284281</v>
      </c>
      <c r="M658">
        <v>10.051492116851502</v>
      </c>
      <c r="N658">
        <v>9.1484473285613177</v>
      </c>
      <c r="O658">
        <v>19641.767420658318</v>
      </c>
      <c r="P658">
        <v>11.452737736194969</v>
      </c>
      <c r="Q658">
        <v>10.61409517904535</v>
      </c>
      <c r="S658">
        <f t="shared" si="42"/>
        <v>901222.9185878475</v>
      </c>
      <c r="T658">
        <f t="shared" si="43"/>
        <v>1041767.7504838766</v>
      </c>
      <c r="V658">
        <f t="shared" si="40"/>
        <v>0</v>
      </c>
      <c r="W658">
        <f t="shared" si="41"/>
        <v>1</v>
      </c>
    </row>
    <row r="659" spans="1:23" x14ac:dyDescent="0.2">
      <c r="A659">
        <v>654</v>
      </c>
      <c r="B659">
        <v>393.44911804904717</v>
      </c>
      <c r="C659">
        <v>2936.469088596732</v>
      </c>
      <c r="D659">
        <v>1102.0905809416815</v>
      </c>
      <c r="E659">
        <v>591.72892994261167</v>
      </c>
      <c r="F659">
        <v>0.96352802729935982</v>
      </c>
      <c r="G659">
        <v>0.77173990526823777</v>
      </c>
      <c r="H659">
        <v>1.051542952387945E-2</v>
      </c>
      <c r="I659">
        <v>0.12109729097352342</v>
      </c>
      <c r="J659">
        <v>0.45266572277531886</v>
      </c>
      <c r="L659">
        <v>11814.216488263084</v>
      </c>
      <c r="M659">
        <v>10.501544079225702</v>
      </c>
      <c r="N659">
        <v>9.5550238552946336</v>
      </c>
      <c r="O659">
        <v>20547.367029190387</v>
      </c>
      <c r="P659">
        <v>11.720078584256637</v>
      </c>
      <c r="Q659">
        <v>10.909764102553147</v>
      </c>
      <c r="S659">
        <f t="shared" si="42"/>
        <v>943688.16904120031</v>
      </c>
      <c r="T659">
        <f t="shared" si="43"/>
        <v>1070429.0432261245</v>
      </c>
      <c r="V659">
        <f t="shared" si="40"/>
        <v>0</v>
      </c>
      <c r="W659">
        <f t="shared" si="41"/>
        <v>1</v>
      </c>
    </row>
    <row r="660" spans="1:23" x14ac:dyDescent="0.2">
      <c r="A660">
        <v>655</v>
      </c>
      <c r="B660">
        <v>446.14394871665615</v>
      </c>
      <c r="C660">
        <v>3464.466889460045</v>
      </c>
      <c r="D660">
        <v>1055.3290613733982</v>
      </c>
      <c r="E660">
        <v>973.27191568801231</v>
      </c>
      <c r="F660">
        <v>0.97125921994868336</v>
      </c>
      <c r="G660">
        <v>0.82980663654544751</v>
      </c>
      <c r="H660">
        <v>1.0840536044637042E-2</v>
      </c>
      <c r="I660">
        <v>0.1802644158802833</v>
      </c>
      <c r="J660">
        <v>0.49636330478205448</v>
      </c>
      <c r="L660">
        <v>11770.161225559415</v>
      </c>
      <c r="M660">
        <v>9.7948854302578283</v>
      </c>
      <c r="N660">
        <v>9.185615230595003</v>
      </c>
      <c r="O660">
        <v>20248.284465596713</v>
      </c>
      <c r="P660">
        <v>11.089528358638173</v>
      </c>
      <c r="Q660">
        <v>10.53283046218489</v>
      </c>
      <c r="S660">
        <f t="shared" si="42"/>
        <v>906791.36183394084</v>
      </c>
      <c r="T660">
        <f t="shared" si="43"/>
        <v>1033034.7617528924</v>
      </c>
      <c r="V660">
        <f t="shared" si="40"/>
        <v>0</v>
      </c>
      <c r="W660">
        <f t="shared" si="41"/>
        <v>1</v>
      </c>
    </row>
    <row r="661" spans="1:23" x14ac:dyDescent="0.2">
      <c r="A661">
        <v>656</v>
      </c>
      <c r="B661">
        <v>446.56740715561062</v>
      </c>
      <c r="C661">
        <v>2936.8865630747405</v>
      </c>
      <c r="D661">
        <v>1023.3604269385817</v>
      </c>
      <c r="E661">
        <v>783.22937880429834</v>
      </c>
      <c r="F661">
        <v>0.98920318864670942</v>
      </c>
      <c r="G661">
        <v>0.84345781201516157</v>
      </c>
      <c r="H661">
        <v>8.5508358981751346E-3</v>
      </c>
      <c r="I661">
        <v>0.16786907133216478</v>
      </c>
      <c r="J661">
        <v>0.50035083498059252</v>
      </c>
      <c r="L661">
        <v>10410.181993280799</v>
      </c>
      <c r="M661">
        <v>10.351511323646106</v>
      </c>
      <c r="N661">
        <v>9.918019936619892</v>
      </c>
      <c r="O661">
        <v>19431.469966241133</v>
      </c>
      <c r="P661">
        <v>11.537447423928329</v>
      </c>
      <c r="Q661">
        <v>11.187459992981218</v>
      </c>
      <c r="S661">
        <f t="shared" si="42"/>
        <v>981391.81166870845</v>
      </c>
      <c r="T661">
        <f t="shared" si="43"/>
        <v>1099314.5293318806</v>
      </c>
      <c r="V661">
        <f t="shared" si="40"/>
        <v>0</v>
      </c>
      <c r="W661">
        <f t="shared" si="41"/>
        <v>1</v>
      </c>
    </row>
    <row r="662" spans="1:23" x14ac:dyDescent="0.2">
      <c r="A662">
        <v>657</v>
      </c>
      <c r="B662">
        <v>507.1000103021662</v>
      </c>
      <c r="C662">
        <v>3064.0622144603794</v>
      </c>
      <c r="D662">
        <v>1192.2918494282328</v>
      </c>
      <c r="E662">
        <v>696.79736706324138</v>
      </c>
      <c r="F662">
        <v>0.93981847235534977</v>
      </c>
      <c r="G662">
        <v>0.75078583077760896</v>
      </c>
      <c r="H662">
        <v>1.0069335591942587E-2</v>
      </c>
      <c r="I662">
        <v>0.14325070652754396</v>
      </c>
      <c r="J662">
        <v>0.51461464684635105</v>
      </c>
      <c r="L662">
        <v>12167.575487552891</v>
      </c>
      <c r="M662">
        <v>10.299229459227719</v>
      </c>
      <c r="N662">
        <v>9.1852736313412908</v>
      </c>
      <c r="O662">
        <v>22176.96711121059</v>
      </c>
      <c r="P662">
        <v>11.409312689777268</v>
      </c>
      <c r="Q662">
        <v>10.362804607222673</v>
      </c>
      <c r="S662">
        <f t="shared" si="42"/>
        <v>906359.78764657618</v>
      </c>
      <c r="T662">
        <f t="shared" si="43"/>
        <v>1014103.4936110567</v>
      </c>
      <c r="V662">
        <f t="shared" si="40"/>
        <v>0</v>
      </c>
      <c r="W662">
        <f t="shared" si="41"/>
        <v>1</v>
      </c>
    </row>
    <row r="663" spans="1:23" x14ac:dyDescent="0.2">
      <c r="A663">
        <v>658</v>
      </c>
      <c r="B663">
        <v>570.67895930742861</v>
      </c>
      <c r="C663">
        <v>3027.3607418568013</v>
      </c>
      <c r="D663">
        <v>828.11864223982195</v>
      </c>
      <c r="E663">
        <v>859.04336831010289</v>
      </c>
      <c r="F663">
        <v>0.95676543892535981</v>
      </c>
      <c r="G663">
        <v>0.77237361323175069</v>
      </c>
      <c r="H663">
        <v>8.6674089199096586E-3</v>
      </c>
      <c r="I663">
        <v>0.16668635802015008</v>
      </c>
      <c r="J663">
        <v>0.50309864553811845</v>
      </c>
      <c r="L663">
        <v>11698.531936342093</v>
      </c>
      <c r="M663">
        <v>10.336834161568309</v>
      </c>
      <c r="N663">
        <v>9.4786040776956249</v>
      </c>
      <c r="O663">
        <v>18891.121225572013</v>
      </c>
      <c r="P663">
        <v>11.515061211411094</v>
      </c>
      <c r="Q663">
        <v>10.727485603199401</v>
      </c>
      <c r="S663">
        <f t="shared" si="42"/>
        <v>936161.87583322031</v>
      </c>
      <c r="T663">
        <f t="shared" si="43"/>
        <v>1053857.4390943681</v>
      </c>
      <c r="V663">
        <f t="shared" si="40"/>
        <v>0</v>
      </c>
      <c r="W663">
        <f t="shared" si="41"/>
        <v>1</v>
      </c>
    </row>
    <row r="664" spans="1:23" x14ac:dyDescent="0.2">
      <c r="A664">
        <v>659</v>
      </c>
      <c r="B664">
        <v>273.63882581223538</v>
      </c>
      <c r="C664">
        <v>3504.0939593810622</v>
      </c>
      <c r="D664">
        <v>1003.9536852208726</v>
      </c>
      <c r="E664">
        <v>765.10682288967018</v>
      </c>
      <c r="F664">
        <v>0.93557065484390423</v>
      </c>
      <c r="G664">
        <v>0.60294979884762789</v>
      </c>
      <c r="H664">
        <v>9.9318188649617761E-3</v>
      </c>
      <c r="I664">
        <v>0.13095700279597761</v>
      </c>
      <c r="J664">
        <v>0.45885097942256603</v>
      </c>
      <c r="L664">
        <v>12003.964048229476</v>
      </c>
      <c r="M664">
        <v>10.467947538851829</v>
      </c>
      <c r="N664">
        <v>8.8807709142981803</v>
      </c>
      <c r="O664">
        <v>19280.003980791545</v>
      </c>
      <c r="P664">
        <v>11.697237623650921</v>
      </c>
      <c r="Q664">
        <v>10.323767605760599</v>
      </c>
      <c r="S664">
        <f t="shared" si="42"/>
        <v>876073.12738158857</v>
      </c>
      <c r="T664">
        <f t="shared" si="43"/>
        <v>1013096.7565952684</v>
      </c>
      <c r="V664">
        <f t="shared" si="40"/>
        <v>0</v>
      </c>
      <c r="W664">
        <f t="shared" si="41"/>
        <v>1</v>
      </c>
    </row>
    <row r="665" spans="1:23" x14ac:dyDescent="0.2">
      <c r="A665">
        <v>660</v>
      </c>
      <c r="B665">
        <v>403.17653610887578</v>
      </c>
      <c r="C665">
        <v>3008.6283731281005</v>
      </c>
      <c r="D665">
        <v>1055.6166905884902</v>
      </c>
      <c r="E665">
        <v>1003.1762990546571</v>
      </c>
      <c r="F665">
        <v>0.91020155104035472</v>
      </c>
      <c r="G665">
        <v>0.82059061019357915</v>
      </c>
      <c r="H665">
        <v>8.8536983770157208E-3</v>
      </c>
      <c r="I665">
        <v>0.1264275117744342</v>
      </c>
      <c r="J665">
        <v>0.57845059810001043</v>
      </c>
      <c r="L665">
        <v>11611.858197838932</v>
      </c>
      <c r="M665">
        <v>10.715286891421908</v>
      </c>
      <c r="N665">
        <v>9.5139238051832766</v>
      </c>
      <c r="O665">
        <v>20284.28348557348</v>
      </c>
      <c r="P665">
        <v>11.568603409588571</v>
      </c>
      <c r="Q665">
        <v>10.347612465614318</v>
      </c>
      <c r="S665">
        <f t="shared" si="42"/>
        <v>939780.52232048882</v>
      </c>
      <c r="T665">
        <f t="shared" si="43"/>
        <v>1014476.9630758583</v>
      </c>
      <c r="V665">
        <f t="shared" si="40"/>
        <v>0</v>
      </c>
      <c r="W665">
        <f t="shared" si="41"/>
        <v>1</v>
      </c>
    </row>
    <row r="666" spans="1:23" x14ac:dyDescent="0.2">
      <c r="A666">
        <v>661</v>
      </c>
      <c r="B666">
        <v>603.28296514524709</v>
      </c>
      <c r="C666">
        <v>2873.0715061202677</v>
      </c>
      <c r="D666">
        <v>1150.4503788407474</v>
      </c>
      <c r="E666">
        <v>790.8539384411531</v>
      </c>
      <c r="F666">
        <v>0.93358208944379228</v>
      </c>
      <c r="G666">
        <v>0.67989239923616474</v>
      </c>
      <c r="H666">
        <v>1.0945027356634907E-2</v>
      </c>
      <c r="I666">
        <v>0.14935680690134168</v>
      </c>
      <c r="J666">
        <v>0.46620931076058075</v>
      </c>
      <c r="L666">
        <v>12366.239474040043</v>
      </c>
      <c r="M666">
        <v>10.082337733181273</v>
      </c>
      <c r="N666">
        <v>8.7451100680501792</v>
      </c>
      <c r="O666">
        <v>22246.402778364562</v>
      </c>
      <c r="P666">
        <v>11.386263747808746</v>
      </c>
      <c r="Q666">
        <v>10.163015723374592</v>
      </c>
      <c r="S666">
        <f t="shared" si="42"/>
        <v>862144.76733097795</v>
      </c>
      <c r="T666">
        <f t="shared" si="43"/>
        <v>994055.16955909459</v>
      </c>
      <c r="V666">
        <f t="shared" si="40"/>
        <v>0</v>
      </c>
      <c r="W666">
        <f t="shared" si="41"/>
        <v>1</v>
      </c>
    </row>
    <row r="667" spans="1:23" x14ac:dyDescent="0.2">
      <c r="A667">
        <v>662</v>
      </c>
      <c r="B667">
        <v>527.90909488007048</v>
      </c>
      <c r="C667">
        <v>3973.0704962178756</v>
      </c>
      <c r="D667">
        <v>1123.2305502436668</v>
      </c>
      <c r="E667">
        <v>1583.8175851509866</v>
      </c>
      <c r="F667">
        <v>0.91790124208708201</v>
      </c>
      <c r="G667">
        <v>0.82646519313434819</v>
      </c>
      <c r="H667">
        <v>1.1262025402915463E-2</v>
      </c>
      <c r="I667">
        <v>0.14557246789175768</v>
      </c>
      <c r="J667">
        <v>0.483048758449801</v>
      </c>
      <c r="L667">
        <v>15255.186533057862</v>
      </c>
      <c r="M667">
        <v>10.074105664597049</v>
      </c>
      <c r="N667">
        <v>8.9998451747883177</v>
      </c>
      <c r="O667">
        <v>23625.942471417173</v>
      </c>
      <c r="P667">
        <v>11.315035415977817</v>
      </c>
      <c r="Q667">
        <v>10.209006976980781</v>
      </c>
      <c r="S667">
        <f t="shared" si="42"/>
        <v>884729.33094577398</v>
      </c>
      <c r="T667">
        <f t="shared" si="43"/>
        <v>997274.75522666099</v>
      </c>
      <c r="V667">
        <f t="shared" si="40"/>
        <v>0</v>
      </c>
      <c r="W667">
        <f t="shared" si="41"/>
        <v>1</v>
      </c>
    </row>
    <row r="668" spans="1:23" x14ac:dyDescent="0.2">
      <c r="A668">
        <v>663</v>
      </c>
      <c r="B668">
        <v>643.94379401029619</v>
      </c>
      <c r="C668">
        <v>3292.5461798561923</v>
      </c>
      <c r="D668">
        <v>902.23385208969421</v>
      </c>
      <c r="E668">
        <v>771.47449820722352</v>
      </c>
      <c r="F668">
        <v>0.95663943507362914</v>
      </c>
      <c r="G668">
        <v>0.84399097541035206</v>
      </c>
      <c r="H668">
        <v>8.9618505431663387E-3</v>
      </c>
      <c r="I668">
        <v>0.15489387217866668</v>
      </c>
      <c r="J668">
        <v>0.50228900554884159</v>
      </c>
      <c r="L668">
        <v>13254.031948539128</v>
      </c>
      <c r="M668">
        <v>10.384828553404784</v>
      </c>
      <c r="N668">
        <v>9.6672995765043641</v>
      </c>
      <c r="O668">
        <v>20970.413110013033</v>
      </c>
      <c r="P668">
        <v>11.540451318069238</v>
      </c>
      <c r="Q668">
        <v>10.85127403696737</v>
      </c>
      <c r="S668">
        <f t="shared" si="42"/>
        <v>953475.92570189736</v>
      </c>
      <c r="T668">
        <f t="shared" si="43"/>
        <v>1064156.9905867239</v>
      </c>
      <c r="V668">
        <f t="shared" si="40"/>
        <v>0</v>
      </c>
      <c r="W668">
        <f t="shared" si="41"/>
        <v>1</v>
      </c>
    </row>
    <row r="669" spans="1:23" x14ac:dyDescent="0.2">
      <c r="A669">
        <v>664</v>
      </c>
      <c r="B669">
        <v>504.16301725677647</v>
      </c>
      <c r="C669">
        <v>2706.6173210859688</v>
      </c>
      <c r="D669">
        <v>1383.5187869187166</v>
      </c>
      <c r="E669">
        <v>647.36825451947243</v>
      </c>
      <c r="F669">
        <v>0.98496168158704833</v>
      </c>
      <c r="G669">
        <v>0.78953992418464347</v>
      </c>
      <c r="H669">
        <v>1.0458581583394211E-2</v>
      </c>
      <c r="I669">
        <v>0.16484796873133511</v>
      </c>
      <c r="J669">
        <v>0.50377754169288336</v>
      </c>
      <c r="L669">
        <v>10647.319248626854</v>
      </c>
      <c r="M669">
        <v>10.005068913210865</v>
      </c>
      <c r="N669">
        <v>9.3804246561091684</v>
      </c>
      <c r="O669">
        <v>22819.72725468114</v>
      </c>
      <c r="P669">
        <v>11.224554296868334</v>
      </c>
      <c r="Q669">
        <v>10.71135095630107</v>
      </c>
      <c r="S669">
        <f t="shared" si="42"/>
        <v>927395.14636229002</v>
      </c>
      <c r="T669">
        <f t="shared" si="43"/>
        <v>1048315.3683754258</v>
      </c>
      <c r="V669">
        <f t="shared" si="40"/>
        <v>0</v>
      </c>
      <c r="W669">
        <f t="shared" si="41"/>
        <v>1</v>
      </c>
    </row>
    <row r="670" spans="1:23" x14ac:dyDescent="0.2">
      <c r="A670">
        <v>665</v>
      </c>
      <c r="B670">
        <v>550.90472394900883</v>
      </c>
      <c r="C670">
        <v>2472.2467900592474</v>
      </c>
      <c r="D670">
        <v>1089.5226210382002</v>
      </c>
      <c r="E670">
        <v>1172.4643595936875</v>
      </c>
      <c r="F670">
        <v>0.945830269164318</v>
      </c>
      <c r="G670">
        <v>0.80366622958467304</v>
      </c>
      <c r="H670">
        <v>9.9950291039597183E-3</v>
      </c>
      <c r="I670">
        <v>0.10764487062648025</v>
      </c>
      <c r="J670">
        <v>0.54656978656409105</v>
      </c>
      <c r="L670">
        <v>12225.409073828861</v>
      </c>
      <c r="M670">
        <v>10.777143153781751</v>
      </c>
      <c r="N670">
        <v>9.7567486763528972</v>
      </c>
      <c r="O670">
        <v>21334.354975883434</v>
      </c>
      <c r="P670">
        <v>11.664066096684857</v>
      </c>
      <c r="Q670">
        <v>10.705719176757794</v>
      </c>
      <c r="S670">
        <f t="shared" si="42"/>
        <v>963449.45856146084</v>
      </c>
      <c r="T670">
        <f t="shared" si="43"/>
        <v>1049237.5626998961</v>
      </c>
      <c r="V670">
        <f t="shared" si="40"/>
        <v>0</v>
      </c>
      <c r="W670">
        <f t="shared" si="41"/>
        <v>1</v>
      </c>
    </row>
    <row r="671" spans="1:23" x14ac:dyDescent="0.2">
      <c r="A671">
        <v>666</v>
      </c>
      <c r="B671">
        <v>360.67243857182802</v>
      </c>
      <c r="C671">
        <v>2541.3281585522627</v>
      </c>
      <c r="D671">
        <v>940.77604802097869</v>
      </c>
      <c r="E671">
        <v>1008.2910350848429</v>
      </c>
      <c r="F671">
        <v>0.95589297536935813</v>
      </c>
      <c r="G671">
        <v>0.72818389091338576</v>
      </c>
      <c r="H671">
        <v>1.047667172995277E-2</v>
      </c>
      <c r="I671">
        <v>8.0632913779366613E-2</v>
      </c>
      <c r="J671">
        <v>0.38089517745000251</v>
      </c>
      <c r="L671">
        <v>12192.803311606265</v>
      </c>
      <c r="M671">
        <v>11.181252466055572</v>
      </c>
      <c r="N671">
        <v>9.8666178255062036</v>
      </c>
      <c r="O671">
        <v>18947.580175640018</v>
      </c>
      <c r="P671">
        <v>12.343074129611686</v>
      </c>
      <c r="Q671">
        <v>11.301643612031768</v>
      </c>
      <c r="S671">
        <f t="shared" si="42"/>
        <v>974468.97923901409</v>
      </c>
      <c r="T671">
        <f t="shared" si="43"/>
        <v>1111216.7810275366</v>
      </c>
      <c r="V671">
        <f t="shared" si="40"/>
        <v>0</v>
      </c>
      <c r="W671">
        <f t="shared" si="41"/>
        <v>1</v>
      </c>
    </row>
    <row r="672" spans="1:23" x14ac:dyDescent="0.2">
      <c r="A672">
        <v>667</v>
      </c>
      <c r="B672">
        <v>380.3474555407991</v>
      </c>
      <c r="C672">
        <v>2478.850937316774</v>
      </c>
      <c r="D672">
        <v>945.32777840668575</v>
      </c>
      <c r="E672">
        <v>1059.0811605677991</v>
      </c>
      <c r="F672">
        <v>0.90621889215302631</v>
      </c>
      <c r="G672">
        <v>0.81593979636090719</v>
      </c>
      <c r="H672">
        <v>1.0558549395034703E-2</v>
      </c>
      <c r="I672">
        <v>0.15942134086828486</v>
      </c>
      <c r="J672">
        <v>0.50559979544068023</v>
      </c>
      <c r="L672">
        <v>9463.08968576189</v>
      </c>
      <c r="M672">
        <v>10.04110897172137</v>
      </c>
      <c r="N672">
        <v>8.8747156348927536</v>
      </c>
      <c r="O672">
        <v>17298.324534196177</v>
      </c>
      <c r="P672">
        <v>11.240795151118897</v>
      </c>
      <c r="Q672">
        <v>10.022954073981753</v>
      </c>
      <c r="S672">
        <f t="shared" si="42"/>
        <v>878008.47380351357</v>
      </c>
      <c r="T672">
        <f t="shared" si="43"/>
        <v>984997.08286397904</v>
      </c>
      <c r="V672">
        <f t="shared" si="40"/>
        <v>0</v>
      </c>
      <c r="W672">
        <f t="shared" si="41"/>
        <v>1</v>
      </c>
    </row>
    <row r="673" spans="1:23" x14ac:dyDescent="0.2">
      <c r="A673">
        <v>668</v>
      </c>
      <c r="B673">
        <v>480.27350930820427</v>
      </c>
      <c r="C673">
        <v>2394.2866000505378</v>
      </c>
      <c r="D673">
        <v>911.66933976863186</v>
      </c>
      <c r="E673">
        <v>1747.8577562802716</v>
      </c>
      <c r="F673">
        <v>0.94057372393528682</v>
      </c>
      <c r="G673">
        <v>0.84223254458030428</v>
      </c>
      <c r="H673">
        <v>1.0634401096505241E-2</v>
      </c>
      <c r="I673">
        <v>0.18482638055050726</v>
      </c>
      <c r="J673">
        <v>0.44743471404016033</v>
      </c>
      <c r="L673">
        <v>9761.6569891064501</v>
      </c>
      <c r="M673">
        <v>9.7929137696716229</v>
      </c>
      <c r="N673">
        <v>8.9885912711229494</v>
      </c>
      <c r="O673">
        <v>17736.968713621631</v>
      </c>
      <c r="P673">
        <v>11.270633473661086</v>
      </c>
      <c r="Q673">
        <v>10.448838702186498</v>
      </c>
      <c r="S673">
        <f t="shared" si="42"/>
        <v>889097.47012318845</v>
      </c>
      <c r="T673">
        <f t="shared" si="43"/>
        <v>1027146.9015050281</v>
      </c>
      <c r="V673">
        <f t="shared" si="40"/>
        <v>0</v>
      </c>
      <c r="W673">
        <f t="shared" si="41"/>
        <v>1</v>
      </c>
    </row>
    <row r="674" spans="1:23" x14ac:dyDescent="0.2">
      <c r="A674">
        <v>669</v>
      </c>
      <c r="B674">
        <v>568.51006531798191</v>
      </c>
      <c r="C674">
        <v>2024.1126385776258</v>
      </c>
      <c r="D674">
        <v>1019.5428696405118</v>
      </c>
      <c r="E674">
        <v>1077.9753638248408</v>
      </c>
      <c r="F674">
        <v>0.94858466489920135</v>
      </c>
      <c r="G674">
        <v>0.69139202246958731</v>
      </c>
      <c r="H674">
        <v>8.8788473037102883E-3</v>
      </c>
      <c r="I674">
        <v>0.14424354276995219</v>
      </c>
      <c r="J674">
        <v>0.45389842452293006</v>
      </c>
      <c r="L674">
        <v>9954.5066751551676</v>
      </c>
      <c r="M674">
        <v>10.509002802656036</v>
      </c>
      <c r="N674">
        <v>9.3333122290715842</v>
      </c>
      <c r="O674">
        <v>19664.887776014049</v>
      </c>
      <c r="P674">
        <v>11.773336065974689</v>
      </c>
      <c r="Q674">
        <v>10.747051949410702</v>
      </c>
      <c r="S674">
        <f t="shared" si="42"/>
        <v>923376.71623200329</v>
      </c>
      <c r="T674">
        <f t="shared" si="43"/>
        <v>1055040.307165056</v>
      </c>
      <c r="V674">
        <f t="shared" si="40"/>
        <v>0</v>
      </c>
      <c r="W674">
        <f t="shared" si="41"/>
        <v>1</v>
      </c>
    </row>
    <row r="675" spans="1:23" x14ac:dyDescent="0.2">
      <c r="A675">
        <v>670</v>
      </c>
      <c r="B675">
        <v>511.2196002702259</v>
      </c>
      <c r="C675">
        <v>3329.5527174678468</v>
      </c>
      <c r="D675">
        <v>893.98860624824192</v>
      </c>
      <c r="E675">
        <v>1073.0796270078961</v>
      </c>
      <c r="F675">
        <v>0.89451282256288656</v>
      </c>
      <c r="G675">
        <v>0.75914795655777767</v>
      </c>
      <c r="H675">
        <v>8.8650068118493342E-3</v>
      </c>
      <c r="I675">
        <v>0.15718041358037971</v>
      </c>
      <c r="J675">
        <v>0.52511470461177101</v>
      </c>
      <c r="L675">
        <v>12295.59969314189</v>
      </c>
      <c r="M675">
        <v>10.382422065680297</v>
      </c>
      <c r="N675">
        <v>8.9705319455641064</v>
      </c>
      <c r="O675">
        <v>19667.684420927399</v>
      </c>
      <c r="P675">
        <v>11.473791619270159</v>
      </c>
      <c r="Q675">
        <v>10.03420665732785</v>
      </c>
      <c r="S675">
        <f t="shared" si="42"/>
        <v>884757.59486326878</v>
      </c>
      <c r="T675">
        <f t="shared" si="43"/>
        <v>983752.98131185758</v>
      </c>
      <c r="V675">
        <f t="shared" si="40"/>
        <v>0</v>
      </c>
      <c r="W675">
        <f t="shared" si="41"/>
        <v>1</v>
      </c>
    </row>
    <row r="676" spans="1:23" x14ac:dyDescent="0.2">
      <c r="A676">
        <v>671</v>
      </c>
      <c r="B676">
        <v>435.02512315302408</v>
      </c>
      <c r="C676">
        <v>2782.0452668107241</v>
      </c>
      <c r="D676">
        <v>1024.8231596090886</v>
      </c>
      <c r="E676">
        <v>1092.6862210127883</v>
      </c>
      <c r="F676">
        <v>0.94612694852021662</v>
      </c>
      <c r="G676">
        <v>0.71073175715514347</v>
      </c>
      <c r="H676">
        <v>1.0466773203915803E-2</v>
      </c>
      <c r="I676">
        <v>0.16173482949319395</v>
      </c>
      <c r="J676">
        <v>0.4795471923098788</v>
      </c>
      <c r="L676">
        <v>10567.65915796323</v>
      </c>
      <c r="M676">
        <v>10.034087142297549</v>
      </c>
      <c r="N676">
        <v>8.914992314181255</v>
      </c>
      <c r="O676">
        <v>19134.889682933826</v>
      </c>
      <c r="P676">
        <v>11.32448564340957</v>
      </c>
      <c r="Q676">
        <v>10.305640434965012</v>
      </c>
      <c r="S676">
        <f t="shared" si="42"/>
        <v>880931.57226016221</v>
      </c>
      <c r="T676">
        <f t="shared" si="43"/>
        <v>1011429.1538135674</v>
      </c>
      <c r="V676">
        <f t="shared" si="40"/>
        <v>0</v>
      </c>
      <c r="W676">
        <f t="shared" si="41"/>
        <v>1</v>
      </c>
    </row>
    <row r="677" spans="1:23" x14ac:dyDescent="0.2">
      <c r="A677">
        <v>672</v>
      </c>
      <c r="B677">
        <v>526.11156756530863</v>
      </c>
      <c r="C677">
        <v>3156.095565201384</v>
      </c>
      <c r="D677">
        <v>1248.0759994494927</v>
      </c>
      <c r="E677">
        <v>675.32774790785618</v>
      </c>
      <c r="F677">
        <v>0.97243261174548601</v>
      </c>
      <c r="G677">
        <v>0.58941637937520042</v>
      </c>
      <c r="H677">
        <v>9.2355138219118744E-3</v>
      </c>
      <c r="I677">
        <v>0.15911036054492855</v>
      </c>
      <c r="J677">
        <v>0.46402783642447432</v>
      </c>
      <c r="L677">
        <v>11878.438508111409</v>
      </c>
      <c r="M677">
        <v>10.289767168064097</v>
      </c>
      <c r="N677">
        <v>9.1015537434880383</v>
      </c>
      <c r="O677">
        <v>22943.347983018775</v>
      </c>
      <c r="P677">
        <v>11.587732632640552</v>
      </c>
      <c r="Q677">
        <v>10.655061595472111</v>
      </c>
      <c r="S677">
        <f t="shared" si="42"/>
        <v>898276.93584069237</v>
      </c>
      <c r="T677">
        <f t="shared" si="43"/>
        <v>1042562.8115641924</v>
      </c>
      <c r="V677">
        <f t="shared" si="40"/>
        <v>0</v>
      </c>
      <c r="W677">
        <f t="shared" si="41"/>
        <v>1</v>
      </c>
    </row>
    <row r="678" spans="1:23" x14ac:dyDescent="0.2">
      <c r="A678">
        <v>673</v>
      </c>
      <c r="B678">
        <v>577.96591283874</v>
      </c>
      <c r="C678">
        <v>3016.4678806807437</v>
      </c>
      <c r="D678">
        <v>803.98548151370403</v>
      </c>
      <c r="E678">
        <v>1106.0841954458519</v>
      </c>
      <c r="F678">
        <v>0.91964284106488359</v>
      </c>
      <c r="G678">
        <v>0.75165113559238195</v>
      </c>
      <c r="H678">
        <v>9.7026184171402369E-3</v>
      </c>
      <c r="I678">
        <v>0.20236184331347551</v>
      </c>
      <c r="J678">
        <v>0.44033679961886818</v>
      </c>
      <c r="L678">
        <v>11137.749889092182</v>
      </c>
      <c r="M678">
        <v>9.8373709299741243</v>
      </c>
      <c r="N678">
        <v>8.7028440522907236</v>
      </c>
      <c r="O678">
        <v>18238.978313565101</v>
      </c>
      <c r="P678">
        <v>11.360599702547107</v>
      </c>
      <c r="Q678">
        <v>10.21815591432844</v>
      </c>
      <c r="S678">
        <f t="shared" si="42"/>
        <v>859146.65533998015</v>
      </c>
      <c r="T678">
        <f t="shared" si="43"/>
        <v>1003576.6131192788</v>
      </c>
      <c r="V678">
        <f t="shared" si="40"/>
        <v>0</v>
      </c>
      <c r="W678">
        <f t="shared" si="41"/>
        <v>1</v>
      </c>
    </row>
    <row r="679" spans="1:23" x14ac:dyDescent="0.2">
      <c r="A679">
        <v>674</v>
      </c>
      <c r="B679">
        <v>541.42396219349439</v>
      </c>
      <c r="C679">
        <v>2666.7044371247794</v>
      </c>
      <c r="D679">
        <v>913.36808146106694</v>
      </c>
      <c r="E679">
        <v>1235.8835663379728</v>
      </c>
      <c r="F679">
        <v>0.93893294824670537</v>
      </c>
      <c r="G679">
        <v>0.62116185521742451</v>
      </c>
      <c r="H679">
        <v>1.0989528175940436E-2</v>
      </c>
      <c r="I679">
        <v>0.1246496656022436</v>
      </c>
      <c r="J679">
        <v>0.45388600419057462</v>
      </c>
      <c r="L679">
        <v>12321.905837841901</v>
      </c>
      <c r="M679">
        <v>10.379806970577583</v>
      </c>
      <c r="N679">
        <v>8.8115855054673329</v>
      </c>
      <c r="O679">
        <v>19665.366764611466</v>
      </c>
      <c r="P679">
        <v>11.622504417102347</v>
      </c>
      <c r="Q679">
        <v>10.271368671996063</v>
      </c>
      <c r="S679">
        <f t="shared" si="42"/>
        <v>868836.6447088914</v>
      </c>
      <c r="T679">
        <f t="shared" si="43"/>
        <v>1007471.5004349948</v>
      </c>
      <c r="V679">
        <f t="shared" si="40"/>
        <v>0</v>
      </c>
      <c r="W679">
        <f t="shared" si="41"/>
        <v>1</v>
      </c>
    </row>
    <row r="680" spans="1:23" x14ac:dyDescent="0.2">
      <c r="A680">
        <v>675</v>
      </c>
      <c r="B680">
        <v>320.62824000162959</v>
      </c>
      <c r="C680">
        <v>3323.3918526445173</v>
      </c>
      <c r="D680">
        <v>997.56864523462207</v>
      </c>
      <c r="E680">
        <v>790.23699748078673</v>
      </c>
      <c r="F680">
        <v>0.91431781677166479</v>
      </c>
      <c r="G680">
        <v>0.78032192299107594</v>
      </c>
      <c r="H680">
        <v>1.0859718666591255E-2</v>
      </c>
      <c r="I680">
        <v>0.12001166881808542</v>
      </c>
      <c r="J680">
        <v>0.59437922240974983</v>
      </c>
      <c r="L680">
        <v>12620.08111274182</v>
      </c>
      <c r="M680">
        <v>10.463879947157842</v>
      </c>
      <c r="N680">
        <v>9.1665240811714881</v>
      </c>
      <c r="O680">
        <v>19854.214290107426</v>
      </c>
      <c r="P680">
        <v>11.289109339150308</v>
      </c>
      <c r="Q680">
        <v>10.004527172456056</v>
      </c>
      <c r="S680">
        <f t="shared" si="42"/>
        <v>904032.32700440695</v>
      </c>
      <c r="T680">
        <f t="shared" si="43"/>
        <v>980598.50295549817</v>
      </c>
      <c r="V680">
        <f t="shared" si="40"/>
        <v>0</v>
      </c>
      <c r="W680">
        <f t="shared" si="41"/>
        <v>1</v>
      </c>
    </row>
    <row r="681" spans="1:23" x14ac:dyDescent="0.2">
      <c r="A681">
        <v>676</v>
      </c>
      <c r="B681">
        <v>568.63411764974558</v>
      </c>
      <c r="C681">
        <v>2391.9233866931231</v>
      </c>
      <c r="D681">
        <v>1027.921552227876</v>
      </c>
      <c r="E681">
        <v>1120.9866610854135</v>
      </c>
      <c r="F681">
        <v>0.9144238389647561</v>
      </c>
      <c r="G681">
        <v>0.84632015181681186</v>
      </c>
      <c r="H681">
        <v>1.099436284320748E-2</v>
      </c>
      <c r="I681">
        <v>0.12546891119078254</v>
      </c>
      <c r="J681">
        <v>0.52797602884997552</v>
      </c>
      <c r="L681">
        <v>11649.308251913975</v>
      </c>
      <c r="M681">
        <v>10.367925866422107</v>
      </c>
      <c r="N681">
        <v>9.2811551313184992</v>
      </c>
      <c r="O681">
        <v>20235.485457925424</v>
      </c>
      <c r="P681">
        <v>11.3928050259064</v>
      </c>
      <c r="Q681">
        <v>10.26897017160681</v>
      </c>
      <c r="S681">
        <f t="shared" si="42"/>
        <v>916466.20487993595</v>
      </c>
      <c r="T681">
        <f t="shared" si="43"/>
        <v>1006661.5317027555</v>
      </c>
      <c r="V681">
        <f t="shared" si="40"/>
        <v>0</v>
      </c>
      <c r="W681">
        <f t="shared" si="41"/>
        <v>1</v>
      </c>
    </row>
    <row r="682" spans="1:23" x14ac:dyDescent="0.2">
      <c r="A682">
        <v>677</v>
      </c>
      <c r="B682">
        <v>326.537004066679</v>
      </c>
      <c r="C682">
        <v>4090.0100187151638</v>
      </c>
      <c r="D682">
        <v>812.81209151824908</v>
      </c>
      <c r="E682">
        <v>1191.296962328463</v>
      </c>
      <c r="F682">
        <v>0.98339904720902271</v>
      </c>
      <c r="G682">
        <v>0.6324644341949609</v>
      </c>
      <c r="H682">
        <v>1.1115740597540396E-2</v>
      </c>
      <c r="I682">
        <v>0.16718857107969864</v>
      </c>
      <c r="J682">
        <v>0.49334023068735577</v>
      </c>
      <c r="L682">
        <v>12972.967635593764</v>
      </c>
      <c r="M682">
        <v>9.8680469435044174</v>
      </c>
      <c r="N682">
        <v>8.8407003015381118</v>
      </c>
      <c r="O682">
        <v>18316.979881564323</v>
      </c>
      <c r="P682">
        <v>11.142226506990994</v>
      </c>
      <c r="Q682">
        <v>10.330876334066902</v>
      </c>
      <c r="S682">
        <f t="shared" si="42"/>
        <v>871097.06251821748</v>
      </c>
      <c r="T682">
        <f t="shared" si="43"/>
        <v>1014770.6535251259</v>
      </c>
      <c r="V682">
        <f t="shared" si="40"/>
        <v>0</v>
      </c>
      <c r="W682">
        <f t="shared" si="41"/>
        <v>1</v>
      </c>
    </row>
    <row r="683" spans="1:23" x14ac:dyDescent="0.2">
      <c r="A683">
        <v>678</v>
      </c>
      <c r="B683">
        <v>688.59055704580715</v>
      </c>
      <c r="C683">
        <v>2433.7359113591633</v>
      </c>
      <c r="D683">
        <v>1232.9026237203459</v>
      </c>
      <c r="E683">
        <v>1244.7866167442126</v>
      </c>
      <c r="F683">
        <v>0.92298182301187504</v>
      </c>
      <c r="G683">
        <v>0.80295234318513542</v>
      </c>
      <c r="H683">
        <v>1.1002316079465502E-2</v>
      </c>
      <c r="I683">
        <v>0.16934450114050048</v>
      </c>
      <c r="J683">
        <v>0.50571725840660342</v>
      </c>
      <c r="L683">
        <v>11547.722143163486</v>
      </c>
      <c r="M683">
        <v>9.8665768794669138</v>
      </c>
      <c r="N683">
        <v>8.8149535349142703</v>
      </c>
      <c r="O683">
        <v>22624.527208898009</v>
      </c>
      <c r="P683">
        <v>11.103119535837653</v>
      </c>
      <c r="Q683">
        <v>10.033835873439331</v>
      </c>
      <c r="S683">
        <f t="shared" si="42"/>
        <v>869947.63134826359</v>
      </c>
      <c r="T683">
        <f t="shared" si="43"/>
        <v>980759.06013503519</v>
      </c>
      <c r="V683">
        <f t="shared" si="40"/>
        <v>0</v>
      </c>
      <c r="W683">
        <f t="shared" si="41"/>
        <v>1</v>
      </c>
    </row>
    <row r="684" spans="1:23" x14ac:dyDescent="0.2">
      <c r="A684">
        <v>679</v>
      </c>
      <c r="B684">
        <v>347.25266352498676</v>
      </c>
      <c r="C684">
        <v>3181.0434284663124</v>
      </c>
      <c r="D684">
        <v>1004.07318029</v>
      </c>
      <c r="E684">
        <v>1383.9237202600059</v>
      </c>
      <c r="F684">
        <v>0.95733505554790033</v>
      </c>
      <c r="G684">
        <v>0.76758367361798241</v>
      </c>
      <c r="H684">
        <v>1.0866151241702045E-2</v>
      </c>
      <c r="I684">
        <v>0.17538771290666377</v>
      </c>
      <c r="J684">
        <v>0.46651414675399572</v>
      </c>
      <c r="L684">
        <v>10683.852909302253</v>
      </c>
      <c r="M684">
        <v>9.8339107524108584</v>
      </c>
      <c r="N684">
        <v>8.9660144048390453</v>
      </c>
      <c r="O684">
        <v>18598.265814676754</v>
      </c>
      <c r="P684">
        <v>11.220363512773767</v>
      </c>
      <c r="Q684">
        <v>10.42705860046458</v>
      </c>
      <c r="S684">
        <f t="shared" si="42"/>
        <v>885917.58757460234</v>
      </c>
      <c r="T684">
        <f t="shared" si="43"/>
        <v>1024107.5942317812</v>
      </c>
      <c r="V684">
        <f t="shared" si="40"/>
        <v>0</v>
      </c>
      <c r="W684">
        <f t="shared" si="41"/>
        <v>1</v>
      </c>
    </row>
    <row r="685" spans="1:23" x14ac:dyDescent="0.2">
      <c r="A685">
        <v>680</v>
      </c>
      <c r="B685">
        <v>482.05993801734024</v>
      </c>
      <c r="C685">
        <v>3951.9970081604156</v>
      </c>
      <c r="D685">
        <v>995.31479745204706</v>
      </c>
      <c r="E685">
        <v>640.35896779296343</v>
      </c>
      <c r="F685">
        <v>0.91931929056707706</v>
      </c>
      <c r="G685">
        <v>0.76894202001206025</v>
      </c>
      <c r="H685">
        <v>8.8088860836661367E-3</v>
      </c>
      <c r="I685">
        <v>0.11960269845892195</v>
      </c>
      <c r="J685">
        <v>0.49384552424964046</v>
      </c>
      <c r="L685">
        <v>14956.461248831331</v>
      </c>
      <c r="M685">
        <v>10.808815499044371</v>
      </c>
      <c r="N685">
        <v>9.5235111244979329</v>
      </c>
      <c r="O685">
        <v>22376.141570191005</v>
      </c>
      <c r="P685">
        <v>11.855245479382521</v>
      </c>
      <c r="Q685">
        <v>10.612202014119807</v>
      </c>
      <c r="S685">
        <f t="shared" si="42"/>
        <v>937394.6512009619</v>
      </c>
      <c r="T685">
        <f t="shared" si="43"/>
        <v>1038844.0598417897</v>
      </c>
      <c r="V685">
        <f t="shared" si="40"/>
        <v>0</v>
      </c>
      <c r="W685">
        <f t="shared" si="41"/>
        <v>1</v>
      </c>
    </row>
    <row r="686" spans="1:23" x14ac:dyDescent="0.2">
      <c r="A686">
        <v>681</v>
      </c>
      <c r="B686">
        <v>595.51732600415198</v>
      </c>
      <c r="C686">
        <v>3314.5582651468221</v>
      </c>
      <c r="D686">
        <v>1075.1751731462766</v>
      </c>
      <c r="E686">
        <v>1537.1526908192122</v>
      </c>
      <c r="F686">
        <v>0.96661961521127771</v>
      </c>
      <c r="G686">
        <v>0.73829018280504044</v>
      </c>
      <c r="H686">
        <v>1.0359870917784191E-2</v>
      </c>
      <c r="I686">
        <v>0.16635138057068821</v>
      </c>
      <c r="J686">
        <v>0.57976856305329838</v>
      </c>
      <c r="L686">
        <v>13108.811876729913</v>
      </c>
      <c r="M686">
        <v>10.008369002467276</v>
      </c>
      <c r="N686">
        <v>9.1255845086400775</v>
      </c>
      <c r="O686">
        <v>21935.755784490175</v>
      </c>
      <c r="P686">
        <v>10.99391526456728</v>
      </c>
      <c r="Q686">
        <v>10.198022630292968</v>
      </c>
      <c r="S686">
        <f t="shared" si="42"/>
        <v>899449.63898727775</v>
      </c>
      <c r="T686">
        <f t="shared" si="43"/>
        <v>997866.50724480662</v>
      </c>
      <c r="V686">
        <f t="shared" si="40"/>
        <v>0</v>
      </c>
      <c r="W686">
        <f t="shared" si="41"/>
        <v>1</v>
      </c>
    </row>
    <row r="687" spans="1:23" x14ac:dyDescent="0.2">
      <c r="A687">
        <v>682</v>
      </c>
      <c r="B687">
        <v>376.06538068958469</v>
      </c>
      <c r="C687">
        <v>2714.4309235056326</v>
      </c>
      <c r="D687">
        <v>1159.5638061446268</v>
      </c>
      <c r="E687">
        <v>1083.1597397891123</v>
      </c>
      <c r="F687">
        <v>0.95348832251938009</v>
      </c>
      <c r="G687">
        <v>0.67631565357336931</v>
      </c>
      <c r="H687">
        <v>9.9734551416982582E-3</v>
      </c>
      <c r="I687">
        <v>0.10369780043589306</v>
      </c>
      <c r="J687">
        <v>0.48846556844695455</v>
      </c>
      <c r="L687">
        <v>11746.02386511341</v>
      </c>
      <c r="M687">
        <v>10.841423177651782</v>
      </c>
      <c r="N687">
        <v>9.469813327658585</v>
      </c>
      <c r="O687">
        <v>21042.549394811904</v>
      </c>
      <c r="P687">
        <v>11.858419075256055</v>
      </c>
      <c r="Q687">
        <v>10.698813600387103</v>
      </c>
      <c r="S687">
        <f t="shared" si="42"/>
        <v>935235.30890074512</v>
      </c>
      <c r="T687">
        <f t="shared" si="43"/>
        <v>1048838.8106438983</v>
      </c>
      <c r="V687">
        <f t="shared" si="40"/>
        <v>0</v>
      </c>
      <c r="W687">
        <f t="shared" si="41"/>
        <v>1</v>
      </c>
    </row>
    <row r="688" spans="1:23" x14ac:dyDescent="0.2">
      <c r="A688">
        <v>683</v>
      </c>
      <c r="B688">
        <v>970.98256199620698</v>
      </c>
      <c r="C688">
        <v>2479.6918801633096</v>
      </c>
      <c r="D688">
        <v>1085.9460689767641</v>
      </c>
      <c r="E688">
        <v>665.44112388446274</v>
      </c>
      <c r="F688">
        <v>0.97937818144931821</v>
      </c>
      <c r="G688">
        <v>0.72960842749774546</v>
      </c>
      <c r="H688">
        <v>9.5698896727782982E-3</v>
      </c>
      <c r="I688">
        <v>0.16311894636012614</v>
      </c>
      <c r="J688">
        <v>0.50671839563587118</v>
      </c>
      <c r="L688">
        <v>13704.875726697324</v>
      </c>
      <c r="M688">
        <v>10.186506900218376</v>
      </c>
      <c r="N688">
        <v>9.3874134014138289</v>
      </c>
      <c r="O688">
        <v>24288.2605482898</v>
      </c>
      <c r="P688">
        <v>11.370460403917733</v>
      </c>
      <c r="Q688">
        <v>10.712872263364781</v>
      </c>
      <c r="S688">
        <f t="shared" si="42"/>
        <v>925036.46441468562</v>
      </c>
      <c r="T688">
        <f t="shared" si="43"/>
        <v>1046998.9657881885</v>
      </c>
      <c r="V688">
        <f t="shared" si="40"/>
        <v>0</v>
      </c>
      <c r="W688">
        <f t="shared" si="41"/>
        <v>1</v>
      </c>
    </row>
    <row r="689" spans="1:23" x14ac:dyDescent="0.2">
      <c r="A689">
        <v>684</v>
      </c>
      <c r="B689">
        <v>394.48094943892664</v>
      </c>
      <c r="C689">
        <v>2792.4644566948318</v>
      </c>
      <c r="D689">
        <v>1006.159789929073</v>
      </c>
      <c r="E689">
        <v>945.26044233442394</v>
      </c>
      <c r="F689">
        <v>0.90579481367520132</v>
      </c>
      <c r="G689">
        <v>0.72494749326783181</v>
      </c>
      <c r="H689">
        <v>1.0232611060965967E-2</v>
      </c>
      <c r="I689">
        <v>7.7131518045853303E-2</v>
      </c>
      <c r="J689">
        <v>0.46469484425343616</v>
      </c>
      <c r="L689">
        <v>13452.786408569546</v>
      </c>
      <c r="M689">
        <v>11.283140538196557</v>
      </c>
      <c r="N689">
        <v>9.5613585335703135</v>
      </c>
      <c r="O689">
        <v>20716.473637751911</v>
      </c>
      <c r="P689">
        <v>12.201941427198058</v>
      </c>
      <c r="Q689">
        <v>10.604768879136477</v>
      </c>
      <c r="S689">
        <f t="shared" si="42"/>
        <v>942683.06694846181</v>
      </c>
      <c r="T689">
        <f t="shared" si="43"/>
        <v>1039760.4142758959</v>
      </c>
      <c r="V689">
        <f t="shared" si="40"/>
        <v>0</v>
      </c>
      <c r="W689">
        <f t="shared" si="41"/>
        <v>1</v>
      </c>
    </row>
    <row r="690" spans="1:23" x14ac:dyDescent="0.2">
      <c r="A690">
        <v>685</v>
      </c>
      <c r="B690">
        <v>469.31650812401335</v>
      </c>
      <c r="C690">
        <v>3472.1249535706697</v>
      </c>
      <c r="D690">
        <v>1038.0351336208289</v>
      </c>
      <c r="E690">
        <v>939.51878237939104</v>
      </c>
      <c r="F690">
        <v>0.96893043105617027</v>
      </c>
      <c r="G690">
        <v>0.87910382922093233</v>
      </c>
      <c r="H690">
        <v>1.0214086093997887E-2</v>
      </c>
      <c r="I690">
        <v>0.16187818302714752</v>
      </c>
      <c r="J690">
        <v>0.54838739061648301</v>
      </c>
      <c r="L690">
        <v>12405.144885379408</v>
      </c>
      <c r="M690">
        <v>10.077949715390636</v>
      </c>
      <c r="N690">
        <v>9.5462972890395026</v>
      </c>
      <c r="O690">
        <v>20698.751278023323</v>
      </c>
      <c r="P690">
        <v>11.144096530902598</v>
      </c>
      <c r="Q690">
        <v>10.632333344046758</v>
      </c>
      <c r="S690">
        <f t="shared" si="42"/>
        <v>942224.58401857095</v>
      </c>
      <c r="T690">
        <f t="shared" si="43"/>
        <v>1042534.5831266524</v>
      </c>
      <c r="V690">
        <f t="shared" si="40"/>
        <v>0</v>
      </c>
      <c r="W690">
        <f t="shared" si="41"/>
        <v>1</v>
      </c>
    </row>
    <row r="691" spans="1:23" x14ac:dyDescent="0.2">
      <c r="A691">
        <v>686</v>
      </c>
      <c r="B691">
        <v>430.37288122896911</v>
      </c>
      <c r="C691">
        <v>3560.9230484114969</v>
      </c>
      <c r="D691">
        <v>995.4919347884005</v>
      </c>
      <c r="E691">
        <v>925.69749750552683</v>
      </c>
      <c r="F691">
        <v>0.95964207605082197</v>
      </c>
      <c r="G691">
        <v>0.88518101696157636</v>
      </c>
      <c r="H691">
        <v>9.0161622262283324E-3</v>
      </c>
      <c r="I691">
        <v>0.12651468444660993</v>
      </c>
      <c r="J691">
        <v>0.46760716040172906</v>
      </c>
      <c r="L691">
        <v>13330.240541441626</v>
      </c>
      <c r="M691">
        <v>10.684279094898171</v>
      </c>
      <c r="N691">
        <v>10.052879839797857</v>
      </c>
      <c r="O691">
        <v>20966.624273660997</v>
      </c>
      <c r="P691">
        <v>11.840248102587498</v>
      </c>
      <c r="Q691">
        <v>11.22737452390877</v>
      </c>
      <c r="S691">
        <f t="shared" si="42"/>
        <v>991957.7434383441</v>
      </c>
      <c r="T691">
        <f t="shared" si="43"/>
        <v>1101770.828117216</v>
      </c>
      <c r="V691">
        <f t="shared" si="40"/>
        <v>0</v>
      </c>
      <c r="W691">
        <f t="shared" si="41"/>
        <v>1</v>
      </c>
    </row>
    <row r="692" spans="1:23" x14ac:dyDescent="0.2">
      <c r="A692">
        <v>687</v>
      </c>
      <c r="B692">
        <v>490.60899727419786</v>
      </c>
      <c r="C692">
        <v>2173.5735945936744</v>
      </c>
      <c r="D692">
        <v>871.95605786690317</v>
      </c>
      <c r="E692">
        <v>1055.6164926182216</v>
      </c>
      <c r="F692">
        <v>0.88488075934267585</v>
      </c>
      <c r="G692">
        <v>0.65331946241348693</v>
      </c>
      <c r="H692">
        <v>9.2565058658135614E-3</v>
      </c>
      <c r="I692">
        <v>0.12106679323896385</v>
      </c>
      <c r="J692">
        <v>0.49399458565126597</v>
      </c>
      <c r="L692">
        <v>10303.375114130724</v>
      </c>
      <c r="M692">
        <v>10.710030318977225</v>
      </c>
      <c r="N692">
        <v>8.8314396140942897</v>
      </c>
      <c r="O692">
        <v>17875.690586238201</v>
      </c>
      <c r="P692">
        <v>11.775468495894579</v>
      </c>
      <c r="Q692">
        <v>9.9682985872545515</v>
      </c>
      <c r="S692">
        <f t="shared" si="42"/>
        <v>872840.5862952983</v>
      </c>
      <c r="T692">
        <f t="shared" si="43"/>
        <v>978954.16813921696</v>
      </c>
      <c r="V692">
        <f t="shared" si="40"/>
        <v>0</v>
      </c>
      <c r="W692">
        <f t="shared" si="41"/>
        <v>1</v>
      </c>
    </row>
    <row r="693" spans="1:23" x14ac:dyDescent="0.2">
      <c r="A693">
        <v>688</v>
      </c>
      <c r="B693">
        <v>414.22025910681919</v>
      </c>
      <c r="C693">
        <v>2640.5689753837723</v>
      </c>
      <c r="D693">
        <v>1150.052705872155</v>
      </c>
      <c r="E693">
        <v>1250.7559306570633</v>
      </c>
      <c r="F693">
        <v>0.95914460733982265</v>
      </c>
      <c r="G693">
        <v>0.74509040231000767</v>
      </c>
      <c r="H693">
        <v>9.5525489233235766E-3</v>
      </c>
      <c r="I693">
        <v>0.10326770963702693</v>
      </c>
      <c r="J693">
        <v>0.59396264393040166</v>
      </c>
      <c r="L693">
        <v>11775.21573450693</v>
      </c>
      <c r="M693">
        <v>10.913214869576713</v>
      </c>
      <c r="N693">
        <v>9.8080855147192842</v>
      </c>
      <c r="O693">
        <v>21129.497873380347</v>
      </c>
      <c r="P693">
        <v>11.662095986092133</v>
      </c>
      <c r="Q693">
        <v>10.673025877744319</v>
      </c>
      <c r="S693">
        <f t="shared" si="42"/>
        <v>969033.33573742141</v>
      </c>
      <c r="T693">
        <f t="shared" si="43"/>
        <v>1046173.0899010515</v>
      </c>
      <c r="V693">
        <f t="shared" si="40"/>
        <v>0</v>
      </c>
      <c r="W693">
        <f t="shared" si="41"/>
        <v>1</v>
      </c>
    </row>
    <row r="694" spans="1:23" x14ac:dyDescent="0.2">
      <c r="A694">
        <v>689</v>
      </c>
      <c r="B694">
        <v>534.33015431503725</v>
      </c>
      <c r="C694">
        <v>4070.7111582792304</v>
      </c>
      <c r="D694">
        <v>845.28901677406589</v>
      </c>
      <c r="E694">
        <v>777.32554851893065</v>
      </c>
      <c r="F694">
        <v>0.9238903401744718</v>
      </c>
      <c r="G694">
        <v>0.77512530562276205</v>
      </c>
      <c r="H694">
        <v>9.5625379490182055E-3</v>
      </c>
      <c r="I694">
        <v>0.14602792991588159</v>
      </c>
      <c r="J694">
        <v>0.55570989553051597</v>
      </c>
      <c r="L694">
        <v>14767.712714160967</v>
      </c>
      <c r="M694">
        <v>10.359809528858761</v>
      </c>
      <c r="N694">
        <v>9.1950369170109809</v>
      </c>
      <c r="O694">
        <v>21008.627159196854</v>
      </c>
      <c r="P694">
        <v>11.348284232882978</v>
      </c>
      <c r="Q694">
        <v>10.200666358626799</v>
      </c>
      <c r="S694">
        <f t="shared" si="42"/>
        <v>904735.97898693709</v>
      </c>
      <c r="T694">
        <f t="shared" si="43"/>
        <v>999058.00870348304</v>
      </c>
      <c r="V694">
        <f t="shared" si="40"/>
        <v>0</v>
      </c>
      <c r="W694">
        <f t="shared" si="41"/>
        <v>1</v>
      </c>
    </row>
    <row r="695" spans="1:23" x14ac:dyDescent="0.2">
      <c r="A695">
        <v>690</v>
      </c>
      <c r="B695">
        <v>488.9447632905472</v>
      </c>
      <c r="C695">
        <v>2335.0290679569193</v>
      </c>
      <c r="D695">
        <v>848.81091962305345</v>
      </c>
      <c r="E695">
        <v>811.30005420611826</v>
      </c>
      <c r="F695">
        <v>0.9676557127484624</v>
      </c>
      <c r="G695">
        <v>0.73893634318463874</v>
      </c>
      <c r="H695">
        <v>8.8685424881549558E-3</v>
      </c>
      <c r="I695">
        <v>0.14860292669806149</v>
      </c>
      <c r="J695">
        <v>0.42572445481977095</v>
      </c>
      <c r="L695">
        <v>9884.6605077989552</v>
      </c>
      <c r="M695">
        <v>10.465980390083717</v>
      </c>
      <c r="N695">
        <v>9.5730238388639339</v>
      </c>
      <c r="O695">
        <v>17560.540930677802</v>
      </c>
      <c r="P695">
        <v>11.836546762599042</v>
      </c>
      <c r="Q695">
        <v>11.100519268892155</v>
      </c>
      <c r="S695">
        <f t="shared" si="42"/>
        <v>947417.72337859438</v>
      </c>
      <c r="T695">
        <f t="shared" si="43"/>
        <v>1092491.3859585377</v>
      </c>
      <c r="V695">
        <f t="shared" si="40"/>
        <v>0</v>
      </c>
      <c r="W695">
        <f t="shared" si="41"/>
        <v>1</v>
      </c>
    </row>
    <row r="696" spans="1:23" x14ac:dyDescent="0.2">
      <c r="A696">
        <v>691</v>
      </c>
      <c r="B696">
        <v>565.4507633413798</v>
      </c>
      <c r="C696">
        <v>3329.2046286740292</v>
      </c>
      <c r="D696">
        <v>885.60791098028938</v>
      </c>
      <c r="E696">
        <v>833.99509671549117</v>
      </c>
      <c r="F696">
        <v>0.94928435541279543</v>
      </c>
      <c r="G696">
        <v>0.77928358493561378</v>
      </c>
      <c r="H696">
        <v>8.489894862754933E-3</v>
      </c>
      <c r="I696">
        <v>0.15261655330770729</v>
      </c>
      <c r="J696">
        <v>0.45680733742173685</v>
      </c>
      <c r="L696">
        <v>12702.560600367658</v>
      </c>
      <c r="M696">
        <v>10.50347917572438</v>
      </c>
      <c r="N696">
        <v>9.5730844080070288</v>
      </c>
      <c r="O696">
        <v>20184.086632061644</v>
      </c>
      <c r="P696">
        <v>11.774119044335794</v>
      </c>
      <c r="Q696">
        <v>10.914271077249216</v>
      </c>
      <c r="S696">
        <f t="shared" si="42"/>
        <v>944605.88020033529</v>
      </c>
      <c r="T696">
        <f t="shared" si="43"/>
        <v>1071243.0210928598</v>
      </c>
      <c r="V696">
        <f t="shared" si="40"/>
        <v>0</v>
      </c>
      <c r="W696">
        <f t="shared" si="41"/>
        <v>1</v>
      </c>
    </row>
    <row r="697" spans="1:23" x14ac:dyDescent="0.2">
      <c r="A697">
        <v>692</v>
      </c>
      <c r="B697">
        <v>416.0374779335761</v>
      </c>
      <c r="C697">
        <v>3810.7676014601307</v>
      </c>
      <c r="D697">
        <v>1055.8028910828286</v>
      </c>
      <c r="E697">
        <v>1061.386808718594</v>
      </c>
      <c r="F697">
        <v>0.91496761403524152</v>
      </c>
      <c r="G697">
        <v>0.6472366050523658</v>
      </c>
      <c r="H697">
        <v>1.042060971694686E-2</v>
      </c>
      <c r="I697">
        <v>0.145333289849537</v>
      </c>
      <c r="J697">
        <v>0.52439803725028167</v>
      </c>
      <c r="L697">
        <v>13570.720079354409</v>
      </c>
      <c r="M697">
        <v>10.215160919634918</v>
      </c>
      <c r="N697">
        <v>8.6433895752712608</v>
      </c>
      <c r="O697">
        <v>21491.269048232596</v>
      </c>
      <c r="P697">
        <v>11.309884955345215</v>
      </c>
      <c r="Q697">
        <v>9.8279050421682754</v>
      </c>
      <c r="S697">
        <f t="shared" si="42"/>
        <v>850768.23744777171</v>
      </c>
      <c r="T697">
        <f t="shared" si="43"/>
        <v>961299.23516859498</v>
      </c>
      <c r="V697">
        <f t="shared" si="40"/>
        <v>0</v>
      </c>
      <c r="W697">
        <f t="shared" si="41"/>
        <v>1</v>
      </c>
    </row>
    <row r="698" spans="1:23" x14ac:dyDescent="0.2">
      <c r="A698">
        <v>693</v>
      </c>
      <c r="B698">
        <v>291.75642330916224</v>
      </c>
      <c r="C698">
        <v>2565.6917405644417</v>
      </c>
      <c r="D698">
        <v>1224.7323941998045</v>
      </c>
      <c r="E698">
        <v>1496.5760522747662</v>
      </c>
      <c r="F698">
        <v>0.96237937793797368</v>
      </c>
      <c r="G698">
        <v>0.72381830788091861</v>
      </c>
      <c r="H698">
        <v>1.0217198943626386E-2</v>
      </c>
      <c r="I698">
        <v>0.18929601073062108</v>
      </c>
      <c r="J698">
        <v>0.46123619409503064</v>
      </c>
      <c r="L698">
        <v>8469.8070152536038</v>
      </c>
      <c r="M698">
        <v>9.8343345865319876</v>
      </c>
      <c r="N698">
        <v>8.9418896302300634</v>
      </c>
      <c r="O698">
        <v>19095.549768947978</v>
      </c>
      <c r="P698">
        <v>11.262383792463726</v>
      </c>
      <c r="Q698">
        <v>10.477707201731766</v>
      </c>
      <c r="S698">
        <f t="shared" si="42"/>
        <v>885719.15600775275</v>
      </c>
      <c r="T698">
        <f t="shared" si="43"/>
        <v>1028675.1704042286</v>
      </c>
      <c r="V698">
        <f t="shared" si="40"/>
        <v>0</v>
      </c>
      <c r="W698">
        <f t="shared" si="41"/>
        <v>1</v>
      </c>
    </row>
    <row r="699" spans="1:23" x14ac:dyDescent="0.2">
      <c r="A699">
        <v>694</v>
      </c>
      <c r="B699">
        <v>312.29955201105616</v>
      </c>
      <c r="C699">
        <v>3673.5897201558651</v>
      </c>
      <c r="D699">
        <v>981.28331825381963</v>
      </c>
      <c r="E699">
        <v>1116.7254893152158</v>
      </c>
      <c r="F699">
        <v>0.9571574877304343</v>
      </c>
      <c r="G699">
        <v>0.65217608347919886</v>
      </c>
      <c r="H699">
        <v>9.7601876624731805E-3</v>
      </c>
      <c r="I699">
        <v>0.1321956871006634</v>
      </c>
      <c r="J699">
        <v>0.5652512653279288</v>
      </c>
      <c r="L699">
        <v>12780.806972562876</v>
      </c>
      <c r="M699">
        <v>10.482318198064002</v>
      </c>
      <c r="N699">
        <v>9.2069018330949586</v>
      </c>
      <c r="O699">
        <v>19975.202896763374</v>
      </c>
      <c r="P699">
        <v>11.406586565335544</v>
      </c>
      <c r="Q699">
        <v>10.288079903155783</v>
      </c>
      <c r="S699">
        <f t="shared" si="42"/>
        <v>907909.376336933</v>
      </c>
      <c r="T699">
        <f t="shared" si="43"/>
        <v>1008832.787418815</v>
      </c>
      <c r="V699">
        <f t="shared" si="40"/>
        <v>0</v>
      </c>
      <c r="W699">
        <f t="shared" si="41"/>
        <v>1</v>
      </c>
    </row>
    <row r="700" spans="1:23" x14ac:dyDescent="0.2">
      <c r="A700">
        <v>695</v>
      </c>
      <c r="B700">
        <v>490.69198514006786</v>
      </c>
      <c r="C700">
        <v>3056.7592819887441</v>
      </c>
      <c r="D700">
        <v>919.48640670372197</v>
      </c>
      <c r="E700">
        <v>944.61898743266579</v>
      </c>
      <c r="F700">
        <v>0.96277603178244275</v>
      </c>
      <c r="G700">
        <v>0.8132860947261461</v>
      </c>
      <c r="H700">
        <v>1.0069281282573854E-2</v>
      </c>
      <c r="I700">
        <v>0.15792385970609824</v>
      </c>
      <c r="J700">
        <v>0.47312179144322097</v>
      </c>
      <c r="L700">
        <v>11651.85233991554</v>
      </c>
      <c r="M700">
        <v>10.143417577678612</v>
      </c>
      <c r="N700">
        <v>9.3983663019408681</v>
      </c>
      <c r="O700">
        <v>19195.324696092572</v>
      </c>
      <c r="P700">
        <v>11.43287877531594</v>
      </c>
      <c r="Q700">
        <v>10.751492506825485</v>
      </c>
      <c r="S700">
        <f t="shared" si="42"/>
        <v>928184.77785417123</v>
      </c>
      <c r="T700">
        <f t="shared" si="43"/>
        <v>1055953.925986456</v>
      </c>
      <c r="V700">
        <f t="shared" si="40"/>
        <v>0</v>
      </c>
      <c r="W700">
        <f t="shared" si="41"/>
        <v>1</v>
      </c>
    </row>
    <row r="701" spans="1:23" x14ac:dyDescent="0.2">
      <c r="A701">
        <v>696</v>
      </c>
      <c r="B701">
        <v>520.24354465853344</v>
      </c>
      <c r="C701">
        <v>4003.5394966134431</v>
      </c>
      <c r="D701">
        <v>883.631840988264</v>
      </c>
      <c r="E701">
        <v>680.04808585365527</v>
      </c>
      <c r="F701">
        <v>0.94881432393270426</v>
      </c>
      <c r="G701">
        <v>0.73159729934489892</v>
      </c>
      <c r="H701">
        <v>1.1962066824076722E-2</v>
      </c>
      <c r="I701">
        <v>0.15615516377124095</v>
      </c>
      <c r="J701">
        <v>0.55071255739152347</v>
      </c>
      <c r="L701">
        <v>14612.037723234882</v>
      </c>
      <c r="M701">
        <v>9.8454944144413776</v>
      </c>
      <c r="N701">
        <v>8.7672621977974412</v>
      </c>
      <c r="O701">
        <v>20866.399955366978</v>
      </c>
      <c r="P701">
        <v>10.914483913434662</v>
      </c>
      <c r="Q701">
        <v>9.9107792534181751</v>
      </c>
      <c r="S701">
        <f t="shared" si="42"/>
        <v>862114.18205650931</v>
      </c>
      <c r="T701">
        <f t="shared" si="43"/>
        <v>970211.52538645058</v>
      </c>
      <c r="V701">
        <f t="shared" si="40"/>
        <v>0</v>
      </c>
      <c r="W701">
        <f t="shared" si="41"/>
        <v>1</v>
      </c>
    </row>
    <row r="702" spans="1:23" x14ac:dyDescent="0.2">
      <c r="A702">
        <v>697</v>
      </c>
      <c r="B702">
        <v>564.03809587597345</v>
      </c>
      <c r="C702">
        <v>2837.5464651845864</v>
      </c>
      <c r="D702">
        <v>938.0130885159499</v>
      </c>
      <c r="E702">
        <v>1224.5612160888052</v>
      </c>
      <c r="F702">
        <v>0.94377931261515324</v>
      </c>
      <c r="G702">
        <v>0.89746593134688735</v>
      </c>
      <c r="H702">
        <v>9.7912528912349247E-3</v>
      </c>
      <c r="I702">
        <v>0.16185033356699452</v>
      </c>
      <c r="J702">
        <v>0.42589810355093172</v>
      </c>
      <c r="L702">
        <v>11641.907482667624</v>
      </c>
      <c r="M702">
        <v>10.156361632863751</v>
      </c>
      <c r="N702">
        <v>9.4745633438287236</v>
      </c>
      <c r="O702">
        <v>19832.062698844107</v>
      </c>
      <c r="P702">
        <v>11.612089354396813</v>
      </c>
      <c r="Q702">
        <v>10.887074748392155</v>
      </c>
      <c r="S702">
        <f t="shared" si="42"/>
        <v>935814.42690020474</v>
      </c>
      <c r="T702">
        <f t="shared" si="43"/>
        <v>1068875.4121403715</v>
      </c>
      <c r="V702">
        <f t="shared" si="40"/>
        <v>0</v>
      </c>
      <c r="W702">
        <f t="shared" si="41"/>
        <v>1</v>
      </c>
    </row>
    <row r="703" spans="1:23" x14ac:dyDescent="0.2">
      <c r="A703">
        <v>698</v>
      </c>
      <c r="B703">
        <v>510.20146233988515</v>
      </c>
      <c r="C703">
        <v>2612.6056771083422</v>
      </c>
      <c r="D703">
        <v>1101.8551791596976</v>
      </c>
      <c r="E703">
        <v>751.38491519587103</v>
      </c>
      <c r="F703">
        <v>0.93842021910152507</v>
      </c>
      <c r="G703">
        <v>0.77488261956596483</v>
      </c>
      <c r="H703">
        <v>8.9877092325860112E-3</v>
      </c>
      <c r="I703">
        <v>0.17452161249131193</v>
      </c>
      <c r="J703">
        <v>0.51575024572380268</v>
      </c>
      <c r="L703">
        <v>10113.568879491151</v>
      </c>
      <c r="M703">
        <v>10.202057816153895</v>
      </c>
      <c r="N703">
        <v>9.214423962453079</v>
      </c>
      <c r="O703">
        <v>20122.041652601361</v>
      </c>
      <c r="P703">
        <v>11.372184379277169</v>
      </c>
      <c r="Q703">
        <v>10.413299097550556</v>
      </c>
      <c r="S703">
        <f t="shared" si="42"/>
        <v>911328.82736581669</v>
      </c>
      <c r="T703">
        <f t="shared" si="43"/>
        <v>1021207.8681024543</v>
      </c>
      <c r="V703">
        <f t="shared" si="40"/>
        <v>0</v>
      </c>
      <c r="W703">
        <f t="shared" si="41"/>
        <v>1</v>
      </c>
    </row>
    <row r="704" spans="1:23" x14ac:dyDescent="0.2">
      <c r="A704">
        <v>699</v>
      </c>
      <c r="B704">
        <v>527.55340137220173</v>
      </c>
      <c r="C704">
        <v>2878.7583222896546</v>
      </c>
      <c r="D704">
        <v>905.62226017667342</v>
      </c>
      <c r="E704">
        <v>669.05495279691729</v>
      </c>
      <c r="F704">
        <v>0.96096773609006525</v>
      </c>
      <c r="G704">
        <v>0.84724944974565375</v>
      </c>
      <c r="H704">
        <v>1.0113268848677378E-2</v>
      </c>
      <c r="I704">
        <v>0.11048544839440222</v>
      </c>
      <c r="J704">
        <v>0.52264683586263394</v>
      </c>
      <c r="L704">
        <v>13033.445586572721</v>
      </c>
      <c r="M704">
        <v>10.716164922450675</v>
      </c>
      <c r="N704">
        <v>9.9518234305908528</v>
      </c>
      <c r="O704">
        <v>20118.401885189793</v>
      </c>
      <c r="P704">
        <v>11.678732925228868</v>
      </c>
      <c r="Q704">
        <v>10.96987501389005</v>
      </c>
      <c r="S704">
        <f t="shared" si="42"/>
        <v>982148.89747251256</v>
      </c>
      <c r="T704">
        <f t="shared" si="43"/>
        <v>1076869.0995038152</v>
      </c>
      <c r="V704">
        <f t="shared" si="40"/>
        <v>0</v>
      </c>
      <c r="W704">
        <f t="shared" si="41"/>
        <v>1</v>
      </c>
    </row>
    <row r="705" spans="1:23" x14ac:dyDescent="0.2">
      <c r="A705">
        <v>700</v>
      </c>
      <c r="B705">
        <v>577.0752367645531</v>
      </c>
      <c r="C705">
        <v>3458.1237825445778</v>
      </c>
      <c r="D705">
        <v>1046.3316880261109</v>
      </c>
      <c r="E705">
        <v>983.14711238115058</v>
      </c>
      <c r="F705">
        <v>0.97332332669980115</v>
      </c>
      <c r="G705">
        <v>0.77225617137515246</v>
      </c>
      <c r="H705">
        <v>9.6987716406430214E-3</v>
      </c>
      <c r="I705">
        <v>0.12911198721019607</v>
      </c>
      <c r="J705">
        <v>0.42057611642024778</v>
      </c>
      <c r="L705">
        <v>14319.541089810748</v>
      </c>
      <c r="M705">
        <v>10.530819681312503</v>
      </c>
      <c r="N705">
        <v>9.6989291375310138</v>
      </c>
      <c r="O705">
        <v>22708.028172930222</v>
      </c>
      <c r="P705">
        <v>11.864572144348061</v>
      </c>
      <c r="Q705">
        <v>11.194751360762838</v>
      </c>
      <c r="S705">
        <f t="shared" si="42"/>
        <v>955573.37266329059</v>
      </c>
      <c r="T705">
        <f t="shared" si="43"/>
        <v>1096767.1079033536</v>
      </c>
      <c r="V705">
        <f t="shared" si="40"/>
        <v>0</v>
      </c>
      <c r="W705">
        <f t="shared" si="41"/>
        <v>1</v>
      </c>
    </row>
    <row r="706" spans="1:23" x14ac:dyDescent="0.2">
      <c r="A706">
        <v>701</v>
      </c>
      <c r="B706">
        <v>602.08670466740591</v>
      </c>
      <c r="C706">
        <v>2588.8021408182672</v>
      </c>
      <c r="D706">
        <v>1103.3963995975073</v>
      </c>
      <c r="E706">
        <v>949.99773635806571</v>
      </c>
      <c r="F706">
        <v>0.94221741055209585</v>
      </c>
      <c r="G706">
        <v>0.66229788730319161</v>
      </c>
      <c r="H706">
        <v>1.0723020236067618E-2</v>
      </c>
      <c r="I706">
        <v>0.15603607223043015</v>
      </c>
      <c r="J706">
        <v>0.59850151938197205</v>
      </c>
      <c r="L706">
        <v>11470.350541572318</v>
      </c>
      <c r="M706">
        <v>10.047531441047077</v>
      </c>
      <c r="N706">
        <v>8.7562133568452367</v>
      </c>
      <c r="O706">
        <v>20779.159373030401</v>
      </c>
      <c r="P706">
        <v>10.959971977344305</v>
      </c>
      <c r="Q706">
        <v>9.7603230450643519</v>
      </c>
      <c r="S706">
        <f t="shared" si="42"/>
        <v>864150.98514295137</v>
      </c>
      <c r="T706">
        <f t="shared" si="43"/>
        <v>955253.14513340476</v>
      </c>
      <c r="V706">
        <f t="shared" si="40"/>
        <v>0</v>
      </c>
      <c r="W706">
        <f t="shared" si="41"/>
        <v>1</v>
      </c>
    </row>
    <row r="707" spans="1:23" x14ac:dyDescent="0.2">
      <c r="A707">
        <v>702</v>
      </c>
      <c r="B707">
        <v>357.18578231334578</v>
      </c>
      <c r="C707">
        <v>2867.7131690669048</v>
      </c>
      <c r="D707">
        <v>1005.0518546173972</v>
      </c>
      <c r="E707">
        <v>1368.6182247986028</v>
      </c>
      <c r="F707">
        <v>0.95639038183875202</v>
      </c>
      <c r="G707">
        <v>0.68210713875694073</v>
      </c>
      <c r="H707">
        <v>9.9812358301558761E-3</v>
      </c>
      <c r="I707">
        <v>0.15102772529487318</v>
      </c>
      <c r="J707">
        <v>0.44201078101264302</v>
      </c>
      <c r="L707">
        <v>10502.296987760439</v>
      </c>
      <c r="M707">
        <v>10.230221531963647</v>
      </c>
      <c r="N707">
        <v>9.0928113482307591</v>
      </c>
      <c r="O707">
        <v>18676.718989279554</v>
      </c>
      <c r="P707">
        <v>11.596555579357206</v>
      </c>
      <c r="Q707">
        <v>10.62955765347194</v>
      </c>
      <c r="S707">
        <f t="shared" si="42"/>
        <v>898778.8378353155</v>
      </c>
      <c r="T707">
        <f t="shared" si="43"/>
        <v>1044279.0463579143</v>
      </c>
      <c r="V707">
        <f t="shared" si="40"/>
        <v>0</v>
      </c>
      <c r="W707">
        <f t="shared" si="41"/>
        <v>1</v>
      </c>
    </row>
    <row r="708" spans="1:23" x14ac:dyDescent="0.2">
      <c r="A708">
        <v>703</v>
      </c>
      <c r="B708">
        <v>429.30367574593384</v>
      </c>
      <c r="C708">
        <v>2190.9544308947047</v>
      </c>
      <c r="D708">
        <v>1018.5854962102148</v>
      </c>
      <c r="E708">
        <v>929.9318958309907</v>
      </c>
      <c r="F708">
        <v>0.98874550332589695</v>
      </c>
      <c r="G708">
        <v>0.71869152318784901</v>
      </c>
      <c r="H708">
        <v>9.657579593361016E-3</v>
      </c>
      <c r="I708">
        <v>0.17187964651478516</v>
      </c>
      <c r="J708">
        <v>0.53096718671400689</v>
      </c>
      <c r="L708">
        <v>8725.6530043572457</v>
      </c>
      <c r="M708">
        <v>10.089464941464573</v>
      </c>
      <c r="N708">
        <v>9.3583323054481937</v>
      </c>
      <c r="O708">
        <v>17776.244214573097</v>
      </c>
      <c r="P708">
        <v>11.223172086945146</v>
      </c>
      <c r="Q708">
        <v>10.640340758607513</v>
      </c>
      <c r="S708">
        <f t="shared" si="42"/>
        <v>927107.57754046214</v>
      </c>
      <c r="T708">
        <f t="shared" si="43"/>
        <v>1046257.8316461783</v>
      </c>
      <c r="V708">
        <f t="shared" si="40"/>
        <v>0</v>
      </c>
      <c r="W708">
        <f t="shared" si="41"/>
        <v>1</v>
      </c>
    </row>
    <row r="709" spans="1:23" x14ac:dyDescent="0.2">
      <c r="A709">
        <v>704</v>
      </c>
      <c r="B709">
        <v>500.09036912285211</v>
      </c>
      <c r="C709">
        <v>2737.4191810455509</v>
      </c>
      <c r="D709">
        <v>940.14469013704763</v>
      </c>
      <c r="E709">
        <v>995.37031594596954</v>
      </c>
      <c r="F709">
        <v>0.97258676710857772</v>
      </c>
      <c r="G709">
        <v>0.65056644147224618</v>
      </c>
      <c r="H709">
        <v>1.0449053126645406E-2</v>
      </c>
      <c r="I709">
        <v>0.11893553487203551</v>
      </c>
      <c r="J709">
        <v>0.47208129435773072</v>
      </c>
      <c r="L709">
        <v>12246.726136199808</v>
      </c>
      <c r="M709">
        <v>10.5419602947493</v>
      </c>
      <c r="N709">
        <v>9.2995338268144092</v>
      </c>
      <c r="O709">
        <v>19749.80444018104</v>
      </c>
      <c r="P709">
        <v>11.690431058223098</v>
      </c>
      <c r="Q709">
        <v>10.707332913067697</v>
      </c>
      <c r="S709">
        <f t="shared" si="42"/>
        <v>917706.65654524113</v>
      </c>
      <c r="T709">
        <f t="shared" si="43"/>
        <v>1050983.4868665887</v>
      </c>
      <c r="V709">
        <f t="shared" si="40"/>
        <v>0</v>
      </c>
      <c r="W709">
        <f t="shared" si="41"/>
        <v>1</v>
      </c>
    </row>
    <row r="710" spans="1:23" x14ac:dyDescent="0.2">
      <c r="A710">
        <v>705</v>
      </c>
      <c r="B710">
        <v>470.91916572057926</v>
      </c>
      <c r="C710">
        <v>2920.299758524965</v>
      </c>
      <c r="D710">
        <v>1157.3496538127158</v>
      </c>
      <c r="E710">
        <v>782.68544632161513</v>
      </c>
      <c r="F710">
        <v>0.94340654570202254</v>
      </c>
      <c r="G710">
        <v>0.71929804506012585</v>
      </c>
      <c r="H710">
        <v>1.1269095865818852E-2</v>
      </c>
      <c r="I710">
        <v>0.155909778934892</v>
      </c>
      <c r="J710">
        <v>0.5064108013211418</v>
      </c>
      <c r="L710">
        <v>11346.374406073237</v>
      </c>
      <c r="M710">
        <v>9.957809585780776</v>
      </c>
      <c r="N710">
        <v>8.8140743037646274</v>
      </c>
      <c r="O710">
        <v>20861.467483385306</v>
      </c>
      <c r="P710">
        <v>11.157342627346953</v>
      </c>
      <c r="Q710">
        <v>10.09889913895794</v>
      </c>
      <c r="S710">
        <f t="shared" si="42"/>
        <v>870061.05597038951</v>
      </c>
      <c r="T710">
        <f t="shared" si="43"/>
        <v>989028.44641240861</v>
      </c>
      <c r="V710">
        <f t="shared" ref="V710:V773" si="44">IF(S710=MAX($S710:$T710),1,0)</f>
        <v>0</v>
      </c>
      <c r="W710">
        <f t="shared" ref="W710:W773" si="45">IF(T710=MAX($S710:$T710),1,0)</f>
        <v>1</v>
      </c>
    </row>
    <row r="711" spans="1:23" x14ac:dyDescent="0.2">
      <c r="A711">
        <v>706</v>
      </c>
      <c r="B711">
        <v>532.31992897186956</v>
      </c>
      <c r="C711">
        <v>2783.4913471664154</v>
      </c>
      <c r="D711">
        <v>1013.0000249610889</v>
      </c>
      <c r="E711">
        <v>1150.3097444930916</v>
      </c>
      <c r="F711">
        <v>0.97888589377975732</v>
      </c>
      <c r="G711">
        <v>0.68345579364376763</v>
      </c>
      <c r="H711">
        <v>9.6128895745391813E-3</v>
      </c>
      <c r="I711">
        <v>0.15378923411601675</v>
      </c>
      <c r="J711">
        <v>0.52751281943605077</v>
      </c>
      <c r="L711">
        <v>11424.730759265938</v>
      </c>
      <c r="M711">
        <v>10.269453798682745</v>
      </c>
      <c r="N711">
        <v>9.3276871883190946</v>
      </c>
      <c r="O711">
        <v>20110.246310458759</v>
      </c>
      <c r="P711">
        <v>11.363556100824608</v>
      </c>
      <c r="Q711">
        <v>10.591270544108623</v>
      </c>
      <c r="S711">
        <f t="shared" ref="S711:S774" si="46">$T$1*N711-L711</f>
        <v>921343.98807264352</v>
      </c>
      <c r="T711">
        <f t="shared" ref="T711:T774" si="47">$T$1*Q711-O711</f>
        <v>1039016.8081004035</v>
      </c>
      <c r="V711">
        <f t="shared" si="44"/>
        <v>0</v>
      </c>
      <c r="W711">
        <f t="shared" si="45"/>
        <v>1</v>
      </c>
    </row>
    <row r="712" spans="1:23" x14ac:dyDescent="0.2">
      <c r="A712">
        <v>707</v>
      </c>
      <c r="B712">
        <v>660.18582763455299</v>
      </c>
      <c r="C712">
        <v>3696.2397500246266</v>
      </c>
      <c r="D712">
        <v>969.30831508462722</v>
      </c>
      <c r="E712">
        <v>912.44465984652913</v>
      </c>
      <c r="F712">
        <v>0.94749587995054729</v>
      </c>
      <c r="G712">
        <v>0.79047981129080658</v>
      </c>
      <c r="H712">
        <v>9.6319252326895061E-3</v>
      </c>
      <c r="I712">
        <v>0.13972090415118912</v>
      </c>
      <c r="J712">
        <v>0.4963846541544219</v>
      </c>
      <c r="L712">
        <v>15123.367450244092</v>
      </c>
      <c r="M712">
        <v>10.416752096358582</v>
      </c>
      <c r="N712">
        <v>9.4605373132747879</v>
      </c>
      <c r="O712">
        <v>22885.486348306968</v>
      </c>
      <c r="P712">
        <v>11.558627109999019</v>
      </c>
      <c r="Q712">
        <v>10.661884396050144</v>
      </c>
      <c r="S712">
        <f t="shared" si="46"/>
        <v>930930.36387723463</v>
      </c>
      <c r="T712">
        <f t="shared" si="47"/>
        <v>1043302.9532567074</v>
      </c>
      <c r="V712">
        <f t="shared" si="44"/>
        <v>0</v>
      </c>
      <c r="W712">
        <f t="shared" si="45"/>
        <v>1</v>
      </c>
    </row>
    <row r="713" spans="1:23" x14ac:dyDescent="0.2">
      <c r="A713">
        <v>708</v>
      </c>
      <c r="B713">
        <v>381.49091184421115</v>
      </c>
      <c r="C713">
        <v>2801.4607052978245</v>
      </c>
      <c r="D713">
        <v>936.76008433076458</v>
      </c>
      <c r="E713">
        <v>1032.4681695413449</v>
      </c>
      <c r="F713">
        <v>0.90213734424037839</v>
      </c>
      <c r="G713">
        <v>0.80104457916273586</v>
      </c>
      <c r="H713">
        <v>9.7804617216382655E-3</v>
      </c>
      <c r="I713">
        <v>0.1678551041458709</v>
      </c>
      <c r="J713">
        <v>0.56218110319414327</v>
      </c>
      <c r="L713">
        <v>9909.048927153317</v>
      </c>
      <c r="M713">
        <v>10.102020308065821</v>
      </c>
      <c r="N713">
        <v>8.8773611586602943</v>
      </c>
      <c r="O713">
        <v>17629.764258652245</v>
      </c>
      <c r="P713">
        <v>11.133238538014584</v>
      </c>
      <c r="Q713">
        <v>9.8634743185387848</v>
      </c>
      <c r="S713">
        <f t="shared" si="46"/>
        <v>877827.06693887606</v>
      </c>
      <c r="T713">
        <f t="shared" si="47"/>
        <v>968717.6675952262</v>
      </c>
      <c r="V713">
        <f t="shared" si="44"/>
        <v>0</v>
      </c>
      <c r="W713">
        <f t="shared" si="45"/>
        <v>1</v>
      </c>
    </row>
    <row r="714" spans="1:23" x14ac:dyDescent="0.2">
      <c r="A714">
        <v>709</v>
      </c>
      <c r="B714">
        <v>538.61172262954403</v>
      </c>
      <c r="C714">
        <v>3030.1140652209715</v>
      </c>
      <c r="D714">
        <v>844.31948711693315</v>
      </c>
      <c r="E714">
        <v>1024.1440213557034</v>
      </c>
      <c r="F714">
        <v>0.97170444745032358</v>
      </c>
      <c r="G714">
        <v>0.65713596431654864</v>
      </c>
      <c r="H714">
        <v>8.5607938582802825E-3</v>
      </c>
      <c r="I714">
        <v>0.13130493636438334</v>
      </c>
      <c r="J714">
        <v>0.45673624175400385</v>
      </c>
      <c r="L714">
        <v>12525.857676991796</v>
      </c>
      <c r="M714">
        <v>10.713359836565809</v>
      </c>
      <c r="N714">
        <v>9.6009692961680155</v>
      </c>
      <c r="O714">
        <v>19484.773669918322</v>
      </c>
      <c r="P714">
        <v>11.904924021650729</v>
      </c>
      <c r="Q714">
        <v>11.034667050933228</v>
      </c>
      <c r="S714">
        <f t="shared" si="46"/>
        <v>947571.07193980971</v>
      </c>
      <c r="T714">
        <f t="shared" si="47"/>
        <v>1083981.9314234045</v>
      </c>
      <c r="V714">
        <f t="shared" si="44"/>
        <v>0</v>
      </c>
      <c r="W714">
        <f t="shared" si="45"/>
        <v>1</v>
      </c>
    </row>
    <row r="715" spans="1:23" x14ac:dyDescent="0.2">
      <c r="A715">
        <v>710</v>
      </c>
      <c r="B715">
        <v>418.41937431338442</v>
      </c>
      <c r="C715">
        <v>3578.0216023243975</v>
      </c>
      <c r="D715">
        <v>896.4369258251711</v>
      </c>
      <c r="E715">
        <v>1101.2818392493682</v>
      </c>
      <c r="F715">
        <v>0.9487263670477617</v>
      </c>
      <c r="G715">
        <v>0.6058883262403626</v>
      </c>
      <c r="H715">
        <v>1.061268236356035E-2</v>
      </c>
      <c r="I715">
        <v>0.14764972570323676</v>
      </c>
      <c r="J715">
        <v>0.48501256642380625</v>
      </c>
      <c r="L715">
        <v>12951.318154123332</v>
      </c>
      <c r="M715">
        <v>10.15670007451692</v>
      </c>
      <c r="N715">
        <v>8.7379640913620218</v>
      </c>
      <c r="O715">
        <v>19488.76898683513</v>
      </c>
      <c r="P715">
        <v>11.38555610131781</v>
      </c>
      <c r="Q715">
        <v>10.163184389603751</v>
      </c>
      <c r="S715">
        <f t="shared" si="46"/>
        <v>860845.09098207881</v>
      </c>
      <c r="T715">
        <f t="shared" si="47"/>
        <v>996829.66997354</v>
      </c>
      <c r="V715">
        <f t="shared" si="44"/>
        <v>0</v>
      </c>
      <c r="W715">
        <f t="shared" si="45"/>
        <v>1</v>
      </c>
    </row>
    <row r="716" spans="1:23" x14ac:dyDescent="0.2">
      <c r="A716">
        <v>711</v>
      </c>
      <c r="B716">
        <v>671.73592910509399</v>
      </c>
      <c r="C716">
        <v>2397.5837401659328</v>
      </c>
      <c r="D716">
        <v>991.52224843633803</v>
      </c>
      <c r="E716">
        <v>1065.6789568024674</v>
      </c>
      <c r="F716">
        <v>0.95123609075868987</v>
      </c>
      <c r="G716">
        <v>0.83755311628853057</v>
      </c>
      <c r="H716">
        <v>9.6831374311191071E-3</v>
      </c>
      <c r="I716">
        <v>0.11072992950827155</v>
      </c>
      <c r="J716">
        <v>0.51637040099872633</v>
      </c>
      <c r="L716">
        <v>12746.188828174474</v>
      </c>
      <c r="M716">
        <v>10.780506462384928</v>
      </c>
      <c r="N716">
        <v>9.9154235648029019</v>
      </c>
      <c r="O716">
        <v>21381.556983352755</v>
      </c>
      <c r="P716">
        <v>11.751577179195232</v>
      </c>
      <c r="Q716">
        <v>10.933686504818368</v>
      </c>
      <c r="S716">
        <f t="shared" si="46"/>
        <v>978796.16765211569</v>
      </c>
      <c r="T716">
        <f t="shared" si="47"/>
        <v>1071987.0934984842</v>
      </c>
      <c r="V716">
        <f t="shared" si="44"/>
        <v>0</v>
      </c>
      <c r="W716">
        <f t="shared" si="45"/>
        <v>1</v>
      </c>
    </row>
    <row r="717" spans="1:23" x14ac:dyDescent="0.2">
      <c r="A717">
        <v>712</v>
      </c>
      <c r="B717">
        <v>410.40560456082892</v>
      </c>
      <c r="C717">
        <v>3694.5230108895371</v>
      </c>
      <c r="D717">
        <v>867.79939772252874</v>
      </c>
      <c r="E717">
        <v>952.09501254930251</v>
      </c>
      <c r="F717">
        <v>0.97595413161174838</v>
      </c>
      <c r="G717">
        <v>0.72974169450058557</v>
      </c>
      <c r="H717">
        <v>9.1005195492879689E-3</v>
      </c>
      <c r="I717">
        <v>0.14015536491964098</v>
      </c>
      <c r="J717">
        <v>0.48362799879569224</v>
      </c>
      <c r="L717">
        <v>12996.552525967498</v>
      </c>
      <c r="M717">
        <v>10.510180513109542</v>
      </c>
      <c r="N717">
        <v>9.6318931998817394</v>
      </c>
      <c r="O717">
        <v>19401.275259031729</v>
      </c>
      <c r="P717">
        <v>11.676390426798086</v>
      </c>
      <c r="Q717">
        <v>10.963361529339998</v>
      </c>
      <c r="S717">
        <f t="shared" si="46"/>
        <v>950192.76746220642</v>
      </c>
      <c r="T717">
        <f t="shared" si="47"/>
        <v>1076934.8776749682</v>
      </c>
      <c r="V717">
        <f t="shared" si="44"/>
        <v>0</v>
      </c>
      <c r="W717">
        <f t="shared" si="45"/>
        <v>1</v>
      </c>
    </row>
    <row r="718" spans="1:23" x14ac:dyDescent="0.2">
      <c r="A718">
        <v>713</v>
      </c>
      <c r="B718">
        <v>469.28677155637644</v>
      </c>
      <c r="C718">
        <v>2775.2144959412321</v>
      </c>
      <c r="D718">
        <v>1081.7838240167678</v>
      </c>
      <c r="E718">
        <v>833.08525813736435</v>
      </c>
      <c r="F718">
        <v>0.97711098688726017</v>
      </c>
      <c r="G718">
        <v>0.67093816995890165</v>
      </c>
      <c r="H718">
        <v>1.0456821053850294E-2</v>
      </c>
      <c r="I718">
        <v>0.11537629483830929</v>
      </c>
      <c r="J718">
        <v>0.4531223924883408</v>
      </c>
      <c r="L718">
        <v>12206.314617979793</v>
      </c>
      <c r="M718">
        <v>10.591456701438178</v>
      </c>
      <c r="N718">
        <v>9.4267187280505578</v>
      </c>
      <c r="O718">
        <v>20967.474376743659</v>
      </c>
      <c r="P718">
        <v>11.778787838680513</v>
      </c>
      <c r="Q718">
        <v>10.883568225073974</v>
      </c>
      <c r="S718">
        <f t="shared" si="46"/>
        <v>930465.55818707601</v>
      </c>
      <c r="T718">
        <f t="shared" si="47"/>
        <v>1067389.3481306538</v>
      </c>
      <c r="V718">
        <f t="shared" si="44"/>
        <v>0</v>
      </c>
      <c r="W718">
        <f t="shared" si="45"/>
        <v>1</v>
      </c>
    </row>
    <row r="719" spans="1:23" x14ac:dyDescent="0.2">
      <c r="A719">
        <v>714</v>
      </c>
      <c r="B719">
        <v>589.38240821782824</v>
      </c>
      <c r="C719">
        <v>3563.2417723493922</v>
      </c>
      <c r="D719">
        <v>1081.7087556703195</v>
      </c>
      <c r="E719">
        <v>762.66220913244729</v>
      </c>
      <c r="F719">
        <v>0.98703027934666809</v>
      </c>
      <c r="G719">
        <v>0.62473196887239557</v>
      </c>
      <c r="H719">
        <v>9.1393546536214006E-3</v>
      </c>
      <c r="I719">
        <v>0.13195237119857375</v>
      </c>
      <c r="J719">
        <v>0.59520241839837251</v>
      </c>
      <c r="L719">
        <v>14358.331559477472</v>
      </c>
      <c r="M719">
        <v>10.596317504878979</v>
      </c>
      <c r="N719">
        <v>9.5028449050174988</v>
      </c>
      <c r="O719">
        <v>23188.842618206261</v>
      </c>
      <c r="P719">
        <v>11.430055850442569</v>
      </c>
      <c r="Q719">
        <v>10.538560338462538</v>
      </c>
      <c r="S719">
        <f t="shared" si="46"/>
        <v>935926.15894227242</v>
      </c>
      <c r="T719">
        <f t="shared" si="47"/>
        <v>1030667.1912280475</v>
      </c>
      <c r="V719">
        <f t="shared" si="44"/>
        <v>0</v>
      </c>
      <c r="W719">
        <f t="shared" si="45"/>
        <v>1</v>
      </c>
    </row>
    <row r="720" spans="1:23" x14ac:dyDescent="0.2">
      <c r="A720">
        <v>715</v>
      </c>
      <c r="B720">
        <v>549.93483810310886</v>
      </c>
      <c r="C720">
        <v>3195.7462598560205</v>
      </c>
      <c r="D720">
        <v>996.31245812976795</v>
      </c>
      <c r="E720">
        <v>785.63031823356187</v>
      </c>
      <c r="F720">
        <v>0.94442363339849222</v>
      </c>
      <c r="G720">
        <v>0.73195755901013992</v>
      </c>
      <c r="H720">
        <v>1.1111801271423407E-2</v>
      </c>
      <c r="I720">
        <v>0.195398708183116</v>
      </c>
      <c r="J720">
        <v>0.49790881902641632</v>
      </c>
      <c r="L720">
        <v>11480.966066180205</v>
      </c>
      <c r="M720">
        <v>9.6198762894498469</v>
      </c>
      <c r="N720">
        <v>8.6153728996105343</v>
      </c>
      <c r="O720">
        <v>19850.662258848741</v>
      </c>
      <c r="P720">
        <v>10.951658816528536</v>
      </c>
      <c r="Q720">
        <v>9.9993037604348416</v>
      </c>
      <c r="S720">
        <f t="shared" si="46"/>
        <v>850056.32389487326</v>
      </c>
      <c r="T720">
        <f t="shared" si="47"/>
        <v>980079.71378463542</v>
      </c>
      <c r="V720">
        <f t="shared" si="44"/>
        <v>0</v>
      </c>
      <c r="W720">
        <f t="shared" si="45"/>
        <v>1</v>
      </c>
    </row>
    <row r="721" spans="1:23" x14ac:dyDescent="0.2">
      <c r="A721">
        <v>716</v>
      </c>
      <c r="B721">
        <v>363.02150768049751</v>
      </c>
      <c r="C721">
        <v>2755.1979957413037</v>
      </c>
      <c r="D721">
        <v>959.04463351816889</v>
      </c>
      <c r="E721">
        <v>1381.2951515568548</v>
      </c>
      <c r="F721">
        <v>0.97179191968980461</v>
      </c>
      <c r="G721">
        <v>0.72364741486161444</v>
      </c>
      <c r="H721">
        <v>1.1347277076809907E-2</v>
      </c>
      <c r="I721">
        <v>0.14797737603416056</v>
      </c>
      <c r="J721">
        <v>0.4751248232368338</v>
      </c>
      <c r="L721">
        <v>10609.755898754634</v>
      </c>
      <c r="M721">
        <v>10.032913595800196</v>
      </c>
      <c r="N721">
        <v>9.0840393269206512</v>
      </c>
      <c r="O721">
        <v>18077.676203481595</v>
      </c>
      <c r="P721">
        <v>11.310250900437975</v>
      </c>
      <c r="Q721">
        <v>10.517695433731452</v>
      </c>
      <c r="S721">
        <f t="shared" si="46"/>
        <v>897794.17679331056</v>
      </c>
      <c r="T721">
        <f t="shared" si="47"/>
        <v>1033691.8671696635</v>
      </c>
      <c r="V721">
        <f t="shared" si="44"/>
        <v>0</v>
      </c>
      <c r="W721">
        <f t="shared" si="45"/>
        <v>1</v>
      </c>
    </row>
    <row r="722" spans="1:23" x14ac:dyDescent="0.2">
      <c r="A722">
        <v>717</v>
      </c>
      <c r="B722">
        <v>506.59846295567633</v>
      </c>
      <c r="C722">
        <v>2735.2794297954069</v>
      </c>
      <c r="D722">
        <v>947.81465129598234</v>
      </c>
      <c r="E722">
        <v>981.59076783717569</v>
      </c>
      <c r="F722">
        <v>0.92026631358214528</v>
      </c>
      <c r="G722">
        <v>0.77464479513985196</v>
      </c>
      <c r="H722">
        <v>9.2542845528419768E-3</v>
      </c>
      <c r="I722">
        <v>0.17840063681600526</v>
      </c>
      <c r="J722">
        <v>0.61357926891820658</v>
      </c>
      <c r="L722">
        <v>10392.938095053789</v>
      </c>
      <c r="M722">
        <v>10.114368307262627</v>
      </c>
      <c r="N722">
        <v>8.9887166838838795</v>
      </c>
      <c r="O722">
        <v>18548.981206657932</v>
      </c>
      <c r="P722">
        <v>11.008491466723147</v>
      </c>
      <c r="Q722">
        <v>9.8768946541414167</v>
      </c>
      <c r="S722">
        <f t="shared" si="46"/>
        <v>888478.73029333423</v>
      </c>
      <c r="T722">
        <f t="shared" si="47"/>
        <v>969140.48420748371</v>
      </c>
      <c r="V722">
        <f t="shared" si="44"/>
        <v>0</v>
      </c>
      <c r="W722">
        <f t="shared" si="45"/>
        <v>1</v>
      </c>
    </row>
    <row r="723" spans="1:23" x14ac:dyDescent="0.2">
      <c r="A723">
        <v>718</v>
      </c>
      <c r="B723">
        <v>556.38774449831715</v>
      </c>
      <c r="C723">
        <v>3298.4349340424224</v>
      </c>
      <c r="D723">
        <v>993.75242574393064</v>
      </c>
      <c r="E723">
        <v>710.42974035440329</v>
      </c>
      <c r="F723">
        <v>0.96826644776137472</v>
      </c>
      <c r="G723">
        <v>0.83470773540471987</v>
      </c>
      <c r="H723">
        <v>9.328246545060731E-3</v>
      </c>
      <c r="I723">
        <v>0.12965139849169283</v>
      </c>
      <c r="J723">
        <v>0.57226983785358554</v>
      </c>
      <c r="L723">
        <v>13514.119946833727</v>
      </c>
      <c r="M723">
        <v>10.589489375632139</v>
      </c>
      <c r="N723">
        <v>9.8942506758525237</v>
      </c>
      <c r="O723">
        <v>21568.157039679176</v>
      </c>
      <c r="P723">
        <v>11.478809732798618</v>
      </c>
      <c r="Q723">
        <v>10.840637255754455</v>
      </c>
      <c r="S723">
        <f t="shared" si="46"/>
        <v>975910.94763841864</v>
      </c>
      <c r="T723">
        <f t="shared" si="47"/>
        <v>1062495.5685357663</v>
      </c>
      <c r="V723">
        <f t="shared" si="44"/>
        <v>0</v>
      </c>
      <c r="W723">
        <f t="shared" si="45"/>
        <v>1</v>
      </c>
    </row>
    <row r="724" spans="1:23" x14ac:dyDescent="0.2">
      <c r="A724">
        <v>719</v>
      </c>
      <c r="B724">
        <v>413.29277545182066</v>
      </c>
      <c r="C724">
        <v>2387.897792399699</v>
      </c>
      <c r="D724">
        <v>963.47336940121227</v>
      </c>
      <c r="E724">
        <v>987.23869954179099</v>
      </c>
      <c r="F724">
        <v>0.92896133271645243</v>
      </c>
      <c r="G724">
        <v>0.65283967758967187</v>
      </c>
      <c r="H724">
        <v>8.9891386579281952E-3</v>
      </c>
      <c r="I724">
        <v>0.14490663822074062</v>
      </c>
      <c r="J724">
        <v>0.47698002463562228</v>
      </c>
      <c r="L724">
        <v>9575.8356073848954</v>
      </c>
      <c r="M724">
        <v>10.480465959562302</v>
      </c>
      <c r="N724">
        <v>9.05213969179038</v>
      </c>
      <c r="O724">
        <v>18037.279759419882</v>
      </c>
      <c r="P724">
        <v>11.680335288069164</v>
      </c>
      <c r="Q724">
        <v>10.382592130544413</v>
      </c>
      <c r="S724">
        <f t="shared" si="46"/>
        <v>895638.13357165304</v>
      </c>
      <c r="T724">
        <f t="shared" si="47"/>
        <v>1020221.9332950215</v>
      </c>
      <c r="V724">
        <f t="shared" si="44"/>
        <v>0</v>
      </c>
      <c r="W724">
        <f t="shared" si="45"/>
        <v>1</v>
      </c>
    </row>
    <row r="725" spans="1:23" x14ac:dyDescent="0.2">
      <c r="A725">
        <v>720</v>
      </c>
      <c r="B725">
        <v>513.99241252771014</v>
      </c>
      <c r="C725">
        <v>2999.5756111231494</v>
      </c>
      <c r="D725">
        <v>1042.6874394756105</v>
      </c>
      <c r="E725">
        <v>844.29652654324957</v>
      </c>
      <c r="F725">
        <v>0.96643657482274625</v>
      </c>
      <c r="G725">
        <v>0.80781147369664219</v>
      </c>
      <c r="H725">
        <v>1.1137244386430106E-2</v>
      </c>
      <c r="I725">
        <v>0.15048369858458854</v>
      </c>
      <c r="J725">
        <v>0.54803339092118264</v>
      </c>
      <c r="L725">
        <v>12047.653570674223</v>
      </c>
      <c r="M725">
        <v>10.038387307926781</v>
      </c>
      <c r="N725">
        <v>9.283262701196346</v>
      </c>
      <c r="O725">
        <v>20429.438066741426</v>
      </c>
      <c r="P725">
        <v>11.089413736241559</v>
      </c>
      <c r="Q725">
        <v>10.397249531204865</v>
      </c>
      <c r="S725">
        <f t="shared" si="46"/>
        <v>916278.61654896033</v>
      </c>
      <c r="T725">
        <f t="shared" si="47"/>
        <v>1019295.5150537451</v>
      </c>
      <c r="V725">
        <f t="shared" si="44"/>
        <v>0</v>
      </c>
      <c r="W725">
        <f t="shared" si="45"/>
        <v>1</v>
      </c>
    </row>
    <row r="726" spans="1:23" x14ac:dyDescent="0.2">
      <c r="A726">
        <v>721</v>
      </c>
      <c r="B726">
        <v>490.40599220568561</v>
      </c>
      <c r="C726">
        <v>3154.7056821229367</v>
      </c>
      <c r="D726">
        <v>873.43578392028599</v>
      </c>
      <c r="E726">
        <v>583.72509175994935</v>
      </c>
      <c r="F726">
        <v>0.98200999208253359</v>
      </c>
      <c r="G726">
        <v>0.73643695360459216</v>
      </c>
      <c r="H726">
        <v>9.4582364289077688E-3</v>
      </c>
      <c r="I726">
        <v>0.16009780883156488</v>
      </c>
      <c r="J726">
        <v>0.60380620625420589</v>
      </c>
      <c r="L726">
        <v>11571.487680412272</v>
      </c>
      <c r="M726">
        <v>10.236786564977665</v>
      </c>
      <c r="N726">
        <v>9.4692443931406984</v>
      </c>
      <c r="O726">
        <v>18705.110647355508</v>
      </c>
      <c r="P726">
        <v>11.124798368951341</v>
      </c>
      <c r="Q726">
        <v>10.46427216439389</v>
      </c>
      <c r="S726">
        <f t="shared" si="46"/>
        <v>935352.95163365756</v>
      </c>
      <c r="T726">
        <f t="shared" si="47"/>
        <v>1027722.1057920335</v>
      </c>
      <c r="V726">
        <f t="shared" si="44"/>
        <v>0</v>
      </c>
      <c r="W726">
        <f t="shared" si="45"/>
        <v>1</v>
      </c>
    </row>
    <row r="727" spans="1:23" x14ac:dyDescent="0.2">
      <c r="A727">
        <v>722</v>
      </c>
      <c r="B727">
        <v>459.98155744480408</v>
      </c>
      <c r="C727">
        <v>3246.8930736490256</v>
      </c>
      <c r="D727">
        <v>1076.4061190559128</v>
      </c>
      <c r="E727">
        <v>1511.4244502370973</v>
      </c>
      <c r="F727">
        <v>0.90808535070979501</v>
      </c>
      <c r="G727">
        <v>0.75558946694320572</v>
      </c>
      <c r="H727">
        <v>9.8570311638293412E-3</v>
      </c>
      <c r="I727">
        <v>0.14924660744353291</v>
      </c>
      <c r="J727">
        <v>0.60884740574396712</v>
      </c>
      <c r="L727">
        <v>12335.40572867355</v>
      </c>
      <c r="M727">
        <v>10.271513826302991</v>
      </c>
      <c r="N727">
        <v>8.9421480168319079</v>
      </c>
      <c r="O727">
        <v>20986.94297506717</v>
      </c>
      <c r="P727">
        <v>11.127359957282408</v>
      </c>
      <c r="Q727">
        <v>9.7981165863314921</v>
      </c>
      <c r="S727">
        <f t="shared" si="46"/>
        <v>881879.39595451718</v>
      </c>
      <c r="T727">
        <f t="shared" si="47"/>
        <v>958824.71565808204</v>
      </c>
      <c r="V727">
        <f t="shared" si="44"/>
        <v>0</v>
      </c>
      <c r="W727">
        <f t="shared" si="45"/>
        <v>1</v>
      </c>
    </row>
    <row r="728" spans="1:23" x14ac:dyDescent="0.2">
      <c r="A728">
        <v>723</v>
      </c>
      <c r="B728">
        <v>383.34601795887056</v>
      </c>
      <c r="C728">
        <v>4747.6672077516505</v>
      </c>
      <c r="D728">
        <v>836.20412369868779</v>
      </c>
      <c r="E728">
        <v>1065.9269361484758</v>
      </c>
      <c r="F728">
        <v>0.98053592811767643</v>
      </c>
      <c r="G728">
        <v>0.73806077109130563</v>
      </c>
      <c r="H728">
        <v>1.119485386937385E-2</v>
      </c>
      <c r="I728">
        <v>0.13422979902750604</v>
      </c>
      <c r="J728">
        <v>0.511571247974837</v>
      </c>
      <c r="L728">
        <v>16696.158591217834</v>
      </c>
      <c r="M728">
        <v>10.222268469275194</v>
      </c>
      <c r="N728">
        <v>9.335937542964146</v>
      </c>
      <c r="O728">
        <v>21486.54438020907</v>
      </c>
      <c r="P728">
        <v>11.331178243550362</v>
      </c>
      <c r="Q728">
        <v>10.604197467133867</v>
      </c>
      <c r="S728">
        <f t="shared" si="46"/>
        <v>916897.59570519673</v>
      </c>
      <c r="T728">
        <f t="shared" si="47"/>
        <v>1038933.2023331776</v>
      </c>
      <c r="V728">
        <f t="shared" si="44"/>
        <v>0</v>
      </c>
      <c r="W728">
        <f t="shared" si="45"/>
        <v>1</v>
      </c>
    </row>
    <row r="729" spans="1:23" x14ac:dyDescent="0.2">
      <c r="A729">
        <v>724</v>
      </c>
      <c r="B729">
        <v>557.66045637410139</v>
      </c>
      <c r="C729">
        <v>3483.7494220921253</v>
      </c>
      <c r="D729">
        <v>1181.7645221884916</v>
      </c>
      <c r="E729">
        <v>1166.2926659152456</v>
      </c>
      <c r="F729">
        <v>0.97383543016800078</v>
      </c>
      <c r="G729">
        <v>0.79206389269758426</v>
      </c>
      <c r="H729">
        <v>9.600317996908983E-3</v>
      </c>
      <c r="I729">
        <v>0.12405279283563153</v>
      </c>
      <c r="J729">
        <v>0.5605418956088718</v>
      </c>
      <c r="L729">
        <v>14492.889332990941</v>
      </c>
      <c r="M729">
        <v>10.611792710914621</v>
      </c>
      <c r="N729">
        <v>9.8265436109642863</v>
      </c>
      <c r="O729">
        <v>24024.314032243627</v>
      </c>
      <c r="P729">
        <v>11.518474659950527</v>
      </c>
      <c r="Q729">
        <v>10.833273239872641</v>
      </c>
      <c r="S729">
        <f t="shared" si="46"/>
        <v>968161.47176343761</v>
      </c>
      <c r="T729">
        <f t="shared" si="47"/>
        <v>1059303.0099550206</v>
      </c>
      <c r="V729">
        <f t="shared" si="44"/>
        <v>0</v>
      </c>
      <c r="W729">
        <f t="shared" si="45"/>
        <v>1</v>
      </c>
    </row>
    <row r="730" spans="1:23" x14ac:dyDescent="0.2">
      <c r="A730">
        <v>725</v>
      </c>
      <c r="B730">
        <v>327.40184673469901</v>
      </c>
      <c r="C730">
        <v>3133.5343738102906</v>
      </c>
      <c r="D730">
        <v>1009.0706796846409</v>
      </c>
      <c r="E730">
        <v>706.00758037856701</v>
      </c>
      <c r="F730">
        <v>0.94583478806659083</v>
      </c>
      <c r="G730">
        <v>0.86207001562626029</v>
      </c>
      <c r="H730">
        <v>9.8134211993176779E-3</v>
      </c>
      <c r="I730">
        <v>0.17502212804263984</v>
      </c>
      <c r="J730">
        <v>0.50408328290037885</v>
      </c>
      <c r="L730">
        <v>9946.3442486151707</v>
      </c>
      <c r="M730">
        <v>10.031545989350525</v>
      </c>
      <c r="N730">
        <v>9.2977080577432822</v>
      </c>
      <c r="O730">
        <v>18198.238178173397</v>
      </c>
      <c r="P730">
        <v>11.263130968735842</v>
      </c>
      <c r="Q730">
        <v>10.515881300146253</v>
      </c>
      <c r="S730">
        <f t="shared" si="46"/>
        <v>919824.46152571298</v>
      </c>
      <c r="T730">
        <f t="shared" si="47"/>
        <v>1033389.8918364519</v>
      </c>
      <c r="V730">
        <f t="shared" si="44"/>
        <v>0</v>
      </c>
      <c r="W730">
        <f t="shared" si="45"/>
        <v>1</v>
      </c>
    </row>
    <row r="731" spans="1:23" x14ac:dyDescent="0.2">
      <c r="A731">
        <v>726</v>
      </c>
      <c r="B731">
        <v>661.13602927153579</v>
      </c>
      <c r="C731">
        <v>3612.4995439659469</v>
      </c>
      <c r="D731">
        <v>862.92956216028517</v>
      </c>
      <c r="E731">
        <v>870.81409195282731</v>
      </c>
      <c r="F731">
        <v>0.91294630595202519</v>
      </c>
      <c r="G731">
        <v>0.71496639283417796</v>
      </c>
      <c r="H731">
        <v>8.8414580003361356E-3</v>
      </c>
      <c r="I731">
        <v>0.15611039532184245</v>
      </c>
      <c r="J731">
        <v>0.54835165472897351</v>
      </c>
      <c r="L731">
        <v>14119.955042526577</v>
      </c>
      <c r="M731">
        <v>10.397419699167108</v>
      </c>
      <c r="N731">
        <v>9.02763105329268</v>
      </c>
      <c r="O731">
        <v>21273.679626717734</v>
      </c>
      <c r="P731">
        <v>11.417801311894983</v>
      </c>
      <c r="Q731">
        <v>10.079195572934491</v>
      </c>
      <c r="S731">
        <f t="shared" si="46"/>
        <v>888643.15028674144</v>
      </c>
      <c r="T731">
        <f t="shared" si="47"/>
        <v>986645.87766673148</v>
      </c>
      <c r="V731">
        <f t="shared" si="44"/>
        <v>0</v>
      </c>
      <c r="W731">
        <f t="shared" si="45"/>
        <v>1</v>
      </c>
    </row>
    <row r="732" spans="1:23" x14ac:dyDescent="0.2">
      <c r="A732">
        <v>727</v>
      </c>
      <c r="B732">
        <v>488.71346633105236</v>
      </c>
      <c r="C732">
        <v>2861.0044932486571</v>
      </c>
      <c r="D732">
        <v>1090.6457057630901</v>
      </c>
      <c r="E732">
        <v>809.81171963603526</v>
      </c>
      <c r="F732">
        <v>0.95257854248839191</v>
      </c>
      <c r="G732">
        <v>0.7958647226159532</v>
      </c>
      <c r="H732">
        <v>8.5657855777469018E-3</v>
      </c>
      <c r="I732">
        <v>0.18923903917906593</v>
      </c>
      <c r="J732">
        <v>0.52118948914043206</v>
      </c>
      <c r="L732">
        <v>10121.667054531103</v>
      </c>
      <c r="M732">
        <v>10.177456766094515</v>
      </c>
      <c r="N732">
        <v>9.3753971101139353</v>
      </c>
      <c r="O732">
        <v>20034.372814866227</v>
      </c>
      <c r="P732">
        <v>11.352303947248606</v>
      </c>
      <c r="Q732">
        <v>10.584059903311498</v>
      </c>
      <c r="S732">
        <f t="shared" si="46"/>
        <v>927418.04395686253</v>
      </c>
      <c r="T732">
        <f t="shared" si="47"/>
        <v>1038371.6175162836</v>
      </c>
      <c r="V732">
        <f t="shared" si="44"/>
        <v>0</v>
      </c>
      <c r="W732">
        <f t="shared" si="45"/>
        <v>1</v>
      </c>
    </row>
    <row r="733" spans="1:23" x14ac:dyDescent="0.2">
      <c r="A733">
        <v>728</v>
      </c>
      <c r="B733">
        <v>601.82951289588868</v>
      </c>
      <c r="C733">
        <v>3330.7030511741159</v>
      </c>
      <c r="D733">
        <v>1049.2627873037113</v>
      </c>
      <c r="E733">
        <v>872.79022612971619</v>
      </c>
      <c r="F733">
        <v>0.96086612393842818</v>
      </c>
      <c r="G733">
        <v>0.80893409288286522</v>
      </c>
      <c r="H733">
        <v>9.8945687094391319E-3</v>
      </c>
      <c r="I733">
        <v>0.15564872067085356</v>
      </c>
      <c r="J733">
        <v>0.53421818171064517</v>
      </c>
      <c r="L733">
        <v>13195.843750763112</v>
      </c>
      <c r="M733">
        <v>10.198284064210977</v>
      </c>
      <c r="N733">
        <v>9.4248495583678906</v>
      </c>
      <c r="O733">
        <v>21953.527280546397</v>
      </c>
      <c r="P733">
        <v>11.283958867389298</v>
      </c>
      <c r="Q733">
        <v>10.564306492040139</v>
      </c>
      <c r="S733">
        <f t="shared" si="46"/>
        <v>929289.112086026</v>
      </c>
      <c r="T733">
        <f t="shared" si="47"/>
        <v>1034477.1219234675</v>
      </c>
      <c r="V733">
        <f t="shared" si="44"/>
        <v>0</v>
      </c>
      <c r="W733">
        <f t="shared" si="45"/>
        <v>1</v>
      </c>
    </row>
    <row r="734" spans="1:23" x14ac:dyDescent="0.2">
      <c r="A734">
        <v>729</v>
      </c>
      <c r="B734">
        <v>325.10770581062025</v>
      </c>
      <c r="C734">
        <v>2993.6190246343622</v>
      </c>
      <c r="D734">
        <v>854.55422722799426</v>
      </c>
      <c r="E734">
        <v>1366.7347648444143</v>
      </c>
      <c r="F734">
        <v>0.93472563747050563</v>
      </c>
      <c r="G734">
        <v>0.72228653475438043</v>
      </c>
      <c r="H734">
        <v>9.1444342620610186E-3</v>
      </c>
      <c r="I734">
        <v>0.1332459034134103</v>
      </c>
      <c r="J734">
        <v>0.52516945580206775</v>
      </c>
      <c r="L734">
        <v>10920.539992504149</v>
      </c>
      <c r="M734">
        <v>10.580213686977379</v>
      </c>
      <c r="N734">
        <v>9.3320974635845424</v>
      </c>
      <c r="O734">
        <v>17485.465174280886</v>
      </c>
      <c r="P734">
        <v>11.603569179187337</v>
      </c>
      <c r="Q734">
        <v>10.442024896995916</v>
      </c>
      <c r="S734">
        <f t="shared" si="46"/>
        <v>922289.20636595006</v>
      </c>
      <c r="T734">
        <f t="shared" si="47"/>
        <v>1026717.0245253106</v>
      </c>
      <c r="V734">
        <f t="shared" si="44"/>
        <v>0</v>
      </c>
      <c r="W734">
        <f t="shared" si="45"/>
        <v>1</v>
      </c>
    </row>
    <row r="735" spans="1:23" x14ac:dyDescent="0.2">
      <c r="A735">
        <v>730</v>
      </c>
      <c r="B735">
        <v>379.1634748107864</v>
      </c>
      <c r="C735">
        <v>3368.4609977219325</v>
      </c>
      <c r="D735">
        <v>919.84727856560357</v>
      </c>
      <c r="E735">
        <v>1113.0202750557819</v>
      </c>
      <c r="F735">
        <v>0.96035045518565298</v>
      </c>
      <c r="G735">
        <v>0.7947940657480459</v>
      </c>
      <c r="H735">
        <v>1.1417791810583465E-2</v>
      </c>
      <c r="I735">
        <v>0.14585239411760798</v>
      </c>
      <c r="J735">
        <v>0.55258086780379156</v>
      </c>
      <c r="L735">
        <v>12363.193149810935</v>
      </c>
      <c r="M735">
        <v>10.046306668923437</v>
      </c>
      <c r="N735">
        <v>9.1986306939004301</v>
      </c>
      <c r="O735">
        <v>19052.08648419688</v>
      </c>
      <c r="P735">
        <v>11.073979778818604</v>
      </c>
      <c r="Q735">
        <v>10.288708183742234</v>
      </c>
      <c r="S735">
        <f t="shared" si="46"/>
        <v>907499.87624023214</v>
      </c>
      <c r="T735">
        <f t="shared" si="47"/>
        <v>1009818.7318900265</v>
      </c>
      <c r="V735">
        <f t="shared" si="44"/>
        <v>0</v>
      </c>
      <c r="W735">
        <f t="shared" si="45"/>
        <v>1</v>
      </c>
    </row>
    <row r="736" spans="1:23" x14ac:dyDescent="0.2">
      <c r="A736">
        <v>731</v>
      </c>
      <c r="B736">
        <v>402.0823684893478</v>
      </c>
      <c r="C736">
        <v>2251.310500493058</v>
      </c>
      <c r="D736">
        <v>996.43380958612488</v>
      </c>
      <c r="E736">
        <v>1185.193414328925</v>
      </c>
      <c r="F736">
        <v>0.91560190494709959</v>
      </c>
      <c r="G736">
        <v>0.61353505501047323</v>
      </c>
      <c r="H736">
        <v>1.0358623529526845E-2</v>
      </c>
      <c r="I736">
        <v>0.13476500981282091</v>
      </c>
      <c r="J736">
        <v>0.41359805488630752</v>
      </c>
      <c r="L736">
        <v>9673.4059191033575</v>
      </c>
      <c r="M736">
        <v>10.34936923309532</v>
      </c>
      <c r="N736">
        <v>8.6470989805293694</v>
      </c>
      <c r="O736">
        <v>18228.218910811669</v>
      </c>
      <c r="P736">
        <v>11.754555019330317</v>
      </c>
      <c r="Q736">
        <v>10.228691277321854</v>
      </c>
      <c r="S736">
        <f t="shared" si="46"/>
        <v>855036.49213383358</v>
      </c>
      <c r="T736">
        <f t="shared" si="47"/>
        <v>1004640.9088213737</v>
      </c>
      <c r="V736">
        <f t="shared" si="44"/>
        <v>0</v>
      </c>
      <c r="W736">
        <f t="shared" si="45"/>
        <v>1</v>
      </c>
    </row>
    <row r="737" spans="1:23" x14ac:dyDescent="0.2">
      <c r="A737">
        <v>732</v>
      </c>
      <c r="B737">
        <v>444.88022280480573</v>
      </c>
      <c r="C737">
        <v>2028.1410090839793</v>
      </c>
      <c r="D737">
        <v>935.34141003816831</v>
      </c>
      <c r="E737">
        <v>832.44036664922635</v>
      </c>
      <c r="F737">
        <v>0.94905071860494394</v>
      </c>
      <c r="G737">
        <v>0.73776071246949404</v>
      </c>
      <c r="H737">
        <v>1.004258769473809E-2</v>
      </c>
      <c r="I737">
        <v>0.15475753222332966</v>
      </c>
      <c r="J737">
        <v>0.49864360494354953</v>
      </c>
      <c r="L737">
        <v>8788.1541187044586</v>
      </c>
      <c r="M737">
        <v>10.180371416208331</v>
      </c>
      <c r="N737">
        <v>9.1360689687673275</v>
      </c>
      <c r="O737">
        <v>17086.515396310253</v>
      </c>
      <c r="P737">
        <v>11.376435474709387</v>
      </c>
      <c r="Q737">
        <v>10.420199708080737</v>
      </c>
      <c r="S737">
        <f t="shared" si="46"/>
        <v>904818.74275802821</v>
      </c>
      <c r="T737">
        <f t="shared" si="47"/>
        <v>1024933.4554117635</v>
      </c>
      <c r="V737">
        <f t="shared" si="44"/>
        <v>0</v>
      </c>
      <c r="W737">
        <f t="shared" si="45"/>
        <v>1</v>
      </c>
    </row>
    <row r="738" spans="1:23" x14ac:dyDescent="0.2">
      <c r="A738">
        <v>733</v>
      </c>
      <c r="B738">
        <v>463.1913744413726</v>
      </c>
      <c r="C738">
        <v>2665.0140978903983</v>
      </c>
      <c r="D738">
        <v>937.63726831421195</v>
      </c>
      <c r="E738">
        <v>751.77740724737112</v>
      </c>
      <c r="F738">
        <v>0.96359904805091712</v>
      </c>
      <c r="G738">
        <v>0.55484257258908498</v>
      </c>
      <c r="H738">
        <v>8.6580668427438615E-3</v>
      </c>
      <c r="I738">
        <v>0.12337765815656475</v>
      </c>
      <c r="J738">
        <v>0.45643688384933995</v>
      </c>
      <c r="L738">
        <v>11146.780791208817</v>
      </c>
      <c r="M738">
        <v>10.789114592515551</v>
      </c>
      <c r="N738">
        <v>9.3009320296220892</v>
      </c>
      <c r="O738">
        <v>19138.010965184618</v>
      </c>
      <c r="P738">
        <v>11.950531890434005</v>
      </c>
      <c r="Q738">
        <v>10.793352638108615</v>
      </c>
      <c r="S738">
        <f t="shared" si="46"/>
        <v>918946.42217100004</v>
      </c>
      <c r="T738">
        <f t="shared" si="47"/>
        <v>1060197.2528456771</v>
      </c>
      <c r="V738">
        <f t="shared" si="44"/>
        <v>0</v>
      </c>
      <c r="W738">
        <f t="shared" si="45"/>
        <v>1</v>
      </c>
    </row>
    <row r="739" spans="1:23" x14ac:dyDescent="0.2">
      <c r="A739">
        <v>734</v>
      </c>
      <c r="B739">
        <v>609.45374823884129</v>
      </c>
      <c r="C739">
        <v>2937.8730747935251</v>
      </c>
      <c r="D739">
        <v>853.7182714910083</v>
      </c>
      <c r="E739">
        <v>950.47387985719342</v>
      </c>
      <c r="F739">
        <v>0.95921555971047434</v>
      </c>
      <c r="G739">
        <v>0.65741769081304591</v>
      </c>
      <c r="H739">
        <v>9.7628546542514391E-3</v>
      </c>
      <c r="I739">
        <v>0.19568345955630018</v>
      </c>
      <c r="J739">
        <v>0.55671175641447634</v>
      </c>
      <c r="L739">
        <v>11303.222383398061</v>
      </c>
      <c r="M739">
        <v>9.8741508916133611</v>
      </c>
      <c r="N739">
        <v>8.8370490751360418</v>
      </c>
      <c r="O739">
        <v>18726.571549666372</v>
      </c>
      <c r="P739">
        <v>10.981665406662295</v>
      </c>
      <c r="Q739">
        <v>10.050653847693908</v>
      </c>
      <c r="S739">
        <f t="shared" si="46"/>
        <v>872401.68513020605</v>
      </c>
      <c r="T739">
        <f t="shared" si="47"/>
        <v>986338.81321972446</v>
      </c>
      <c r="V739">
        <f t="shared" si="44"/>
        <v>0</v>
      </c>
      <c r="W739">
        <f t="shared" si="45"/>
        <v>1</v>
      </c>
    </row>
    <row r="740" spans="1:23" x14ac:dyDescent="0.2">
      <c r="A740">
        <v>735</v>
      </c>
      <c r="B740">
        <v>403.03464548544252</v>
      </c>
      <c r="C740">
        <v>3723.759440761698</v>
      </c>
      <c r="D740">
        <v>824.79233397905671</v>
      </c>
      <c r="E740">
        <v>748.20196723143681</v>
      </c>
      <c r="F740">
        <v>0.92067906427212065</v>
      </c>
      <c r="G740">
        <v>0.76098110385564288</v>
      </c>
      <c r="H740">
        <v>9.4888224474661588E-3</v>
      </c>
      <c r="I740">
        <v>0.16409350532978917</v>
      </c>
      <c r="J740">
        <v>0.56664339888720694</v>
      </c>
      <c r="L740">
        <v>12169.347701144445</v>
      </c>
      <c r="M740">
        <v>10.193103286587164</v>
      </c>
      <c r="N740">
        <v>9.0107266200085085</v>
      </c>
      <c r="O740">
        <v>18427.106142884972</v>
      </c>
      <c r="P740">
        <v>11.196280657932608</v>
      </c>
      <c r="Q740">
        <v>10.022777752251745</v>
      </c>
      <c r="S740">
        <f t="shared" si="46"/>
        <v>888903.31429970649</v>
      </c>
      <c r="T740">
        <f t="shared" si="47"/>
        <v>983850.66908228956</v>
      </c>
      <c r="V740">
        <f t="shared" si="44"/>
        <v>0</v>
      </c>
      <c r="W740">
        <f t="shared" si="45"/>
        <v>1</v>
      </c>
    </row>
    <row r="741" spans="1:23" x14ac:dyDescent="0.2">
      <c r="A741">
        <v>736</v>
      </c>
      <c r="B741">
        <v>599.74453612228456</v>
      </c>
      <c r="C741">
        <v>2251.4031912308128</v>
      </c>
      <c r="D741">
        <v>1046.4059389799313</v>
      </c>
      <c r="E741">
        <v>648.30938089931772</v>
      </c>
      <c r="F741">
        <v>0.98571589054437991</v>
      </c>
      <c r="G741">
        <v>0.83822262492772504</v>
      </c>
      <c r="H741">
        <v>1.0413858597531373E-2</v>
      </c>
      <c r="I741">
        <v>0.1390037823669798</v>
      </c>
      <c r="J741">
        <v>0.51097157925139114</v>
      </c>
      <c r="L741">
        <v>10871.260703747361</v>
      </c>
      <c r="M741">
        <v>10.289239202465014</v>
      </c>
      <c r="N741">
        <v>9.7442422139793123</v>
      </c>
      <c r="O741">
        <v>20138.437589828838</v>
      </c>
      <c r="P741">
        <v>11.402927753814666</v>
      </c>
      <c r="Q741">
        <v>10.949989444863846</v>
      </c>
      <c r="S741">
        <f t="shared" si="46"/>
        <v>963552.96069418383</v>
      </c>
      <c r="T741">
        <f t="shared" si="47"/>
        <v>1074860.5068965557</v>
      </c>
      <c r="V741">
        <f t="shared" si="44"/>
        <v>0</v>
      </c>
      <c r="W741">
        <f t="shared" si="45"/>
        <v>1</v>
      </c>
    </row>
    <row r="742" spans="1:23" x14ac:dyDescent="0.2">
      <c r="A742">
        <v>737</v>
      </c>
      <c r="B742">
        <v>742.29559307946442</v>
      </c>
      <c r="C742">
        <v>2737.1654527524424</v>
      </c>
      <c r="D742">
        <v>1073.8002766373427</v>
      </c>
      <c r="E742">
        <v>795.19959782442777</v>
      </c>
      <c r="F742">
        <v>0.97596408013221714</v>
      </c>
      <c r="G742">
        <v>0.82229110136586192</v>
      </c>
      <c r="H742">
        <v>1.2218414744491419E-2</v>
      </c>
      <c r="I742">
        <v>0.14076562596249206</v>
      </c>
      <c r="J742">
        <v>0.47981859772965629</v>
      </c>
      <c r="L742">
        <v>13406.996391798426</v>
      </c>
      <c r="M742">
        <v>9.9871984633234892</v>
      </c>
      <c r="N742">
        <v>9.3099708146186142</v>
      </c>
      <c r="O742">
        <v>22531.411607569844</v>
      </c>
      <c r="P742">
        <v>11.236752410556333</v>
      </c>
      <c r="Q742">
        <v>10.650636106659071</v>
      </c>
      <c r="S742">
        <f t="shared" si="46"/>
        <v>917590.08507006301</v>
      </c>
      <c r="T742">
        <f t="shared" si="47"/>
        <v>1042532.1990583373</v>
      </c>
      <c r="V742">
        <f t="shared" si="44"/>
        <v>0</v>
      </c>
      <c r="W742">
        <f t="shared" si="45"/>
        <v>1</v>
      </c>
    </row>
    <row r="743" spans="1:23" x14ac:dyDescent="0.2">
      <c r="A743">
        <v>738</v>
      </c>
      <c r="B743">
        <v>493.40439222672586</v>
      </c>
      <c r="C743">
        <v>3083.5863161787506</v>
      </c>
      <c r="D743">
        <v>1008.9764114730822</v>
      </c>
      <c r="E743">
        <v>883.95600979671315</v>
      </c>
      <c r="F743">
        <v>0.93281046465797923</v>
      </c>
      <c r="G743">
        <v>0.79594064577287793</v>
      </c>
      <c r="H743">
        <v>9.158116100523063E-3</v>
      </c>
      <c r="I743">
        <v>0.1743599188853</v>
      </c>
      <c r="J743">
        <v>0.46544007557552713</v>
      </c>
      <c r="L743">
        <v>11099.203284530431</v>
      </c>
      <c r="M743">
        <v>10.168049957936061</v>
      </c>
      <c r="N743">
        <v>9.1815172294169631</v>
      </c>
      <c r="O743">
        <v>19900.63974775685</v>
      </c>
      <c r="P743">
        <v>11.506216296384215</v>
      </c>
      <c r="Q743">
        <v>10.526952698902109</v>
      </c>
      <c r="S743">
        <f t="shared" si="46"/>
        <v>907052.51965716586</v>
      </c>
      <c r="T743">
        <f t="shared" si="47"/>
        <v>1032794.6301424539</v>
      </c>
      <c r="V743">
        <f t="shared" si="44"/>
        <v>0</v>
      </c>
      <c r="W743">
        <f t="shared" si="45"/>
        <v>1</v>
      </c>
    </row>
    <row r="744" spans="1:23" x14ac:dyDescent="0.2">
      <c r="A744">
        <v>739</v>
      </c>
      <c r="B744">
        <v>420.76620800013626</v>
      </c>
      <c r="C744">
        <v>2477.4378193920043</v>
      </c>
      <c r="D744">
        <v>1037.1555502970371</v>
      </c>
      <c r="E744">
        <v>932.57999197673712</v>
      </c>
      <c r="F744">
        <v>0.9842845212760154</v>
      </c>
      <c r="G744">
        <v>0.66448926818726006</v>
      </c>
      <c r="H744">
        <v>1.0258342756278535E-2</v>
      </c>
      <c r="I744">
        <v>0.12045716159781382</v>
      </c>
      <c r="J744">
        <v>0.52166950633452314</v>
      </c>
      <c r="L744">
        <v>10768.501090455906</v>
      </c>
      <c r="M744">
        <v>10.550887288445427</v>
      </c>
      <c r="N744">
        <v>9.4519301548847725</v>
      </c>
      <c r="O744">
        <v>19276.446368544868</v>
      </c>
      <c r="P744">
        <v>11.560928110173752</v>
      </c>
      <c r="Q744">
        <v>10.695063143297265</v>
      </c>
      <c r="S744">
        <f t="shared" si="46"/>
        <v>934424.51439802139</v>
      </c>
      <c r="T744">
        <f t="shared" si="47"/>
        <v>1050229.8679611816</v>
      </c>
      <c r="V744">
        <f t="shared" si="44"/>
        <v>0</v>
      </c>
      <c r="W744">
        <f t="shared" si="45"/>
        <v>1</v>
      </c>
    </row>
    <row r="745" spans="1:23" x14ac:dyDescent="0.2">
      <c r="A745">
        <v>740</v>
      </c>
      <c r="B745">
        <v>494.58989736761794</v>
      </c>
      <c r="C745">
        <v>2501.9503754480775</v>
      </c>
      <c r="D745">
        <v>986.19505748554673</v>
      </c>
      <c r="E745">
        <v>917.12551500208872</v>
      </c>
      <c r="F745">
        <v>0.97193505214165321</v>
      </c>
      <c r="G745">
        <v>0.80637701286998087</v>
      </c>
      <c r="H745">
        <v>9.8647073888964709E-3</v>
      </c>
      <c r="I745">
        <v>0.15755848232859093</v>
      </c>
      <c r="J745">
        <v>0.43201012226097429</v>
      </c>
      <c r="L745">
        <v>10291.364949653158</v>
      </c>
      <c r="M745">
        <v>10.184620172209897</v>
      </c>
      <c r="N745">
        <v>9.4945497537489487</v>
      </c>
      <c r="O745">
        <v>19057.096786576669</v>
      </c>
      <c r="P745">
        <v>11.605834184195484</v>
      </c>
      <c r="Q745">
        <v>11.014331395294871</v>
      </c>
      <c r="S745">
        <f t="shared" si="46"/>
        <v>939163.61042524176</v>
      </c>
      <c r="T745">
        <f t="shared" si="47"/>
        <v>1082376.0427429106</v>
      </c>
      <c r="V745">
        <f t="shared" si="44"/>
        <v>0</v>
      </c>
      <c r="W745">
        <f t="shared" si="45"/>
        <v>1</v>
      </c>
    </row>
    <row r="746" spans="1:23" x14ac:dyDescent="0.2">
      <c r="A746">
        <v>741</v>
      </c>
      <c r="B746">
        <v>532.11126527018598</v>
      </c>
      <c r="C746">
        <v>3297.0023241385802</v>
      </c>
      <c r="D746">
        <v>1091.2252227548126</v>
      </c>
      <c r="E746">
        <v>1741.8017101688447</v>
      </c>
      <c r="F746">
        <v>0.92083952165409755</v>
      </c>
      <c r="G746">
        <v>0.73326056790868055</v>
      </c>
      <c r="H746">
        <v>1.0285381928630126E-2</v>
      </c>
      <c r="I746">
        <v>0.16767613626089461</v>
      </c>
      <c r="J746">
        <v>0.53636769582597466</v>
      </c>
      <c r="L746">
        <v>12613.306463727622</v>
      </c>
      <c r="M746">
        <v>10.009360741339302</v>
      </c>
      <c r="N746">
        <v>8.7698607922927412</v>
      </c>
      <c r="O746">
        <v>21579.203120782695</v>
      </c>
      <c r="P746">
        <v>11.12886454867234</v>
      </c>
      <c r="Q746">
        <v>9.9126411175073539</v>
      </c>
      <c r="S746">
        <f t="shared" si="46"/>
        <v>864372.77276554646</v>
      </c>
      <c r="T746">
        <f t="shared" si="47"/>
        <v>969684.9086299527</v>
      </c>
      <c r="V746">
        <f t="shared" si="44"/>
        <v>0</v>
      </c>
      <c r="W746">
        <f t="shared" si="45"/>
        <v>1</v>
      </c>
    </row>
    <row r="747" spans="1:23" x14ac:dyDescent="0.2">
      <c r="A747">
        <v>742</v>
      </c>
      <c r="B747">
        <v>331.1365445084511</v>
      </c>
      <c r="C747">
        <v>3203.7119796332927</v>
      </c>
      <c r="D747">
        <v>921.2491248314634</v>
      </c>
      <c r="E747">
        <v>894.55445986993107</v>
      </c>
      <c r="F747">
        <v>0.98628704777793397</v>
      </c>
      <c r="G747">
        <v>0.84579823055688297</v>
      </c>
      <c r="H747">
        <v>1.0621470723759316E-2</v>
      </c>
      <c r="I747">
        <v>0.11318699770647331</v>
      </c>
      <c r="J747">
        <v>0.48436577031694861</v>
      </c>
      <c r="L747">
        <v>12619.741178453165</v>
      </c>
      <c r="M747">
        <v>10.598607530702706</v>
      </c>
      <c r="N747">
        <v>10.022889646681731</v>
      </c>
      <c r="O747">
        <v>19079.473365760994</v>
      </c>
      <c r="P747">
        <v>11.688069399597477</v>
      </c>
      <c r="Q747">
        <v>11.223792591892446</v>
      </c>
      <c r="S747">
        <f t="shared" si="46"/>
        <v>989669.22348971991</v>
      </c>
      <c r="T747">
        <f t="shared" si="47"/>
        <v>1103299.7858234835</v>
      </c>
      <c r="V747">
        <f t="shared" si="44"/>
        <v>0</v>
      </c>
      <c r="W747">
        <f t="shared" si="45"/>
        <v>1</v>
      </c>
    </row>
    <row r="748" spans="1:23" x14ac:dyDescent="0.2">
      <c r="A748">
        <v>743</v>
      </c>
      <c r="B748">
        <v>485.04432497827145</v>
      </c>
      <c r="C748">
        <v>3718.5828889643071</v>
      </c>
      <c r="D748">
        <v>1040.328713567651</v>
      </c>
      <c r="E748">
        <v>1082.3733347745622</v>
      </c>
      <c r="F748">
        <v>0.95179454722541768</v>
      </c>
      <c r="G748">
        <v>0.73250531125574037</v>
      </c>
      <c r="H748">
        <v>1.0885907866175196E-2</v>
      </c>
      <c r="I748">
        <v>0.18396373079966089</v>
      </c>
      <c r="J748">
        <v>0.46821384164218494</v>
      </c>
      <c r="L748">
        <v>12587.665022179825</v>
      </c>
      <c r="M748">
        <v>9.7547302688790509</v>
      </c>
      <c r="N748">
        <v>8.7826201947035614</v>
      </c>
      <c r="O748">
        <v>20878.371540412405</v>
      </c>
      <c r="P748">
        <v>11.159908155751454</v>
      </c>
      <c r="Q748">
        <v>10.268544758931888</v>
      </c>
      <c r="S748">
        <f t="shared" si="46"/>
        <v>865674.35444817634</v>
      </c>
      <c r="T748">
        <f t="shared" si="47"/>
        <v>1005976.1043527764</v>
      </c>
      <c r="V748">
        <f t="shared" si="44"/>
        <v>0</v>
      </c>
      <c r="W748">
        <f t="shared" si="45"/>
        <v>1</v>
      </c>
    </row>
    <row r="749" spans="1:23" x14ac:dyDescent="0.2">
      <c r="A749">
        <v>744</v>
      </c>
      <c r="B749">
        <v>534.88832208677729</v>
      </c>
      <c r="C749">
        <v>3601.8666542089231</v>
      </c>
      <c r="D749">
        <v>950.49803129606573</v>
      </c>
      <c r="E749">
        <v>895.60311457145463</v>
      </c>
      <c r="F749">
        <v>0.92737217396747262</v>
      </c>
      <c r="G749">
        <v>0.68075736665928155</v>
      </c>
      <c r="H749">
        <v>9.3537199159176888E-3</v>
      </c>
      <c r="I749">
        <v>0.14442827098644268</v>
      </c>
      <c r="J749">
        <v>0.50355057621425181</v>
      </c>
      <c r="L749">
        <v>13637.25295072251</v>
      </c>
      <c r="M749">
        <v>10.415895115486022</v>
      </c>
      <c r="N749">
        <v>9.0370806277535412</v>
      </c>
      <c r="O749">
        <v>21180.155049857403</v>
      </c>
      <c r="P749">
        <v>11.54536660431798</v>
      </c>
      <c r="Q749">
        <v>10.264226582312217</v>
      </c>
      <c r="S749">
        <f t="shared" si="46"/>
        <v>890070.80982463167</v>
      </c>
      <c r="T749">
        <f t="shared" si="47"/>
        <v>1005242.5031813643</v>
      </c>
      <c r="V749">
        <f t="shared" si="44"/>
        <v>0</v>
      </c>
      <c r="W749">
        <f t="shared" si="45"/>
        <v>1</v>
      </c>
    </row>
    <row r="750" spans="1:23" x14ac:dyDescent="0.2">
      <c r="A750">
        <v>745</v>
      </c>
      <c r="B750">
        <v>432.65871064201605</v>
      </c>
      <c r="C750">
        <v>3085.6104181737564</v>
      </c>
      <c r="D750">
        <v>981.89405423307937</v>
      </c>
      <c r="E750">
        <v>913.5128988474537</v>
      </c>
      <c r="F750">
        <v>0.92508740557589675</v>
      </c>
      <c r="G750">
        <v>0.86333896177177516</v>
      </c>
      <c r="H750">
        <v>8.9792759091848733E-3</v>
      </c>
      <c r="I750">
        <v>0.14208839621613489</v>
      </c>
      <c r="J750">
        <v>0.44858127993195596</v>
      </c>
      <c r="L750">
        <v>11519.89057364323</v>
      </c>
      <c r="M750">
        <v>10.512369958917073</v>
      </c>
      <c r="N750">
        <v>9.5701627790242281</v>
      </c>
      <c r="O750">
        <v>19648.33975905339</v>
      </c>
      <c r="P750">
        <v>11.788623113079765</v>
      </c>
      <c r="Q750">
        <v>10.803577404394211</v>
      </c>
      <c r="S750">
        <f t="shared" si="46"/>
        <v>945496.38732877956</v>
      </c>
      <c r="T750">
        <f t="shared" si="47"/>
        <v>1060709.4006803676</v>
      </c>
      <c r="V750">
        <f t="shared" si="44"/>
        <v>0</v>
      </c>
      <c r="W750">
        <f t="shared" si="45"/>
        <v>1</v>
      </c>
    </row>
    <row r="751" spans="1:23" x14ac:dyDescent="0.2">
      <c r="A751">
        <v>746</v>
      </c>
      <c r="B751">
        <v>301.9279734316176</v>
      </c>
      <c r="C751">
        <v>2093.5811666812506</v>
      </c>
      <c r="D751">
        <v>1003.63365052578</v>
      </c>
      <c r="E751">
        <v>901.25682481800334</v>
      </c>
      <c r="F751">
        <v>0.96838590719809248</v>
      </c>
      <c r="G751">
        <v>0.83717954108782244</v>
      </c>
      <c r="H751">
        <v>8.3848416376896308E-3</v>
      </c>
      <c r="I751">
        <v>0.12993543171326685</v>
      </c>
      <c r="J751">
        <v>0.56805544144621034</v>
      </c>
      <c r="L751">
        <v>8145.1466305326458</v>
      </c>
      <c r="M751">
        <v>10.763536300735389</v>
      </c>
      <c r="N751">
        <v>10.086755933693738</v>
      </c>
      <c r="O751">
        <v>16938.682789014249</v>
      </c>
      <c r="P751">
        <v>11.642745013397324</v>
      </c>
      <c r="Q751">
        <v>11.022678270414533</v>
      </c>
      <c r="S751">
        <f t="shared" si="46"/>
        <v>1000530.446738841</v>
      </c>
      <c r="T751">
        <f t="shared" si="47"/>
        <v>1085329.144252439</v>
      </c>
      <c r="V751">
        <f t="shared" si="44"/>
        <v>0</v>
      </c>
      <c r="W751">
        <f t="shared" si="45"/>
        <v>1</v>
      </c>
    </row>
    <row r="752" spans="1:23" x14ac:dyDescent="0.2">
      <c r="A752">
        <v>747</v>
      </c>
      <c r="B752">
        <v>465.61069310302503</v>
      </c>
      <c r="C752">
        <v>4009.5032971883061</v>
      </c>
      <c r="D752">
        <v>1144.2194468500179</v>
      </c>
      <c r="E752">
        <v>990.56098707617991</v>
      </c>
      <c r="F752">
        <v>0.93681561758906418</v>
      </c>
      <c r="G752">
        <v>0.74936029589701936</v>
      </c>
      <c r="H752">
        <v>1.1987134518312919E-2</v>
      </c>
      <c r="I752">
        <v>0.16510357991077973</v>
      </c>
      <c r="J752">
        <v>0.48543211919999502</v>
      </c>
      <c r="L752">
        <v>13996.284699898624</v>
      </c>
      <c r="M752">
        <v>9.7469034718310823</v>
      </c>
      <c r="N752">
        <v>8.6528352506011714</v>
      </c>
      <c r="O752">
        <v>22558.989926933285</v>
      </c>
      <c r="P752">
        <v>11.056925326203965</v>
      </c>
      <c r="Q752">
        <v>10.010245390211644</v>
      </c>
      <c r="S752">
        <f t="shared" si="46"/>
        <v>851287.24036021845</v>
      </c>
      <c r="T752">
        <f t="shared" si="47"/>
        <v>978465.5490942311</v>
      </c>
      <c r="V752">
        <f t="shared" si="44"/>
        <v>0</v>
      </c>
      <c r="W752">
        <f t="shared" si="45"/>
        <v>1</v>
      </c>
    </row>
    <row r="753" spans="1:23" x14ac:dyDescent="0.2">
      <c r="A753">
        <v>748</v>
      </c>
      <c r="B753">
        <v>536.18975313878855</v>
      </c>
      <c r="C753">
        <v>3020.5025310729438</v>
      </c>
      <c r="D753">
        <v>914.09893434274375</v>
      </c>
      <c r="E753">
        <v>1209.0689686001135</v>
      </c>
      <c r="F753">
        <v>0.9710546955319459</v>
      </c>
      <c r="G753">
        <v>0.82311978300520283</v>
      </c>
      <c r="H753">
        <v>1.1377178092986565E-2</v>
      </c>
      <c r="I753">
        <v>0.12844783147306216</v>
      </c>
      <c r="J753">
        <v>0.48172468659785123</v>
      </c>
      <c r="L753">
        <v>13235.421875651728</v>
      </c>
      <c r="M753">
        <v>10.270116042357868</v>
      </c>
      <c r="N753">
        <v>9.5396967003484168</v>
      </c>
      <c r="O753">
        <v>20215.823233737985</v>
      </c>
      <c r="P753">
        <v>11.450544398031102</v>
      </c>
      <c r="Q753">
        <v>10.809672350759792</v>
      </c>
      <c r="S753">
        <f t="shared" si="46"/>
        <v>940734.24815918994</v>
      </c>
      <c r="T753">
        <f t="shared" si="47"/>
        <v>1060751.4118422412</v>
      </c>
      <c r="V753">
        <f t="shared" si="44"/>
        <v>0</v>
      </c>
      <c r="W753">
        <f t="shared" si="45"/>
        <v>1</v>
      </c>
    </row>
    <row r="754" spans="1:23" x14ac:dyDescent="0.2">
      <c r="A754">
        <v>749</v>
      </c>
      <c r="B754">
        <v>394.41919100248123</v>
      </c>
      <c r="C754">
        <v>2419.28675665422</v>
      </c>
      <c r="D754">
        <v>1015.83075329581</v>
      </c>
      <c r="E754">
        <v>1156.0450658203358</v>
      </c>
      <c r="F754">
        <v>0.95568167713527208</v>
      </c>
      <c r="G754">
        <v>0.71970508914524833</v>
      </c>
      <c r="H754">
        <v>8.8129532480073665E-3</v>
      </c>
      <c r="I754">
        <v>0.12675085024803998</v>
      </c>
      <c r="J754">
        <v>0.52299274941347462</v>
      </c>
      <c r="L754">
        <v>10002.515031580053</v>
      </c>
      <c r="M754">
        <v>10.718954733581082</v>
      </c>
      <c r="N754">
        <v>9.6163373166952333</v>
      </c>
      <c r="O754">
        <v>18730.05190917493</v>
      </c>
      <c r="P754">
        <v>11.715857947449614</v>
      </c>
      <c r="Q754">
        <v>10.745786457538708</v>
      </c>
      <c r="S754">
        <f t="shared" si="46"/>
        <v>951631.21663794329</v>
      </c>
      <c r="T754">
        <f t="shared" si="47"/>
        <v>1055848.5938446957</v>
      </c>
      <c r="V754">
        <f t="shared" si="44"/>
        <v>0</v>
      </c>
      <c r="W754">
        <f t="shared" si="45"/>
        <v>1</v>
      </c>
    </row>
    <row r="755" spans="1:23" x14ac:dyDescent="0.2">
      <c r="A755">
        <v>750</v>
      </c>
      <c r="B755">
        <v>417.56545044999342</v>
      </c>
      <c r="C755">
        <v>2674.7402535988417</v>
      </c>
      <c r="D755">
        <v>1072.4913277448154</v>
      </c>
      <c r="E755">
        <v>882.08653942955868</v>
      </c>
      <c r="F755">
        <v>0.94322093774397009</v>
      </c>
      <c r="G755">
        <v>0.87502798464638953</v>
      </c>
      <c r="H755">
        <v>8.0353278734013253E-3</v>
      </c>
      <c r="I755">
        <v>0.12434817845140195</v>
      </c>
      <c r="J755">
        <v>0.48042364882158811</v>
      </c>
      <c r="L755">
        <v>10657.748579879379</v>
      </c>
      <c r="M755">
        <v>10.897962969845183</v>
      </c>
      <c r="N755">
        <v>10.103230729893582</v>
      </c>
      <c r="O755">
        <v>20084.920840802995</v>
      </c>
      <c r="P755">
        <v>11.973357514068573</v>
      </c>
      <c r="Q755">
        <v>11.175301163677416</v>
      </c>
      <c r="S755">
        <f t="shared" si="46"/>
        <v>999665.32440947881</v>
      </c>
      <c r="T755">
        <f t="shared" si="47"/>
        <v>1097445.1955269384</v>
      </c>
      <c r="V755">
        <f t="shared" si="44"/>
        <v>0</v>
      </c>
      <c r="W755">
        <f t="shared" si="45"/>
        <v>1</v>
      </c>
    </row>
    <row r="756" spans="1:23" x14ac:dyDescent="0.2">
      <c r="A756">
        <v>751</v>
      </c>
      <c r="B756">
        <v>440.78137821079247</v>
      </c>
      <c r="C756">
        <v>2728.7778934519815</v>
      </c>
      <c r="D756">
        <v>1091.1188940930551</v>
      </c>
      <c r="E756">
        <v>1047.9938455825977</v>
      </c>
      <c r="F756">
        <v>0.96994253690428522</v>
      </c>
      <c r="G756">
        <v>0.70619261479319373</v>
      </c>
      <c r="H756">
        <v>1.0346967329393723E-2</v>
      </c>
      <c r="I756">
        <v>0.15761215248340432</v>
      </c>
      <c r="J756">
        <v>0.48117087768702088</v>
      </c>
      <c r="L756">
        <v>10553.78428701582</v>
      </c>
      <c r="M756">
        <v>10.096699952179463</v>
      </c>
      <c r="N756">
        <v>9.1370248351327046</v>
      </c>
      <c r="O756">
        <v>19803.702801851588</v>
      </c>
      <c r="P756">
        <v>11.365625106486114</v>
      </c>
      <c r="Q756">
        <v>10.560678018101417</v>
      </c>
      <c r="S756">
        <f t="shared" si="46"/>
        <v>903148.69922625471</v>
      </c>
      <c r="T756">
        <f t="shared" si="47"/>
        <v>1036264.0990082901</v>
      </c>
      <c r="V756">
        <f t="shared" si="44"/>
        <v>0</v>
      </c>
      <c r="W756">
        <f t="shared" si="45"/>
        <v>1</v>
      </c>
    </row>
    <row r="757" spans="1:23" x14ac:dyDescent="0.2">
      <c r="A757">
        <v>752</v>
      </c>
      <c r="B757">
        <v>366.39519814082468</v>
      </c>
      <c r="C757">
        <v>3905.8393087315494</v>
      </c>
      <c r="D757">
        <v>1084.297539509118</v>
      </c>
      <c r="E757">
        <v>837.46729537372892</v>
      </c>
      <c r="F757">
        <v>0.97016723849226394</v>
      </c>
      <c r="G757">
        <v>0.71806168753423194</v>
      </c>
      <c r="H757">
        <v>1.0933020335846541E-2</v>
      </c>
      <c r="I757">
        <v>0.12634722336662152</v>
      </c>
      <c r="J757">
        <v>0.57518215103688697</v>
      </c>
      <c r="L757">
        <v>14411.057018187952</v>
      </c>
      <c r="M757">
        <v>10.365450514631311</v>
      </c>
      <c r="N757">
        <v>9.3222121796845379</v>
      </c>
      <c r="O757">
        <v>22153.227063172362</v>
      </c>
      <c r="P757">
        <v>11.262414799662324</v>
      </c>
      <c r="Q757">
        <v>10.353993826670084</v>
      </c>
      <c r="S757">
        <f t="shared" si="46"/>
        <v>917810.16095026582</v>
      </c>
      <c r="T757">
        <f t="shared" si="47"/>
        <v>1013246.1556038361</v>
      </c>
      <c r="V757">
        <f t="shared" si="44"/>
        <v>0</v>
      </c>
      <c r="W757">
        <f t="shared" si="45"/>
        <v>1</v>
      </c>
    </row>
    <row r="758" spans="1:23" x14ac:dyDescent="0.2">
      <c r="A758">
        <v>753</v>
      </c>
      <c r="B758">
        <v>346.66033415065834</v>
      </c>
      <c r="C758">
        <v>2614.6058621237394</v>
      </c>
      <c r="D758">
        <v>1123.9084010742995</v>
      </c>
      <c r="E758">
        <v>747.22208598758175</v>
      </c>
      <c r="F758">
        <v>0.96415190576835097</v>
      </c>
      <c r="G758">
        <v>0.81659965762830677</v>
      </c>
      <c r="H758">
        <v>8.781496892946928E-3</v>
      </c>
      <c r="I758">
        <v>0.16724900706678592</v>
      </c>
      <c r="J758">
        <v>0.50489389935984585</v>
      </c>
      <c r="L758">
        <v>8929.309088432954</v>
      </c>
      <c r="M758">
        <v>10.307785827027162</v>
      </c>
      <c r="N758">
        <v>9.6080087925062401</v>
      </c>
      <c r="O758">
        <v>18900.047562387823</v>
      </c>
      <c r="P758">
        <v>11.48584988783719</v>
      </c>
      <c r="Q758">
        <v>10.840473720962541</v>
      </c>
      <c r="S758">
        <f t="shared" si="46"/>
        <v>951871.57016219106</v>
      </c>
      <c r="T758">
        <f t="shared" si="47"/>
        <v>1065147.3245338663</v>
      </c>
      <c r="V758">
        <f t="shared" si="44"/>
        <v>0</v>
      </c>
      <c r="W758">
        <f t="shared" si="45"/>
        <v>1</v>
      </c>
    </row>
    <row r="759" spans="1:23" x14ac:dyDescent="0.2">
      <c r="A759">
        <v>754</v>
      </c>
      <c r="B759">
        <v>481.08279240438122</v>
      </c>
      <c r="C759">
        <v>2484.3860718832984</v>
      </c>
      <c r="D759">
        <v>1081.1216532121641</v>
      </c>
      <c r="E759">
        <v>1116.5234410500123</v>
      </c>
      <c r="F759">
        <v>0.93243544103830189</v>
      </c>
      <c r="G759">
        <v>0.84101094103333818</v>
      </c>
      <c r="H759">
        <v>8.801702882488072E-3</v>
      </c>
      <c r="I759">
        <v>0.12518511328974535</v>
      </c>
      <c r="J759">
        <v>0.51250274138267271</v>
      </c>
      <c r="L759">
        <v>10903.967763358132</v>
      </c>
      <c r="M759">
        <v>10.740105218379897</v>
      </c>
      <c r="N759">
        <v>9.7697081546226876</v>
      </c>
      <c r="O759">
        <v>20386.927427056122</v>
      </c>
      <c r="P759">
        <v>11.758875255195338</v>
      </c>
      <c r="Q759">
        <v>10.790732996289337</v>
      </c>
      <c r="S759">
        <f t="shared" si="46"/>
        <v>966066.84769891063</v>
      </c>
      <c r="T759">
        <f t="shared" si="47"/>
        <v>1058686.3722018776</v>
      </c>
      <c r="V759">
        <f t="shared" si="44"/>
        <v>0</v>
      </c>
      <c r="W759">
        <f t="shared" si="45"/>
        <v>1</v>
      </c>
    </row>
    <row r="760" spans="1:23" x14ac:dyDescent="0.2">
      <c r="A760">
        <v>755</v>
      </c>
      <c r="B760">
        <v>579.30351590691475</v>
      </c>
      <c r="C760">
        <v>2819.6543895182522</v>
      </c>
      <c r="D760">
        <v>949.27251486734087</v>
      </c>
      <c r="E760">
        <v>1050.9215406870371</v>
      </c>
      <c r="F760">
        <v>0.96313589106421071</v>
      </c>
      <c r="G760">
        <v>0.77227577339436615</v>
      </c>
      <c r="H760">
        <v>9.9817779464015776E-3</v>
      </c>
      <c r="I760">
        <v>0.16997942101735619</v>
      </c>
      <c r="J760">
        <v>0.54772556898720781</v>
      </c>
      <c r="L760">
        <v>11466.037765708161</v>
      </c>
      <c r="M760">
        <v>10.044352865776224</v>
      </c>
      <c r="N760">
        <v>9.2284991089853516</v>
      </c>
      <c r="O760">
        <v>19601.988362159791</v>
      </c>
      <c r="P760">
        <v>11.128445157432846</v>
      </c>
      <c r="Q760">
        <v>10.381691398445142</v>
      </c>
      <c r="S760">
        <f t="shared" si="46"/>
        <v>911383.87313282699</v>
      </c>
      <c r="T760">
        <f t="shared" si="47"/>
        <v>1018567.1514823544</v>
      </c>
      <c r="V760">
        <f t="shared" si="44"/>
        <v>0</v>
      </c>
      <c r="W760">
        <f t="shared" si="45"/>
        <v>1</v>
      </c>
    </row>
    <row r="761" spans="1:23" x14ac:dyDescent="0.2">
      <c r="A761">
        <v>756</v>
      </c>
      <c r="B761">
        <v>734.75367543793459</v>
      </c>
      <c r="C761">
        <v>2377.599425205784</v>
      </c>
      <c r="D761">
        <v>978.56501813365458</v>
      </c>
      <c r="E761">
        <v>1425.8372648765853</v>
      </c>
      <c r="F761">
        <v>0.87037578270218452</v>
      </c>
      <c r="G761">
        <v>0.71675305944563195</v>
      </c>
      <c r="H761">
        <v>1.1452095530958415E-2</v>
      </c>
      <c r="I761">
        <v>0.21867686010720999</v>
      </c>
      <c r="J761">
        <v>0.50510521758917448</v>
      </c>
      <c r="L761">
        <v>10927.377701404823</v>
      </c>
      <c r="M761">
        <v>9.386002468729858</v>
      </c>
      <c r="N761">
        <v>7.8525396359882222</v>
      </c>
      <c r="O761">
        <v>19907.031691941997</v>
      </c>
      <c r="P761">
        <v>10.746858162631097</v>
      </c>
      <c r="Q761">
        <v>9.118630296360104</v>
      </c>
      <c r="S761">
        <f t="shared" si="46"/>
        <v>774326.58589741739</v>
      </c>
      <c r="T761">
        <f t="shared" si="47"/>
        <v>891955.9979440684</v>
      </c>
      <c r="V761">
        <f t="shared" si="44"/>
        <v>0</v>
      </c>
      <c r="W761">
        <f t="shared" si="45"/>
        <v>1</v>
      </c>
    </row>
    <row r="762" spans="1:23" x14ac:dyDescent="0.2">
      <c r="A762">
        <v>757</v>
      </c>
      <c r="B762">
        <v>745.55257833582493</v>
      </c>
      <c r="C762">
        <v>2375.4505085557248</v>
      </c>
      <c r="D762">
        <v>914.82871912585222</v>
      </c>
      <c r="E762">
        <v>582.76358108477086</v>
      </c>
      <c r="F762">
        <v>0.9624019882529633</v>
      </c>
      <c r="G762">
        <v>0.84697429709281002</v>
      </c>
      <c r="H762">
        <v>8.9431884786155026E-3</v>
      </c>
      <c r="I762">
        <v>0.15884480424378566</v>
      </c>
      <c r="J762">
        <v>0.51381251842012676</v>
      </c>
      <c r="L762">
        <v>11734.558839155898</v>
      </c>
      <c r="M762">
        <v>10.350780615978596</v>
      </c>
      <c r="N762">
        <v>9.6923865641556368</v>
      </c>
      <c r="O762">
        <v>20414.690265014109</v>
      </c>
      <c r="P762">
        <v>11.482897503865065</v>
      </c>
      <c r="Q762">
        <v>10.858406826114226</v>
      </c>
      <c r="S762">
        <f t="shared" si="46"/>
        <v>957504.09757640772</v>
      </c>
      <c r="T762">
        <f t="shared" si="47"/>
        <v>1065425.9923464085</v>
      </c>
      <c r="V762">
        <f t="shared" si="44"/>
        <v>0</v>
      </c>
      <c r="W762">
        <f t="shared" si="45"/>
        <v>1</v>
      </c>
    </row>
    <row r="763" spans="1:23" x14ac:dyDescent="0.2">
      <c r="A763">
        <v>758</v>
      </c>
      <c r="B763">
        <v>654.76745244922233</v>
      </c>
      <c r="C763">
        <v>2122.5026619767332</v>
      </c>
      <c r="D763">
        <v>1059.7109732683878</v>
      </c>
      <c r="E763">
        <v>965.30753600725916</v>
      </c>
      <c r="F763">
        <v>0.98433616901377607</v>
      </c>
      <c r="G763">
        <v>0.75847278584534839</v>
      </c>
      <c r="H763">
        <v>1.0999165623834708E-2</v>
      </c>
      <c r="I763">
        <v>0.10618967197648724</v>
      </c>
      <c r="J763">
        <v>0.54333959806213983</v>
      </c>
      <c r="L763">
        <v>12022.874756752</v>
      </c>
      <c r="M763">
        <v>10.651984164254785</v>
      </c>
      <c r="N763">
        <v>9.7589857113453125</v>
      </c>
      <c r="O763">
        <v>21053.372861662669</v>
      </c>
      <c r="P763">
        <v>11.556783726016148</v>
      </c>
      <c r="Q763">
        <v>10.827386120216778</v>
      </c>
      <c r="S763">
        <f t="shared" si="46"/>
        <v>963875.69637777924</v>
      </c>
      <c r="T763">
        <f t="shared" si="47"/>
        <v>1061685.239160015</v>
      </c>
      <c r="V763">
        <f t="shared" si="44"/>
        <v>0</v>
      </c>
      <c r="W763">
        <f t="shared" si="45"/>
        <v>1</v>
      </c>
    </row>
    <row r="764" spans="1:23" x14ac:dyDescent="0.2">
      <c r="A764">
        <v>759</v>
      </c>
      <c r="B764">
        <v>412.38175119996993</v>
      </c>
      <c r="C764">
        <v>2424.3703822329071</v>
      </c>
      <c r="D764">
        <v>1091.2491002849424</v>
      </c>
      <c r="E764">
        <v>1054.8048285717864</v>
      </c>
      <c r="F764">
        <v>0.94868109435080494</v>
      </c>
      <c r="G764">
        <v>0.73633175279023644</v>
      </c>
      <c r="H764">
        <v>1.2540462426573661E-2</v>
      </c>
      <c r="I764">
        <v>0.15621510322144927</v>
      </c>
      <c r="J764">
        <v>0.46189512951547734</v>
      </c>
      <c r="L764">
        <v>9875.6697734226491</v>
      </c>
      <c r="M764">
        <v>9.7579175921467698</v>
      </c>
      <c r="N764">
        <v>8.6863044162954139</v>
      </c>
      <c r="O764">
        <v>18818.184227677149</v>
      </c>
      <c r="P764">
        <v>11.130450388845192</v>
      </c>
      <c r="Q764">
        <v>10.151946953127917</v>
      </c>
      <c r="S764">
        <f t="shared" si="46"/>
        <v>858754.77185611869</v>
      </c>
      <c r="T764">
        <f t="shared" si="47"/>
        <v>996376.51108511444</v>
      </c>
      <c r="V764">
        <f t="shared" si="44"/>
        <v>0</v>
      </c>
      <c r="W764">
        <f t="shared" si="45"/>
        <v>1</v>
      </c>
    </row>
    <row r="765" spans="1:23" x14ac:dyDescent="0.2">
      <c r="A765">
        <v>760</v>
      </c>
      <c r="B765">
        <v>491.31089800619145</v>
      </c>
      <c r="C765">
        <v>2553.9734682461421</v>
      </c>
      <c r="D765">
        <v>1067.0292057812321</v>
      </c>
      <c r="E765">
        <v>677.25132233358693</v>
      </c>
      <c r="F765">
        <v>0.98811412157818812</v>
      </c>
      <c r="G765">
        <v>0.83992658506256357</v>
      </c>
      <c r="H765">
        <v>9.989774285240045E-3</v>
      </c>
      <c r="I765">
        <v>0.12782601742995367</v>
      </c>
      <c r="J765">
        <v>0.6099367491622536</v>
      </c>
      <c r="L765">
        <v>11153.623959672501</v>
      </c>
      <c r="M765">
        <v>10.497417091100369</v>
      </c>
      <c r="N765">
        <v>9.959218787178008</v>
      </c>
      <c r="O765">
        <v>20004.854873992259</v>
      </c>
      <c r="P765">
        <v>11.296125920882973</v>
      </c>
      <c r="Q765">
        <v>10.833000696732785</v>
      </c>
      <c r="S765">
        <f t="shared" si="46"/>
        <v>984768.25475812831</v>
      </c>
      <c r="T765">
        <f t="shared" si="47"/>
        <v>1063295.2147992863</v>
      </c>
      <c r="V765">
        <f t="shared" si="44"/>
        <v>0</v>
      </c>
      <c r="W765">
        <f t="shared" si="45"/>
        <v>1</v>
      </c>
    </row>
    <row r="766" spans="1:23" x14ac:dyDescent="0.2">
      <c r="A766">
        <v>761</v>
      </c>
      <c r="B766">
        <v>360.3770062921443</v>
      </c>
      <c r="C766">
        <v>3065.2719404147442</v>
      </c>
      <c r="D766">
        <v>1142.7986221591186</v>
      </c>
      <c r="E766">
        <v>824.8425450425741</v>
      </c>
      <c r="F766">
        <v>0.95209372830661176</v>
      </c>
      <c r="G766">
        <v>0.86293246336966423</v>
      </c>
      <c r="H766">
        <v>1.0206375157179898E-2</v>
      </c>
      <c r="I766">
        <v>0.17949700395689028</v>
      </c>
      <c r="J766">
        <v>0.49551733882394811</v>
      </c>
      <c r="L766">
        <v>10051.857730094449</v>
      </c>
      <c r="M766">
        <v>9.9177553781265502</v>
      </c>
      <c r="N766">
        <v>9.2401889201371485</v>
      </c>
      <c r="O766">
        <v>19623.658712741886</v>
      </c>
      <c r="P766">
        <v>11.199356356034846</v>
      </c>
      <c r="Q766">
        <v>10.517425377133701</v>
      </c>
      <c r="S766">
        <f t="shared" si="46"/>
        <v>913967.03428362042</v>
      </c>
      <c r="T766">
        <f t="shared" si="47"/>
        <v>1032118.8790006281</v>
      </c>
      <c r="V766">
        <f t="shared" si="44"/>
        <v>0</v>
      </c>
      <c r="W766">
        <f t="shared" si="45"/>
        <v>1</v>
      </c>
    </row>
    <row r="767" spans="1:23" x14ac:dyDescent="0.2">
      <c r="A767">
        <v>762</v>
      </c>
      <c r="B767">
        <v>543.26876328920673</v>
      </c>
      <c r="C767">
        <v>2793.0063344850801</v>
      </c>
      <c r="D767">
        <v>955.90582547205918</v>
      </c>
      <c r="E767">
        <v>1192.3713120896691</v>
      </c>
      <c r="F767">
        <v>0.93069703407370274</v>
      </c>
      <c r="G767">
        <v>0.85982390039180845</v>
      </c>
      <c r="H767">
        <v>1.0040695066312846E-2</v>
      </c>
      <c r="I767">
        <v>0.1333139447286851</v>
      </c>
      <c r="J767">
        <v>0.51406199978498213</v>
      </c>
      <c r="L767">
        <v>12230.268765439743</v>
      </c>
      <c r="M767">
        <v>10.420490347343451</v>
      </c>
      <c r="N767">
        <v>9.5050300538397696</v>
      </c>
      <c r="O767">
        <v>20114.01878784391</v>
      </c>
      <c r="P767">
        <v>11.49686821079337</v>
      </c>
      <c r="Q767">
        <v>10.559690431354555</v>
      </c>
      <c r="S767">
        <f t="shared" si="46"/>
        <v>938272.73661853722</v>
      </c>
      <c r="T767">
        <f t="shared" si="47"/>
        <v>1035855.0243476117</v>
      </c>
      <c r="V767">
        <f t="shared" si="44"/>
        <v>0</v>
      </c>
      <c r="W767">
        <f t="shared" si="45"/>
        <v>1</v>
      </c>
    </row>
    <row r="768" spans="1:23" x14ac:dyDescent="0.2">
      <c r="A768">
        <v>763</v>
      </c>
      <c r="B768">
        <v>448.94252739437349</v>
      </c>
      <c r="C768">
        <v>2705.5900646769733</v>
      </c>
      <c r="D768">
        <v>935.62135052376959</v>
      </c>
      <c r="E768">
        <v>885.65280848412374</v>
      </c>
      <c r="F768">
        <v>0.96166444893701142</v>
      </c>
      <c r="G768">
        <v>0.86250684914124531</v>
      </c>
      <c r="H768">
        <v>1.0777619560162982E-2</v>
      </c>
      <c r="I768">
        <v>0.15934784037364447</v>
      </c>
      <c r="J768">
        <v>0.50346773439319803</v>
      </c>
      <c r="L768">
        <v>10509.137351386189</v>
      </c>
      <c r="M768">
        <v>10.003954964020101</v>
      </c>
      <c r="N768">
        <v>9.3715819970246024</v>
      </c>
      <c r="O768">
        <v>18202.542492773744</v>
      </c>
      <c r="P768">
        <v>11.214689693995757</v>
      </c>
      <c r="Q768">
        <v>10.603354182197032</v>
      </c>
      <c r="S768">
        <f t="shared" si="46"/>
        <v>926649.06235107407</v>
      </c>
      <c r="T768">
        <f t="shared" si="47"/>
        <v>1042132.8757269295</v>
      </c>
      <c r="V768">
        <f t="shared" si="44"/>
        <v>0</v>
      </c>
      <c r="W768">
        <f t="shared" si="45"/>
        <v>1</v>
      </c>
    </row>
    <row r="769" spans="1:23" x14ac:dyDescent="0.2">
      <c r="A769">
        <v>764</v>
      </c>
      <c r="B769">
        <v>469.17687433362255</v>
      </c>
      <c r="C769">
        <v>2329.3649569496397</v>
      </c>
      <c r="D769">
        <v>1021.6860127173985</v>
      </c>
      <c r="E769">
        <v>1538.6940602018367</v>
      </c>
      <c r="F769">
        <v>0.96839612060360036</v>
      </c>
      <c r="G769">
        <v>0.76261470907510098</v>
      </c>
      <c r="H769">
        <v>9.3229679080101806E-3</v>
      </c>
      <c r="I769">
        <v>0.14429265219050877</v>
      </c>
      <c r="J769">
        <v>0.58122595212140993</v>
      </c>
      <c r="L769">
        <v>10140.547182944207</v>
      </c>
      <c r="M769">
        <v>10.423132047473572</v>
      </c>
      <c r="N769">
        <v>9.5748466325887787</v>
      </c>
      <c r="O769">
        <v>18954.03609023599</v>
      </c>
      <c r="P769">
        <v>11.331489867435604</v>
      </c>
      <c r="Q769">
        <v>10.573588064409758</v>
      </c>
      <c r="S769">
        <f t="shared" si="46"/>
        <v>947344.11607593356</v>
      </c>
      <c r="T769">
        <f t="shared" si="47"/>
        <v>1038404.7703507397</v>
      </c>
      <c r="V769">
        <f t="shared" si="44"/>
        <v>0</v>
      </c>
      <c r="W769">
        <f t="shared" si="45"/>
        <v>1</v>
      </c>
    </row>
    <row r="770" spans="1:23" x14ac:dyDescent="0.2">
      <c r="A770">
        <v>765</v>
      </c>
      <c r="B770">
        <v>395.96999632706536</v>
      </c>
      <c r="C770">
        <v>2640.5136436475495</v>
      </c>
      <c r="D770">
        <v>1009.3720680625465</v>
      </c>
      <c r="E770">
        <v>1059.6909152060252</v>
      </c>
      <c r="F770">
        <v>0.94606167806149755</v>
      </c>
      <c r="G770">
        <v>0.75965135630262082</v>
      </c>
      <c r="H770">
        <v>1.0003156003459038E-2</v>
      </c>
      <c r="I770">
        <v>0.11119254276567739</v>
      </c>
      <c r="J770">
        <v>0.51935527223837585</v>
      </c>
      <c r="L770">
        <v>11378.172585920231</v>
      </c>
      <c r="M770">
        <v>10.722861312154734</v>
      </c>
      <c r="N770">
        <v>9.5816967818597156</v>
      </c>
      <c r="O770">
        <v>19406.871860424129</v>
      </c>
      <c r="P770">
        <v>11.694990590849185</v>
      </c>
      <c r="Q770">
        <v>10.654795215439975</v>
      </c>
      <c r="S770">
        <f t="shared" si="46"/>
        <v>946791.50560005137</v>
      </c>
      <c r="T770">
        <f t="shared" si="47"/>
        <v>1046072.6496835734</v>
      </c>
      <c r="V770">
        <f t="shared" si="44"/>
        <v>0</v>
      </c>
      <c r="W770">
        <f t="shared" si="45"/>
        <v>1</v>
      </c>
    </row>
    <row r="771" spans="1:23" x14ac:dyDescent="0.2">
      <c r="A771">
        <v>766</v>
      </c>
      <c r="B771">
        <v>677.51001707248361</v>
      </c>
      <c r="C771">
        <v>3173.543983392367</v>
      </c>
      <c r="D771">
        <v>861.11996448386344</v>
      </c>
      <c r="E771">
        <v>508.78886611971819</v>
      </c>
      <c r="F771">
        <v>0.94710727682808926</v>
      </c>
      <c r="G771">
        <v>0.81262087010614037</v>
      </c>
      <c r="H771">
        <v>9.8882506744692907E-3</v>
      </c>
      <c r="I771">
        <v>0.17526343478131934</v>
      </c>
      <c r="J771">
        <v>0.51569382356365379</v>
      </c>
      <c r="L771">
        <v>12676.323744197947</v>
      </c>
      <c r="M771">
        <v>10.014999207904332</v>
      </c>
      <c r="N771">
        <v>9.1788165224665157</v>
      </c>
      <c r="O771">
        <v>20119.057002259291</v>
      </c>
      <c r="P771">
        <v>11.211264447372333</v>
      </c>
      <c r="Q771">
        <v>10.394469927597321</v>
      </c>
      <c r="S771">
        <f t="shared" si="46"/>
        <v>905205.32850245363</v>
      </c>
      <c r="T771">
        <f t="shared" si="47"/>
        <v>1019327.9357574728</v>
      </c>
      <c r="V771">
        <f t="shared" si="44"/>
        <v>0</v>
      </c>
      <c r="W771">
        <f t="shared" si="45"/>
        <v>1</v>
      </c>
    </row>
    <row r="772" spans="1:23" x14ac:dyDescent="0.2">
      <c r="A772">
        <v>767</v>
      </c>
      <c r="B772">
        <v>234.10515280097914</v>
      </c>
      <c r="C772">
        <v>3580.0374420796797</v>
      </c>
      <c r="D772">
        <v>875.01016658685</v>
      </c>
      <c r="E772">
        <v>1279.6039440263194</v>
      </c>
      <c r="F772">
        <v>0.95572952216958962</v>
      </c>
      <c r="G772">
        <v>0.65046324431030789</v>
      </c>
      <c r="H772">
        <v>1.0369933893674025E-2</v>
      </c>
      <c r="I772">
        <v>0.16824542073982451</v>
      </c>
      <c r="J772">
        <v>0.48305520577882871</v>
      </c>
      <c r="L772">
        <v>10835.825613993329</v>
      </c>
      <c r="M772">
        <v>9.988630036114305</v>
      </c>
      <c r="N772">
        <v>8.8180319483655882</v>
      </c>
      <c r="O772">
        <v>17060.511856080342</v>
      </c>
      <c r="P772">
        <v>11.284877780266097</v>
      </c>
      <c r="Q772">
        <v>10.268869590035616</v>
      </c>
      <c r="S772">
        <f t="shared" si="46"/>
        <v>870967.36922256544</v>
      </c>
      <c r="T772">
        <f t="shared" si="47"/>
        <v>1009826.4471474811</v>
      </c>
      <c r="V772">
        <f t="shared" si="44"/>
        <v>0</v>
      </c>
      <c r="W772">
        <f t="shared" si="45"/>
        <v>1</v>
      </c>
    </row>
    <row r="773" spans="1:23" x14ac:dyDescent="0.2">
      <c r="A773">
        <v>768</v>
      </c>
      <c r="B773">
        <v>567.59924646223396</v>
      </c>
      <c r="C773">
        <v>3156.5743912404478</v>
      </c>
      <c r="D773">
        <v>1008.176288373334</v>
      </c>
      <c r="E773">
        <v>897.25912085104528</v>
      </c>
      <c r="F773">
        <v>0.93309750169871108</v>
      </c>
      <c r="G773">
        <v>0.83251119845155575</v>
      </c>
      <c r="H773">
        <v>7.9479049698111537E-3</v>
      </c>
      <c r="I773">
        <v>0.13164910591990811</v>
      </c>
      <c r="J773">
        <v>0.4694345135924492</v>
      </c>
      <c r="L773">
        <v>12874.116686451714</v>
      </c>
      <c r="M773">
        <v>10.832578041134703</v>
      </c>
      <c r="N773">
        <v>9.8579534824682291</v>
      </c>
      <c r="O773">
        <v>21645.962135461985</v>
      </c>
      <c r="P773">
        <v>11.964269361062856</v>
      </c>
      <c r="Q773">
        <v>10.998470049658584</v>
      </c>
      <c r="S773">
        <f t="shared" si="46"/>
        <v>972921.23156037123</v>
      </c>
      <c r="T773">
        <f t="shared" si="47"/>
        <v>1078201.0428303962</v>
      </c>
      <c r="V773">
        <f t="shared" si="44"/>
        <v>0</v>
      </c>
      <c r="W773">
        <f t="shared" si="45"/>
        <v>1</v>
      </c>
    </row>
    <row r="774" spans="1:23" x14ac:dyDescent="0.2">
      <c r="A774">
        <v>769</v>
      </c>
      <c r="B774">
        <v>630.30206120277808</v>
      </c>
      <c r="C774">
        <v>3515.837239688135</v>
      </c>
      <c r="D774">
        <v>1016.6696476043808</v>
      </c>
      <c r="E774">
        <v>1201.4084869478716</v>
      </c>
      <c r="F774">
        <v>0.97249571977998228</v>
      </c>
      <c r="G774">
        <v>0.80911307746818506</v>
      </c>
      <c r="H774">
        <v>1.1332103534432194E-2</v>
      </c>
      <c r="I774">
        <v>0.13898822624015011</v>
      </c>
      <c r="J774">
        <v>0.54996736302913241</v>
      </c>
      <c r="L774">
        <v>14903.964807828052</v>
      </c>
      <c r="M774">
        <v>10.141691054947279</v>
      </c>
      <c r="N774">
        <v>9.4071750814517863</v>
      </c>
      <c r="O774">
        <v>22726.465380753103</v>
      </c>
      <c r="P774">
        <v>11.15498453265568</v>
      </c>
      <c r="Q774">
        <v>10.498711731169657</v>
      </c>
      <c r="S774">
        <f t="shared" si="46"/>
        <v>925813.54333735059</v>
      </c>
      <c r="T774">
        <f t="shared" si="47"/>
        <v>1027144.7077362125</v>
      </c>
      <c r="V774">
        <f t="shared" ref="V774:V837" si="48">IF(S774=MAX($S774:$T774),1,0)</f>
        <v>0</v>
      </c>
      <c r="W774">
        <f t="shared" ref="W774:W837" si="49">IF(T774=MAX($S774:$T774),1,0)</f>
        <v>1</v>
      </c>
    </row>
    <row r="775" spans="1:23" x14ac:dyDescent="0.2">
      <c r="A775">
        <v>770</v>
      </c>
      <c r="B775">
        <v>413.6164856215903</v>
      </c>
      <c r="C775">
        <v>3311.976348905911</v>
      </c>
      <c r="D775">
        <v>982.78311004789168</v>
      </c>
      <c r="E775">
        <v>1179.982706088357</v>
      </c>
      <c r="F775">
        <v>0.97466671838659069</v>
      </c>
      <c r="G775">
        <v>0.56244146362109138</v>
      </c>
      <c r="H775">
        <v>9.7606487023461103E-3</v>
      </c>
      <c r="I775">
        <v>0.13117252556995118</v>
      </c>
      <c r="J775">
        <v>0.49225188020126653</v>
      </c>
      <c r="L775">
        <v>12651.305017198461</v>
      </c>
      <c r="M775">
        <v>10.494707355073222</v>
      </c>
      <c r="N775">
        <v>9.1067822836043053</v>
      </c>
      <c r="O775">
        <v>20201.0183115777</v>
      </c>
      <c r="P775">
        <v>11.619939575429266</v>
      </c>
      <c r="Q775">
        <v>10.534125372191221</v>
      </c>
      <c r="S775">
        <f t="shared" ref="S775:S838" si="50">$T$1*N775-L775</f>
        <v>898026.92334323213</v>
      </c>
      <c r="T775">
        <f t="shared" ref="T775:T838" si="51">$T$1*Q775-O775</f>
        <v>1033211.5189075443</v>
      </c>
      <c r="V775">
        <f t="shared" si="48"/>
        <v>0</v>
      </c>
      <c r="W775">
        <f t="shared" si="49"/>
        <v>1</v>
      </c>
    </row>
    <row r="776" spans="1:23" x14ac:dyDescent="0.2">
      <c r="A776">
        <v>771</v>
      </c>
      <c r="B776">
        <v>552.31178985534837</v>
      </c>
      <c r="C776">
        <v>3487.4512423323031</v>
      </c>
      <c r="D776">
        <v>999.14681072582539</v>
      </c>
      <c r="E776">
        <v>891.55890271219789</v>
      </c>
      <c r="F776">
        <v>0.90411328833989557</v>
      </c>
      <c r="G776">
        <v>0.71726418945169867</v>
      </c>
      <c r="H776">
        <v>9.0494456665633442E-3</v>
      </c>
      <c r="I776">
        <v>0.18125497726827511</v>
      </c>
      <c r="J776">
        <v>0.39357856334427072</v>
      </c>
      <c r="L776">
        <v>12250.315364352853</v>
      </c>
      <c r="M776">
        <v>10.133732829121017</v>
      </c>
      <c r="N776">
        <v>8.7605977272010769</v>
      </c>
      <c r="O776">
        <v>20977.839541259949</v>
      </c>
      <c r="P776">
        <v>11.74348709614838</v>
      </c>
      <c r="Q776">
        <v>10.371738679036564</v>
      </c>
      <c r="S776">
        <f t="shared" si="50"/>
        <v>863809.4573557548</v>
      </c>
      <c r="T776">
        <f t="shared" si="51"/>
        <v>1016196.0283623965</v>
      </c>
      <c r="V776">
        <f t="shared" si="48"/>
        <v>0</v>
      </c>
      <c r="W776">
        <f t="shared" si="49"/>
        <v>1</v>
      </c>
    </row>
    <row r="777" spans="1:23" x14ac:dyDescent="0.2">
      <c r="A777">
        <v>772</v>
      </c>
      <c r="B777">
        <v>480.17375543632397</v>
      </c>
      <c r="C777">
        <v>3648.296579989722</v>
      </c>
      <c r="D777">
        <v>1227.0818458169051</v>
      </c>
      <c r="E777">
        <v>1149.1690609365871</v>
      </c>
      <c r="F777">
        <v>0.9658895798953544</v>
      </c>
      <c r="G777">
        <v>0.65038798527741126</v>
      </c>
      <c r="H777">
        <v>7.7950493173714877E-3</v>
      </c>
      <c r="I777">
        <v>0.1593674419073644</v>
      </c>
      <c r="J777">
        <v>0.4623887941937575</v>
      </c>
      <c r="L777">
        <v>12429.369335691961</v>
      </c>
      <c r="M777">
        <v>10.593232481437829</v>
      </c>
      <c r="N777">
        <v>9.5406138170375385</v>
      </c>
      <c r="O777">
        <v>23263.999375294061</v>
      </c>
      <c r="P777">
        <v>11.838244379908136</v>
      </c>
      <c r="Q777">
        <v>10.980965730581413</v>
      </c>
      <c r="S777">
        <f t="shared" si="50"/>
        <v>941632.01236806193</v>
      </c>
      <c r="T777">
        <f t="shared" si="51"/>
        <v>1074832.5736828474</v>
      </c>
      <c r="V777">
        <f t="shared" si="48"/>
        <v>0</v>
      </c>
      <c r="W777">
        <f t="shared" si="49"/>
        <v>1</v>
      </c>
    </row>
    <row r="778" spans="1:23" x14ac:dyDescent="0.2">
      <c r="A778">
        <v>773</v>
      </c>
      <c r="B778">
        <v>398.46742972637486</v>
      </c>
      <c r="C778">
        <v>3335.5293395608783</v>
      </c>
      <c r="D778">
        <v>906.41617981181093</v>
      </c>
      <c r="E778">
        <v>947.21990077997668</v>
      </c>
      <c r="F778">
        <v>0.97153145961000109</v>
      </c>
      <c r="G778">
        <v>0.72056936600505539</v>
      </c>
      <c r="H778">
        <v>9.1192414360298357E-3</v>
      </c>
      <c r="I778">
        <v>0.15244332335965127</v>
      </c>
      <c r="J778">
        <v>0.42896877742545758</v>
      </c>
      <c r="L778">
        <v>11574.089016821716</v>
      </c>
      <c r="M778">
        <v>10.377757455824128</v>
      </c>
      <c r="N778">
        <v>9.4764751547905721</v>
      </c>
      <c r="O778">
        <v>18730.856276910774</v>
      </c>
      <c r="P778">
        <v>11.762890772976991</v>
      </c>
      <c r="Q778">
        <v>11.037834587067563</v>
      </c>
      <c r="S778">
        <f t="shared" si="50"/>
        <v>936073.42646223551</v>
      </c>
      <c r="T778">
        <f t="shared" si="51"/>
        <v>1085052.6024298456</v>
      </c>
      <c r="V778">
        <f t="shared" si="48"/>
        <v>0</v>
      </c>
      <c r="W778">
        <f t="shared" si="49"/>
        <v>1</v>
      </c>
    </row>
    <row r="779" spans="1:23" x14ac:dyDescent="0.2">
      <c r="A779">
        <v>774</v>
      </c>
      <c r="B779">
        <v>451.25428931724156</v>
      </c>
      <c r="C779">
        <v>2229.2539110331491</v>
      </c>
      <c r="D779">
        <v>1046.1764705556236</v>
      </c>
      <c r="E779">
        <v>1513.0709631273717</v>
      </c>
      <c r="F779">
        <v>0.97875875515321931</v>
      </c>
      <c r="G779">
        <v>0.80060962741625508</v>
      </c>
      <c r="H779">
        <v>1.0950783555375451E-2</v>
      </c>
      <c r="I779">
        <v>0.18620686826880861</v>
      </c>
      <c r="J779">
        <v>0.56204033432738976</v>
      </c>
      <c r="L779">
        <v>9073.3048328626355</v>
      </c>
      <c r="M779">
        <v>9.7240683267049182</v>
      </c>
      <c r="N779">
        <v>9.1122830917996485</v>
      </c>
      <c r="O779">
        <v>17986.380624390473</v>
      </c>
      <c r="P779">
        <v>10.81600645195773</v>
      </c>
      <c r="Q779">
        <v>10.271614513573871</v>
      </c>
      <c r="S779">
        <f t="shared" si="50"/>
        <v>902155.00434710213</v>
      </c>
      <c r="T779">
        <f t="shared" si="51"/>
        <v>1009175.0707329967</v>
      </c>
      <c r="V779">
        <f t="shared" si="48"/>
        <v>0</v>
      </c>
      <c r="W779">
        <f t="shared" si="49"/>
        <v>1</v>
      </c>
    </row>
    <row r="780" spans="1:23" x14ac:dyDescent="0.2">
      <c r="A780">
        <v>775</v>
      </c>
      <c r="B780">
        <v>624.78293703773977</v>
      </c>
      <c r="C780">
        <v>2480.3535809037871</v>
      </c>
      <c r="D780">
        <v>897.99854777574092</v>
      </c>
      <c r="E780">
        <v>965.3301478215875</v>
      </c>
      <c r="F780">
        <v>0.97029516904352198</v>
      </c>
      <c r="G780">
        <v>0.78170021936489564</v>
      </c>
      <c r="H780">
        <v>9.387414067558348E-3</v>
      </c>
      <c r="I780">
        <v>0.12206976633701042</v>
      </c>
      <c r="J780">
        <v>0.46105133589031533</v>
      </c>
      <c r="L780">
        <v>12178.554059950429</v>
      </c>
      <c r="M780">
        <v>10.674178460131026</v>
      </c>
      <c r="N780">
        <v>9.8305702415858089</v>
      </c>
      <c r="O780">
        <v>20052.073146357707</v>
      </c>
      <c r="P780">
        <v>11.841173846839357</v>
      </c>
      <c r="Q780">
        <v>11.13508877382804</v>
      </c>
      <c r="S780">
        <f t="shared" si="50"/>
        <v>970878.47009863053</v>
      </c>
      <c r="T780">
        <f t="shared" si="51"/>
        <v>1093456.8042364463</v>
      </c>
      <c r="V780">
        <f t="shared" si="48"/>
        <v>0</v>
      </c>
      <c r="W780">
        <f t="shared" si="49"/>
        <v>1</v>
      </c>
    </row>
    <row r="781" spans="1:23" x14ac:dyDescent="0.2">
      <c r="A781">
        <v>776</v>
      </c>
      <c r="B781">
        <v>314.17452607379835</v>
      </c>
      <c r="C781">
        <v>3263.8406427481623</v>
      </c>
      <c r="D781">
        <v>958.2868030321772</v>
      </c>
      <c r="E781">
        <v>1115.4438139218364</v>
      </c>
      <c r="F781">
        <v>0.94160378663068367</v>
      </c>
      <c r="G781">
        <v>0.71105419972715656</v>
      </c>
      <c r="H781">
        <v>1.0221275836894061E-2</v>
      </c>
      <c r="I781">
        <v>0.15624394087952775</v>
      </c>
      <c r="J781">
        <v>0.56397019295675588</v>
      </c>
      <c r="L781">
        <v>10961.859531967597</v>
      </c>
      <c r="M781">
        <v>10.133020861486692</v>
      </c>
      <c r="N781">
        <v>8.9672449731790227</v>
      </c>
      <c r="O781">
        <v>18315.808630538599</v>
      </c>
      <c r="P781">
        <v>11.138207850437691</v>
      </c>
      <c r="Q781">
        <v>10.046741476064412</v>
      </c>
      <c r="S781">
        <f t="shared" si="50"/>
        <v>885762.63778593473</v>
      </c>
      <c r="T781">
        <f t="shared" si="51"/>
        <v>986358.33897590253</v>
      </c>
      <c r="V781">
        <f t="shared" si="48"/>
        <v>0</v>
      </c>
      <c r="W781">
        <f t="shared" si="49"/>
        <v>1</v>
      </c>
    </row>
    <row r="782" spans="1:23" x14ac:dyDescent="0.2">
      <c r="A782">
        <v>777</v>
      </c>
      <c r="B782">
        <v>374.70142783930669</v>
      </c>
      <c r="C782">
        <v>3631.2064421523255</v>
      </c>
      <c r="D782">
        <v>1145.1560278138027</v>
      </c>
      <c r="E782">
        <v>947.13897085622511</v>
      </c>
      <c r="F782">
        <v>0.95563236214397085</v>
      </c>
      <c r="G782">
        <v>0.85271348795337598</v>
      </c>
      <c r="H782">
        <v>8.9025155296286428E-3</v>
      </c>
      <c r="I782">
        <v>0.23122728634341461</v>
      </c>
      <c r="J782">
        <v>0.47092777422498067</v>
      </c>
      <c r="L782">
        <v>9922.957349398208</v>
      </c>
      <c r="M782">
        <v>9.8268085750707783</v>
      </c>
      <c r="N782">
        <v>9.2060088385139665</v>
      </c>
      <c r="O782">
        <v>19999.13016475346</v>
      </c>
      <c r="P782">
        <v>11.271408197384254</v>
      </c>
      <c r="Q782">
        <v>10.644650001997263</v>
      </c>
      <c r="S782">
        <f t="shared" si="50"/>
        <v>910677.92650199845</v>
      </c>
      <c r="T782">
        <f t="shared" si="51"/>
        <v>1044465.8700349729</v>
      </c>
      <c r="V782">
        <f t="shared" si="48"/>
        <v>0</v>
      </c>
      <c r="W782">
        <f t="shared" si="49"/>
        <v>1</v>
      </c>
    </row>
    <row r="783" spans="1:23" x14ac:dyDescent="0.2">
      <c r="A783">
        <v>778</v>
      </c>
      <c r="B783">
        <v>546.74153716167439</v>
      </c>
      <c r="C783">
        <v>1847.3241229545288</v>
      </c>
      <c r="D783">
        <v>1214.1320401672149</v>
      </c>
      <c r="E783">
        <v>995.99615980749832</v>
      </c>
      <c r="F783">
        <v>0.98024267330725889</v>
      </c>
      <c r="G783">
        <v>0.85859971602195495</v>
      </c>
      <c r="H783">
        <v>8.5965104864281043E-3</v>
      </c>
      <c r="I783">
        <v>0.16478195660936712</v>
      </c>
      <c r="J783">
        <v>0.45846599625618839</v>
      </c>
      <c r="L783">
        <v>8949.2434271424499</v>
      </c>
      <c r="M783">
        <v>10.368672060960769</v>
      </c>
      <c r="N783">
        <v>9.8913909847070158</v>
      </c>
      <c r="O783">
        <v>20938.601571742674</v>
      </c>
      <c r="P783">
        <v>11.679159555910882</v>
      </c>
      <c r="Q783">
        <v>11.267296216374705</v>
      </c>
      <c r="S783">
        <f t="shared" si="50"/>
        <v>980189.8550435591</v>
      </c>
      <c r="T783">
        <f t="shared" si="51"/>
        <v>1105791.0200657279</v>
      </c>
      <c r="V783">
        <f t="shared" si="48"/>
        <v>0</v>
      </c>
      <c r="W783">
        <f t="shared" si="49"/>
        <v>1</v>
      </c>
    </row>
    <row r="784" spans="1:23" x14ac:dyDescent="0.2">
      <c r="A784">
        <v>779</v>
      </c>
      <c r="B784">
        <v>620.20983442567854</v>
      </c>
      <c r="C784">
        <v>3210.8065194211649</v>
      </c>
      <c r="D784">
        <v>1145.1213479551814</v>
      </c>
      <c r="E784">
        <v>557.40333213385111</v>
      </c>
      <c r="F784">
        <v>0.95852656046195517</v>
      </c>
      <c r="G784">
        <v>0.69024435109790394</v>
      </c>
      <c r="H784">
        <v>8.9492213789992992E-3</v>
      </c>
      <c r="I784">
        <v>0.15248507226630115</v>
      </c>
      <c r="J784">
        <v>0.54791661170003214</v>
      </c>
      <c r="L784">
        <v>12863.717551344207</v>
      </c>
      <c r="M784">
        <v>10.410981425043541</v>
      </c>
      <c r="N784">
        <v>9.3367986060605705</v>
      </c>
      <c r="O784">
        <v>22890.225921776637</v>
      </c>
      <c r="P784">
        <v>11.425522546151146</v>
      </c>
      <c r="Q784">
        <v>10.474798276879556</v>
      </c>
      <c r="S784">
        <f t="shared" si="50"/>
        <v>920816.14305471291</v>
      </c>
      <c r="T784">
        <f t="shared" si="51"/>
        <v>1024589.601766179</v>
      </c>
      <c r="V784">
        <f t="shared" si="48"/>
        <v>0</v>
      </c>
      <c r="W784">
        <f t="shared" si="49"/>
        <v>1</v>
      </c>
    </row>
    <row r="785" spans="1:23" x14ac:dyDescent="0.2">
      <c r="A785">
        <v>780</v>
      </c>
      <c r="B785">
        <v>516.4517809623286</v>
      </c>
      <c r="C785">
        <v>3083.6542344364684</v>
      </c>
      <c r="D785">
        <v>971.79639428614632</v>
      </c>
      <c r="E785">
        <v>902.54670988613304</v>
      </c>
      <c r="F785">
        <v>0.96253409685351166</v>
      </c>
      <c r="G785">
        <v>0.76618159715586287</v>
      </c>
      <c r="H785">
        <v>8.9998694641370367E-3</v>
      </c>
      <c r="I785">
        <v>0.13719594943895183</v>
      </c>
      <c r="J785">
        <v>0.50168877158474567</v>
      </c>
      <c r="L785">
        <v>12347.907215443247</v>
      </c>
      <c r="M785">
        <v>10.562145942124161</v>
      </c>
      <c r="N785">
        <v>9.6634687223152813</v>
      </c>
      <c r="O785">
        <v>20458.039966526943</v>
      </c>
      <c r="P785">
        <v>11.661673727125985</v>
      </c>
      <c r="Q785">
        <v>10.870415203691554</v>
      </c>
      <c r="S785">
        <f t="shared" si="50"/>
        <v>953998.96501608496</v>
      </c>
      <c r="T785">
        <f t="shared" si="51"/>
        <v>1066583.4804026284</v>
      </c>
      <c r="V785">
        <f t="shared" si="48"/>
        <v>0</v>
      </c>
      <c r="W785">
        <f t="shared" si="49"/>
        <v>1</v>
      </c>
    </row>
    <row r="786" spans="1:23" x14ac:dyDescent="0.2">
      <c r="A786">
        <v>781</v>
      </c>
      <c r="B786">
        <v>346.98944872225599</v>
      </c>
      <c r="C786">
        <v>2273.5484709024427</v>
      </c>
      <c r="D786">
        <v>963.55578119596782</v>
      </c>
      <c r="E786">
        <v>936.88548714202739</v>
      </c>
      <c r="F786">
        <v>0.96056536695100103</v>
      </c>
      <c r="G786">
        <v>0.71221165751981952</v>
      </c>
      <c r="H786">
        <v>9.6937617931278346E-3</v>
      </c>
      <c r="I786">
        <v>0.13833842693428869</v>
      </c>
      <c r="J786">
        <v>0.56406367178657102</v>
      </c>
      <c r="L786">
        <v>9022.5629581951653</v>
      </c>
      <c r="M786">
        <v>10.421450120327595</v>
      </c>
      <c r="N786">
        <v>9.3574693267044431</v>
      </c>
      <c r="O786">
        <v>17083.592163479268</v>
      </c>
      <c r="P786">
        <v>11.366675928532981</v>
      </c>
      <c r="Q786">
        <v>10.421312252187963</v>
      </c>
      <c r="S786">
        <f t="shared" si="50"/>
        <v>926724.36971224914</v>
      </c>
      <c r="T786">
        <f t="shared" si="51"/>
        <v>1025047.633055317</v>
      </c>
      <c r="V786">
        <f t="shared" si="48"/>
        <v>0</v>
      </c>
      <c r="W786">
        <f t="shared" si="49"/>
        <v>1</v>
      </c>
    </row>
    <row r="787" spans="1:23" x14ac:dyDescent="0.2">
      <c r="A787">
        <v>782</v>
      </c>
      <c r="B787">
        <v>436.78844961607609</v>
      </c>
      <c r="C787">
        <v>2720.6247819884138</v>
      </c>
      <c r="D787">
        <v>1016.7710058225324</v>
      </c>
      <c r="E787">
        <v>1025.2606954118119</v>
      </c>
      <c r="F787">
        <v>0.92699606922534139</v>
      </c>
      <c r="G787">
        <v>0.65467256265836116</v>
      </c>
      <c r="H787">
        <v>1.1219084164237706E-2</v>
      </c>
      <c r="I787">
        <v>0.1840131498530978</v>
      </c>
      <c r="J787">
        <v>0.46488529335000622</v>
      </c>
      <c r="L787">
        <v>9956.6927833627942</v>
      </c>
      <c r="M787">
        <v>9.6955861320129006</v>
      </c>
      <c r="N787">
        <v>8.3575681639483648</v>
      </c>
      <c r="O787">
        <v>18539.504185264675</v>
      </c>
      <c r="P787">
        <v>11.120379347007278</v>
      </c>
      <c r="Q787">
        <v>9.8641860310286376</v>
      </c>
      <c r="S787">
        <f t="shared" si="50"/>
        <v>825800.12361147371</v>
      </c>
      <c r="T787">
        <f t="shared" si="51"/>
        <v>967879.09891759907</v>
      </c>
      <c r="V787">
        <f t="shared" si="48"/>
        <v>0</v>
      </c>
      <c r="W787">
        <f t="shared" si="49"/>
        <v>1</v>
      </c>
    </row>
    <row r="788" spans="1:23" x14ac:dyDescent="0.2">
      <c r="A788">
        <v>783</v>
      </c>
      <c r="B788">
        <v>658.14621293694245</v>
      </c>
      <c r="C788">
        <v>3473.5210654683074</v>
      </c>
      <c r="D788">
        <v>1026.2619449709819</v>
      </c>
      <c r="E788">
        <v>1010.0502653753744</v>
      </c>
      <c r="F788">
        <v>0.98644012585873853</v>
      </c>
      <c r="G788">
        <v>0.89080418178142506</v>
      </c>
      <c r="H788">
        <v>8.7224678896151049E-3</v>
      </c>
      <c r="I788">
        <v>0.18118582170263309</v>
      </c>
      <c r="J788">
        <v>0.41939666796321151</v>
      </c>
      <c r="L788">
        <v>13060.50127533201</v>
      </c>
      <c r="M788">
        <v>10.204388265506349</v>
      </c>
      <c r="N788">
        <v>9.8636541022085105</v>
      </c>
      <c r="O788">
        <v>22353.017552611858</v>
      </c>
      <c r="P788">
        <v>11.704253543644914</v>
      </c>
      <c r="Q788">
        <v>11.417604752368343</v>
      </c>
      <c r="S788">
        <f t="shared" si="50"/>
        <v>973304.90894551901</v>
      </c>
      <c r="T788">
        <f t="shared" si="51"/>
        <v>1119407.4576842224</v>
      </c>
      <c r="V788">
        <f t="shared" si="48"/>
        <v>0</v>
      </c>
      <c r="W788">
        <f t="shared" si="49"/>
        <v>1</v>
      </c>
    </row>
    <row r="789" spans="1:23" x14ac:dyDescent="0.2">
      <c r="A789">
        <v>784</v>
      </c>
      <c r="B789">
        <v>443.5313567517515</v>
      </c>
      <c r="C789">
        <v>3350.3466071939151</v>
      </c>
      <c r="D789">
        <v>1062.4522448882947</v>
      </c>
      <c r="E789">
        <v>1052.3795862706429</v>
      </c>
      <c r="F789">
        <v>0.87534764502221651</v>
      </c>
      <c r="G789">
        <v>0.74348134770483321</v>
      </c>
      <c r="H789">
        <v>9.3822639798543175E-3</v>
      </c>
      <c r="I789">
        <v>0.14361117773962312</v>
      </c>
      <c r="J789">
        <v>0.47976015888397855</v>
      </c>
      <c r="L789">
        <v>12374.882025845272</v>
      </c>
      <c r="M789">
        <v>10.419386628073537</v>
      </c>
      <c r="N789">
        <v>8.7862330157182242</v>
      </c>
      <c r="O789">
        <v>20997.207033643579</v>
      </c>
      <c r="P789">
        <v>11.618600919966243</v>
      </c>
      <c r="Q789">
        <v>9.939042366477425</v>
      </c>
      <c r="S789">
        <f t="shared" si="50"/>
        <v>866248.41954597714</v>
      </c>
      <c r="T789">
        <f t="shared" si="51"/>
        <v>972907.02961409884</v>
      </c>
      <c r="V789">
        <f t="shared" si="48"/>
        <v>0</v>
      </c>
      <c r="W789">
        <f t="shared" si="49"/>
        <v>1</v>
      </c>
    </row>
    <row r="790" spans="1:23" x14ac:dyDescent="0.2">
      <c r="A790">
        <v>785</v>
      </c>
      <c r="B790">
        <v>424.07883587292127</v>
      </c>
      <c r="C790">
        <v>2898.158295336721</v>
      </c>
      <c r="D790">
        <v>1009.5876816394168</v>
      </c>
      <c r="E790">
        <v>911.41507066054328</v>
      </c>
      <c r="F790">
        <v>0.96591472907102693</v>
      </c>
      <c r="G790">
        <v>0.86303776248462438</v>
      </c>
      <c r="H790">
        <v>1.0151066605232463E-2</v>
      </c>
      <c r="I790">
        <v>0.13282289894408747</v>
      </c>
      <c r="J790">
        <v>0.51957368639053425</v>
      </c>
      <c r="L790">
        <v>11538.280401709908</v>
      </c>
      <c r="M790">
        <v>10.407838366350322</v>
      </c>
      <c r="N790">
        <v>9.7706519235234541</v>
      </c>
      <c r="O790">
        <v>19628.387362868481</v>
      </c>
      <c r="P790">
        <v>11.468836493064412</v>
      </c>
      <c r="Q790">
        <v>10.871203658135277</v>
      </c>
      <c r="S790">
        <f t="shared" si="50"/>
        <v>965526.91195063549</v>
      </c>
      <c r="T790">
        <f t="shared" si="51"/>
        <v>1067491.9784506592</v>
      </c>
      <c r="V790">
        <f t="shared" si="48"/>
        <v>0</v>
      </c>
      <c r="W790">
        <f t="shared" si="49"/>
        <v>1</v>
      </c>
    </row>
    <row r="791" spans="1:23" x14ac:dyDescent="0.2">
      <c r="A791">
        <v>786</v>
      </c>
      <c r="B791">
        <v>436.0871773099974</v>
      </c>
      <c r="C791">
        <v>2547.0701914422643</v>
      </c>
      <c r="D791">
        <v>1097.9136347923948</v>
      </c>
      <c r="E791">
        <v>1509.5624244049066</v>
      </c>
      <c r="F791">
        <v>0.95242728406949106</v>
      </c>
      <c r="G791">
        <v>0.77739372137289886</v>
      </c>
      <c r="H791">
        <v>1.0097966091725344E-2</v>
      </c>
      <c r="I791">
        <v>0.14898604304375906</v>
      </c>
      <c r="J791">
        <v>0.4032265611173908</v>
      </c>
      <c r="L791">
        <v>10427.155806210478</v>
      </c>
      <c r="M791">
        <v>10.231092559743377</v>
      </c>
      <c r="N791">
        <v>9.2973619985943792</v>
      </c>
      <c r="O791">
        <v>19990.115790374697</v>
      </c>
      <c r="P791">
        <v>11.727440394987665</v>
      </c>
      <c r="Q791">
        <v>10.886729713958703</v>
      </c>
      <c r="S791">
        <f t="shared" si="50"/>
        <v>919309.04405322741</v>
      </c>
      <c r="T791">
        <f t="shared" si="51"/>
        <v>1068682.8556054954</v>
      </c>
      <c r="V791">
        <f t="shared" si="48"/>
        <v>0</v>
      </c>
      <c r="W791">
        <f t="shared" si="49"/>
        <v>1</v>
      </c>
    </row>
    <row r="792" spans="1:23" x14ac:dyDescent="0.2">
      <c r="A792">
        <v>787</v>
      </c>
      <c r="B792">
        <v>426.89053596996007</v>
      </c>
      <c r="C792">
        <v>2283.1836372621069</v>
      </c>
      <c r="D792">
        <v>990.51713098229334</v>
      </c>
      <c r="E792">
        <v>750.77031849010609</v>
      </c>
      <c r="F792">
        <v>0.97119092853525724</v>
      </c>
      <c r="G792">
        <v>0.72849096594082552</v>
      </c>
      <c r="H792">
        <v>1.030736238070316E-2</v>
      </c>
      <c r="I792">
        <v>0.14860646460500049</v>
      </c>
      <c r="J792">
        <v>0.56251917064498602</v>
      </c>
      <c r="L792">
        <v>9428.5506685883956</v>
      </c>
      <c r="M792">
        <v>10.198446160612189</v>
      </c>
      <c r="N792">
        <v>9.2787382152280831</v>
      </c>
      <c r="O792">
        <v>17793.182826212214</v>
      </c>
      <c r="P792">
        <v>11.188750889697353</v>
      </c>
      <c r="Q792">
        <v>10.386111332560914</v>
      </c>
      <c r="S792">
        <f t="shared" si="50"/>
        <v>918445.27085421991</v>
      </c>
      <c r="T792">
        <f t="shared" si="51"/>
        <v>1020817.9504298791</v>
      </c>
      <c r="V792">
        <f t="shared" si="48"/>
        <v>0</v>
      </c>
      <c r="W792">
        <f t="shared" si="49"/>
        <v>1</v>
      </c>
    </row>
    <row r="793" spans="1:23" x14ac:dyDescent="0.2">
      <c r="A793">
        <v>788</v>
      </c>
      <c r="B793">
        <v>389.25010301569392</v>
      </c>
      <c r="C793">
        <v>2897.7869398183798</v>
      </c>
      <c r="D793">
        <v>942.09256634578298</v>
      </c>
      <c r="E793">
        <v>1068.9444905588971</v>
      </c>
      <c r="F793">
        <v>0.96380862429399272</v>
      </c>
      <c r="G793">
        <v>0.76284442672871866</v>
      </c>
      <c r="H793">
        <v>1.0376350191113149E-2</v>
      </c>
      <c r="I793">
        <v>0.18958432257861613</v>
      </c>
      <c r="J793">
        <v>0.51280904604312272</v>
      </c>
      <c r="L793">
        <v>9782.4712442151558</v>
      </c>
      <c r="M793">
        <v>9.8017210732916809</v>
      </c>
      <c r="N793">
        <v>9.0046746828296378</v>
      </c>
      <c r="O793">
        <v>17576.550159240625</v>
      </c>
      <c r="P793">
        <v>11.053414022463341</v>
      </c>
      <c r="Q793">
        <v>10.328412711273447</v>
      </c>
      <c r="S793">
        <f t="shared" si="50"/>
        <v>890684.99703874858</v>
      </c>
      <c r="T793">
        <f t="shared" si="51"/>
        <v>1015264.7209681041</v>
      </c>
      <c r="V793">
        <f t="shared" si="48"/>
        <v>0</v>
      </c>
      <c r="W793">
        <f t="shared" si="49"/>
        <v>1</v>
      </c>
    </row>
    <row r="794" spans="1:23" x14ac:dyDescent="0.2">
      <c r="A794">
        <v>789</v>
      </c>
      <c r="B794">
        <v>604.43031885216226</v>
      </c>
      <c r="C794">
        <v>2990.6888545621919</v>
      </c>
      <c r="D794">
        <v>917.53307759462689</v>
      </c>
      <c r="E794">
        <v>678.49136551911749</v>
      </c>
      <c r="F794">
        <v>0.97494765387446369</v>
      </c>
      <c r="G794">
        <v>0.74141884238838474</v>
      </c>
      <c r="H794">
        <v>9.7905626702528142E-3</v>
      </c>
      <c r="I794">
        <v>0.12185184838609017</v>
      </c>
      <c r="J794">
        <v>0.46560337620231712</v>
      </c>
      <c r="L794">
        <v>13434.242672408793</v>
      </c>
      <c r="M794">
        <v>10.608378823057574</v>
      </c>
      <c r="N794">
        <v>9.6784043146564542</v>
      </c>
      <c r="O794">
        <v>20927.265691889792</v>
      </c>
      <c r="P794">
        <v>11.772862681130173</v>
      </c>
      <c r="Q794">
        <v>11.024926838528978</v>
      </c>
      <c r="S794">
        <f t="shared" si="50"/>
        <v>954406.18879323662</v>
      </c>
      <c r="T794">
        <f t="shared" si="51"/>
        <v>1081565.4181610083</v>
      </c>
      <c r="V794">
        <f t="shared" si="48"/>
        <v>0</v>
      </c>
      <c r="W794">
        <f t="shared" si="49"/>
        <v>1</v>
      </c>
    </row>
    <row r="795" spans="1:23" x14ac:dyDescent="0.2">
      <c r="A795">
        <v>790</v>
      </c>
      <c r="B795">
        <v>488.62891346101111</v>
      </c>
      <c r="C795">
        <v>2738.8227648640986</v>
      </c>
      <c r="D795">
        <v>965.75034018385713</v>
      </c>
      <c r="E795">
        <v>594.67842562457986</v>
      </c>
      <c r="F795">
        <v>0.95690831162427448</v>
      </c>
      <c r="G795">
        <v>0.80841327194740442</v>
      </c>
      <c r="H795">
        <v>1.0201522058526853E-2</v>
      </c>
      <c r="I795">
        <v>0.14317081496690579</v>
      </c>
      <c r="J795">
        <v>0.48912489454241792</v>
      </c>
      <c r="L795">
        <v>11160.358124440289</v>
      </c>
      <c r="M795">
        <v>10.277150975070491</v>
      </c>
      <c r="N795">
        <v>9.4439580876972506</v>
      </c>
      <c r="O795">
        <v>19232.186538782131</v>
      </c>
      <c r="P795">
        <v>11.467765370728669</v>
      </c>
      <c r="Q795">
        <v>10.696718319338899</v>
      </c>
      <c r="S795">
        <f t="shared" si="50"/>
        <v>933235.45064528473</v>
      </c>
      <c r="T795">
        <f t="shared" si="51"/>
        <v>1050439.6453951078</v>
      </c>
      <c r="V795">
        <f t="shared" si="48"/>
        <v>0</v>
      </c>
      <c r="W795">
        <f t="shared" si="49"/>
        <v>1</v>
      </c>
    </row>
    <row r="796" spans="1:23" x14ac:dyDescent="0.2">
      <c r="A796">
        <v>791</v>
      </c>
      <c r="B796">
        <v>266.24553728513655</v>
      </c>
      <c r="C796">
        <v>3386.9640388297053</v>
      </c>
      <c r="D796">
        <v>1061.0948520451075</v>
      </c>
      <c r="E796">
        <v>641.75057153329783</v>
      </c>
      <c r="F796">
        <v>0.96150012687188702</v>
      </c>
      <c r="G796">
        <v>0.7923438443718529</v>
      </c>
      <c r="H796">
        <v>1.0313745794586012E-2</v>
      </c>
      <c r="I796">
        <v>0.12060406486048648</v>
      </c>
      <c r="J796">
        <v>0.48323073029668001</v>
      </c>
      <c r="L796">
        <v>12151.987302798674</v>
      </c>
      <c r="M796">
        <v>10.540065215658474</v>
      </c>
      <c r="N796">
        <v>9.6399546188172884</v>
      </c>
      <c r="O796">
        <v>19867.577002533977</v>
      </c>
      <c r="P796">
        <v>11.660527130853222</v>
      </c>
      <c r="Q796">
        <v>10.864100139822677</v>
      </c>
      <c r="S796">
        <f t="shared" si="50"/>
        <v>951843.47457893018</v>
      </c>
      <c r="T796">
        <f t="shared" si="51"/>
        <v>1066542.4369797336</v>
      </c>
      <c r="V796">
        <f t="shared" si="48"/>
        <v>0</v>
      </c>
      <c r="W796">
        <f t="shared" si="49"/>
        <v>1</v>
      </c>
    </row>
    <row r="797" spans="1:23" x14ac:dyDescent="0.2">
      <c r="A797">
        <v>792</v>
      </c>
      <c r="B797">
        <v>420.80102244126192</v>
      </c>
      <c r="C797">
        <v>3620.2588536821154</v>
      </c>
      <c r="D797">
        <v>924.66874230425049</v>
      </c>
      <c r="E797">
        <v>1344.0299188993602</v>
      </c>
      <c r="F797">
        <v>0.94537841360321007</v>
      </c>
      <c r="G797">
        <v>0.78129023031898315</v>
      </c>
      <c r="H797">
        <v>1.0754658391991613E-2</v>
      </c>
      <c r="I797">
        <v>0.17483416393610174</v>
      </c>
      <c r="J797">
        <v>0.52650380826668475</v>
      </c>
      <c r="L797">
        <v>12248.745298346546</v>
      </c>
      <c r="M797">
        <v>9.8586694415680256</v>
      </c>
      <c r="N797">
        <v>8.933167476522577</v>
      </c>
      <c r="O797">
        <v>19276.21582568952</v>
      </c>
      <c r="P797">
        <v>11.036553102628883</v>
      </c>
      <c r="Q797">
        <v>10.14429166592973</v>
      </c>
      <c r="S797">
        <f t="shared" si="50"/>
        <v>881068.00235391117</v>
      </c>
      <c r="T797">
        <f t="shared" si="51"/>
        <v>995152.95076728356</v>
      </c>
      <c r="V797">
        <f t="shared" si="48"/>
        <v>0</v>
      </c>
      <c r="W797">
        <f t="shared" si="49"/>
        <v>1</v>
      </c>
    </row>
    <row r="798" spans="1:23" x14ac:dyDescent="0.2">
      <c r="A798">
        <v>793</v>
      </c>
      <c r="B798">
        <v>797.45727610959318</v>
      </c>
      <c r="C798">
        <v>4294.590738791615</v>
      </c>
      <c r="D798">
        <v>1073.9680790366526</v>
      </c>
      <c r="E798">
        <v>1261.3229846462743</v>
      </c>
      <c r="F798">
        <v>0.96851374891412578</v>
      </c>
      <c r="G798">
        <v>0.77621411610957691</v>
      </c>
      <c r="H798">
        <v>1.0772807171507517E-2</v>
      </c>
      <c r="I798">
        <v>0.1614016702266442</v>
      </c>
      <c r="J798">
        <v>0.44217989231879101</v>
      </c>
      <c r="L798">
        <v>17171.198356642031</v>
      </c>
      <c r="M798">
        <v>9.9839606181652201</v>
      </c>
      <c r="N798">
        <v>9.1910555261489275</v>
      </c>
      <c r="O798">
        <v>25786.992997396232</v>
      </c>
      <c r="P798">
        <v>11.409972285684074</v>
      </c>
      <c r="Q798">
        <v>10.726103299352564</v>
      </c>
      <c r="S798">
        <f t="shared" si="50"/>
        <v>901934.35425825068</v>
      </c>
      <c r="T798">
        <f t="shared" si="51"/>
        <v>1046823.3369378601</v>
      </c>
      <c r="V798">
        <f t="shared" si="48"/>
        <v>0</v>
      </c>
      <c r="W798">
        <f t="shared" si="49"/>
        <v>1</v>
      </c>
    </row>
    <row r="799" spans="1:23" x14ac:dyDescent="0.2">
      <c r="A799">
        <v>794</v>
      </c>
      <c r="B799">
        <v>400.01898692209511</v>
      </c>
      <c r="C799">
        <v>3598.1523664960137</v>
      </c>
      <c r="D799">
        <v>865.82817148178549</v>
      </c>
      <c r="E799">
        <v>1555.6429842958357</v>
      </c>
      <c r="F799">
        <v>0.8988650939283892</v>
      </c>
      <c r="G799">
        <v>0.79111975879416285</v>
      </c>
      <c r="H799">
        <v>1.0880565666232734E-2</v>
      </c>
      <c r="I799">
        <v>0.17271431981005614</v>
      </c>
      <c r="J799">
        <v>0.58046161869577384</v>
      </c>
      <c r="L799">
        <v>12223.045924761727</v>
      </c>
      <c r="M799">
        <v>9.8559452263855736</v>
      </c>
      <c r="N799">
        <v>8.6018156288031182</v>
      </c>
      <c r="O799">
        <v>18640.332009110982</v>
      </c>
      <c r="P799">
        <v>10.860943577799315</v>
      </c>
      <c r="Q799">
        <v>9.5598714572737933</v>
      </c>
      <c r="S799">
        <f t="shared" si="50"/>
        <v>847958.51695555018</v>
      </c>
      <c r="T799">
        <f t="shared" si="51"/>
        <v>937346.81371826841</v>
      </c>
      <c r="V799">
        <f t="shared" si="48"/>
        <v>0</v>
      </c>
      <c r="W799">
        <f t="shared" si="49"/>
        <v>1</v>
      </c>
    </row>
    <row r="800" spans="1:23" x14ac:dyDescent="0.2">
      <c r="A800">
        <v>795</v>
      </c>
      <c r="B800">
        <v>463.16249483586489</v>
      </c>
      <c r="C800">
        <v>2440.1191061845375</v>
      </c>
      <c r="D800">
        <v>953.35090648265327</v>
      </c>
      <c r="E800">
        <v>695.79312542736943</v>
      </c>
      <c r="F800">
        <v>0.9839107473371248</v>
      </c>
      <c r="G800">
        <v>0.87714811478859778</v>
      </c>
      <c r="H800">
        <v>8.0387441633685084E-3</v>
      </c>
      <c r="I800">
        <v>9.150772215434845E-2</v>
      </c>
      <c r="J800">
        <v>0.46512726686445843</v>
      </c>
      <c r="L800">
        <v>11436.449550589767</v>
      </c>
      <c r="M800">
        <v>11.345739925559753</v>
      </c>
      <c r="N800">
        <v>10.839786898373887</v>
      </c>
      <c r="O800">
        <v>19571.159253715145</v>
      </c>
      <c r="P800">
        <v>12.296041435943399</v>
      </c>
      <c r="Q800">
        <v>11.886734333034498</v>
      </c>
      <c r="S800">
        <f t="shared" si="50"/>
        <v>1072542.2402867989</v>
      </c>
      <c r="T800">
        <f t="shared" si="51"/>
        <v>1169102.2740497347</v>
      </c>
      <c r="V800">
        <f t="shared" si="48"/>
        <v>0</v>
      </c>
      <c r="W800">
        <f t="shared" si="49"/>
        <v>1</v>
      </c>
    </row>
    <row r="801" spans="1:23" x14ac:dyDescent="0.2">
      <c r="A801">
        <v>796</v>
      </c>
      <c r="B801">
        <v>352.98891464900584</v>
      </c>
      <c r="C801">
        <v>2677.971434279089</v>
      </c>
      <c r="D801">
        <v>944.17057910608378</v>
      </c>
      <c r="E801">
        <v>1094.9602302672859</v>
      </c>
      <c r="F801">
        <v>0.95463394621889486</v>
      </c>
      <c r="G801">
        <v>0.76914719486653982</v>
      </c>
      <c r="H801">
        <v>1.0268042620795233E-2</v>
      </c>
      <c r="I801">
        <v>0.12840197742934359</v>
      </c>
      <c r="J801">
        <v>0.53271137069598962</v>
      </c>
      <c r="L801">
        <v>10623.858606239226</v>
      </c>
      <c r="M801">
        <v>10.443932997806716</v>
      </c>
      <c r="N801">
        <v>9.4482386493164068</v>
      </c>
      <c r="O801">
        <v>18037.059892030211</v>
      </c>
      <c r="P801">
        <v>11.453898115127979</v>
      </c>
      <c r="Q801">
        <v>10.546638666265629</v>
      </c>
      <c r="S801">
        <f t="shared" si="50"/>
        <v>934200.00632540148</v>
      </c>
      <c r="T801">
        <f t="shared" si="51"/>
        <v>1036626.8067345328</v>
      </c>
      <c r="V801">
        <f t="shared" si="48"/>
        <v>0</v>
      </c>
      <c r="W801">
        <f t="shared" si="49"/>
        <v>1</v>
      </c>
    </row>
    <row r="802" spans="1:23" x14ac:dyDescent="0.2">
      <c r="A802">
        <v>797</v>
      </c>
      <c r="B802">
        <v>786.92552080010182</v>
      </c>
      <c r="C802">
        <v>3368.2307018525971</v>
      </c>
      <c r="D802">
        <v>974.20164534546609</v>
      </c>
      <c r="E802">
        <v>880.36130432085542</v>
      </c>
      <c r="F802">
        <v>0.9493005295206336</v>
      </c>
      <c r="G802">
        <v>0.72483275507324463</v>
      </c>
      <c r="H802">
        <v>9.3389876047810464E-3</v>
      </c>
      <c r="I802">
        <v>0.13928689114855025</v>
      </c>
      <c r="J802">
        <v>0.50009787363173341</v>
      </c>
      <c r="L802">
        <v>15214.70862663807</v>
      </c>
      <c r="M802">
        <v>10.475136282638431</v>
      </c>
      <c r="N802">
        <v>9.3653055742498292</v>
      </c>
      <c r="O802">
        <v>23579.012870855509</v>
      </c>
      <c r="P802">
        <v>11.596547080111769</v>
      </c>
      <c r="Q802">
        <v>10.599049557471195</v>
      </c>
      <c r="S802">
        <f t="shared" si="50"/>
        <v>921315.84879834484</v>
      </c>
      <c r="T802">
        <f t="shared" si="51"/>
        <v>1036325.9428762641</v>
      </c>
      <c r="V802">
        <f t="shared" si="48"/>
        <v>0</v>
      </c>
      <c r="W802">
        <f t="shared" si="49"/>
        <v>1</v>
      </c>
    </row>
    <row r="803" spans="1:23" x14ac:dyDescent="0.2">
      <c r="A803">
        <v>798</v>
      </c>
      <c r="B803">
        <v>584.43426348489743</v>
      </c>
      <c r="C803">
        <v>2571.0250865749999</v>
      </c>
      <c r="D803">
        <v>1130.4548396747393</v>
      </c>
      <c r="E803">
        <v>922.49598347580707</v>
      </c>
      <c r="F803">
        <v>0.92550738026667889</v>
      </c>
      <c r="G803">
        <v>0.80939052973672865</v>
      </c>
      <c r="H803">
        <v>1.171804162107052E-2</v>
      </c>
      <c r="I803">
        <v>0.10873868022283475</v>
      </c>
      <c r="J803">
        <v>0.63001171837438819</v>
      </c>
      <c r="L803">
        <v>12932.203777560564</v>
      </c>
      <c r="M803">
        <v>10.512282042306708</v>
      </c>
      <c r="N803">
        <v>9.351479054284173</v>
      </c>
      <c r="O803">
        <v>21795.786922186835</v>
      </c>
      <c r="P803">
        <v>11.221429113520644</v>
      </c>
      <c r="Q803">
        <v>10.075657445792661</v>
      </c>
      <c r="S803">
        <f t="shared" si="50"/>
        <v>922215.70165085664</v>
      </c>
      <c r="T803">
        <f t="shared" si="51"/>
        <v>985769.95765707921</v>
      </c>
      <c r="V803">
        <f t="shared" si="48"/>
        <v>0</v>
      </c>
      <c r="W803">
        <f t="shared" si="49"/>
        <v>1</v>
      </c>
    </row>
    <row r="804" spans="1:23" x14ac:dyDescent="0.2">
      <c r="A804">
        <v>799</v>
      </c>
      <c r="B804">
        <v>488.94862701014853</v>
      </c>
      <c r="C804">
        <v>2130.7215085400953</v>
      </c>
      <c r="D804">
        <v>1176.4281673548812</v>
      </c>
      <c r="E804">
        <v>1304.4067281040525</v>
      </c>
      <c r="F804">
        <v>0.95382758346328544</v>
      </c>
      <c r="G804">
        <v>0.76105706691704167</v>
      </c>
      <c r="H804">
        <v>1.0179795429919125E-2</v>
      </c>
      <c r="I804">
        <v>0.13294261247730901</v>
      </c>
      <c r="J804">
        <v>0.50121389592996257</v>
      </c>
      <c r="L804">
        <v>10072.11501615128</v>
      </c>
      <c r="M804">
        <v>10.401542563814399</v>
      </c>
      <c r="N804">
        <v>9.3917392680048906</v>
      </c>
      <c r="O804">
        <v>20439.798185817268</v>
      </c>
      <c r="P804">
        <v>11.517194545657151</v>
      </c>
      <c r="Q804">
        <v>10.605364040497459</v>
      </c>
      <c r="S804">
        <f t="shared" si="50"/>
        <v>929101.81178433774</v>
      </c>
      <c r="T804">
        <f t="shared" si="51"/>
        <v>1040096.6058639287</v>
      </c>
      <c r="V804">
        <f t="shared" si="48"/>
        <v>0</v>
      </c>
      <c r="W804">
        <f t="shared" si="49"/>
        <v>1</v>
      </c>
    </row>
    <row r="805" spans="1:23" x14ac:dyDescent="0.2">
      <c r="A805">
        <v>800</v>
      </c>
      <c r="B805">
        <v>747.35166574170512</v>
      </c>
      <c r="C805">
        <v>3515.5393163981266</v>
      </c>
      <c r="D805">
        <v>1102.5855562187305</v>
      </c>
      <c r="E805">
        <v>864.07361376785479</v>
      </c>
      <c r="F805">
        <v>0.96122075403012452</v>
      </c>
      <c r="G805">
        <v>0.74248882461569621</v>
      </c>
      <c r="H805">
        <v>1.0120872879657719E-2</v>
      </c>
      <c r="I805">
        <v>0.14203473097301025</v>
      </c>
      <c r="J805">
        <v>0.48247662178359196</v>
      </c>
      <c r="L805">
        <v>15312.910013910985</v>
      </c>
      <c r="M805">
        <v>10.304011950794386</v>
      </c>
      <c r="N805">
        <v>9.3284781428152872</v>
      </c>
      <c r="O805">
        <v>24600.831943609806</v>
      </c>
      <c r="P805">
        <v>11.509253248683667</v>
      </c>
      <c r="Q805">
        <v>10.658153717858363</v>
      </c>
      <c r="S805">
        <f t="shared" si="50"/>
        <v>917534.90426761773</v>
      </c>
      <c r="T805">
        <f t="shared" si="51"/>
        <v>1041214.5398422265</v>
      </c>
      <c r="V805">
        <f t="shared" si="48"/>
        <v>0</v>
      </c>
      <c r="W805">
        <f t="shared" si="49"/>
        <v>1</v>
      </c>
    </row>
    <row r="806" spans="1:23" x14ac:dyDescent="0.2">
      <c r="A806">
        <v>801</v>
      </c>
      <c r="B806">
        <v>414.09031189890362</v>
      </c>
      <c r="C806">
        <v>3559.222264758293</v>
      </c>
      <c r="D806">
        <v>879.95604882947737</v>
      </c>
      <c r="E806">
        <v>2637.4856979594388</v>
      </c>
      <c r="F806">
        <v>0.91426910487471058</v>
      </c>
      <c r="G806">
        <v>0.79230373561781331</v>
      </c>
      <c r="H806">
        <v>1.1697867919043698E-2</v>
      </c>
      <c r="I806">
        <v>0.14934407438645059</v>
      </c>
      <c r="J806">
        <v>0.48781676508477334</v>
      </c>
      <c r="L806">
        <v>13674.440498182732</v>
      </c>
      <c r="M806">
        <v>9.9624442657355203</v>
      </c>
      <c r="N806">
        <v>8.7792648680305252</v>
      </c>
      <c r="O806">
        <v>19706.825521086255</v>
      </c>
      <c r="P806">
        <v>11.208605082721526</v>
      </c>
      <c r="Q806">
        <v>10.009060546162752</v>
      </c>
      <c r="S806">
        <f t="shared" si="50"/>
        <v>864252.0463048697</v>
      </c>
      <c r="T806">
        <f t="shared" si="51"/>
        <v>981199.22909518902</v>
      </c>
      <c r="V806">
        <f t="shared" si="48"/>
        <v>0</v>
      </c>
      <c r="W806">
        <f t="shared" si="49"/>
        <v>1</v>
      </c>
    </row>
    <row r="807" spans="1:23" x14ac:dyDescent="0.2">
      <c r="A807">
        <v>802</v>
      </c>
      <c r="B807">
        <v>417.87723139076485</v>
      </c>
      <c r="C807">
        <v>2860.2594520449084</v>
      </c>
      <c r="D807">
        <v>807.24693944910405</v>
      </c>
      <c r="E807">
        <v>927.14291712266174</v>
      </c>
      <c r="F807">
        <v>0.8713873799462305</v>
      </c>
      <c r="G807">
        <v>0.76121959946896767</v>
      </c>
      <c r="H807">
        <v>1.0895214134845628E-2</v>
      </c>
      <c r="I807">
        <v>0.17324755101904177</v>
      </c>
      <c r="J807">
        <v>0.54008790784994731</v>
      </c>
      <c r="L807">
        <v>10323.022431140971</v>
      </c>
      <c r="M807">
        <v>9.8484415963521137</v>
      </c>
      <c r="N807">
        <v>8.3190825279829959</v>
      </c>
      <c r="O807">
        <v>16704.013187059478</v>
      </c>
      <c r="P807">
        <v>10.980810797917044</v>
      </c>
      <c r="Q807">
        <v>9.3690853536079164</v>
      </c>
      <c r="S807">
        <f t="shared" si="50"/>
        <v>821585.23036715854</v>
      </c>
      <c r="T807">
        <f t="shared" si="51"/>
        <v>920204.52217373217</v>
      </c>
      <c r="V807">
        <f t="shared" si="48"/>
        <v>0</v>
      </c>
      <c r="W807">
        <f t="shared" si="49"/>
        <v>1</v>
      </c>
    </row>
    <row r="808" spans="1:23" x14ac:dyDescent="0.2">
      <c r="A808">
        <v>803</v>
      </c>
      <c r="B808">
        <v>601.37530115638572</v>
      </c>
      <c r="C808">
        <v>3736.1584074135317</v>
      </c>
      <c r="D808">
        <v>912.45751767964782</v>
      </c>
      <c r="E808">
        <v>961.94926400517159</v>
      </c>
      <c r="F808">
        <v>0.9572090120713197</v>
      </c>
      <c r="G808">
        <v>0.66423775830666187</v>
      </c>
      <c r="H808">
        <v>1.0811782007851324E-2</v>
      </c>
      <c r="I808">
        <v>0.17057352424194572</v>
      </c>
      <c r="J808">
        <v>0.55434820021149078</v>
      </c>
      <c r="L808">
        <v>13872.664370687648</v>
      </c>
      <c r="M808">
        <v>9.8879888454480938</v>
      </c>
      <c r="N808">
        <v>8.7609423362459182</v>
      </c>
      <c r="O808">
        <v>21009.034200776885</v>
      </c>
      <c r="P808">
        <v>10.967496622864926</v>
      </c>
      <c r="Q808">
        <v>9.9572674522095692</v>
      </c>
      <c r="S808">
        <f t="shared" si="50"/>
        <v>862221.56925390416</v>
      </c>
      <c r="T808">
        <f t="shared" si="51"/>
        <v>974717.71102018014</v>
      </c>
      <c r="V808">
        <f t="shared" si="48"/>
        <v>0</v>
      </c>
      <c r="W808">
        <f t="shared" si="49"/>
        <v>1</v>
      </c>
    </row>
    <row r="809" spans="1:23" x14ac:dyDescent="0.2">
      <c r="A809">
        <v>804</v>
      </c>
      <c r="B809">
        <v>732.50455353997722</v>
      </c>
      <c r="C809">
        <v>2893.5463145477938</v>
      </c>
      <c r="D809">
        <v>736.69608943085007</v>
      </c>
      <c r="E809">
        <v>1069.1644435829867</v>
      </c>
      <c r="F809">
        <v>0.96980080027541948</v>
      </c>
      <c r="G809">
        <v>0.74667470748785214</v>
      </c>
      <c r="H809">
        <v>1.0742477168159414E-2</v>
      </c>
      <c r="I809">
        <v>0.12828798124139904</v>
      </c>
      <c r="J809">
        <v>0.51774012493466592</v>
      </c>
      <c r="L809">
        <v>14182.127469331448</v>
      </c>
      <c r="M809">
        <v>10.369296330052181</v>
      </c>
      <c r="N809">
        <v>9.4166800966226791</v>
      </c>
      <c r="O809">
        <v>20087.730972188059</v>
      </c>
      <c r="P809">
        <v>11.430054077066067</v>
      </c>
      <c r="Q809">
        <v>10.614092509115986</v>
      </c>
      <c r="S809">
        <f t="shared" si="50"/>
        <v>927485.88219293638</v>
      </c>
      <c r="T809">
        <f t="shared" si="51"/>
        <v>1041321.5199394105</v>
      </c>
      <c r="V809">
        <f t="shared" si="48"/>
        <v>0</v>
      </c>
      <c r="W809">
        <f t="shared" si="49"/>
        <v>1</v>
      </c>
    </row>
    <row r="810" spans="1:23" x14ac:dyDescent="0.2">
      <c r="A810">
        <v>805</v>
      </c>
      <c r="B810">
        <v>454.40164867582382</v>
      </c>
      <c r="C810">
        <v>3008.6994277566073</v>
      </c>
      <c r="D810">
        <v>960.79543923362644</v>
      </c>
      <c r="E810">
        <v>859.92792064190894</v>
      </c>
      <c r="F810">
        <v>0.96940732103651772</v>
      </c>
      <c r="G810">
        <v>0.9187153406038826</v>
      </c>
      <c r="H810">
        <v>1.0325517476921679E-2</v>
      </c>
      <c r="I810">
        <v>0.15469797472661539</v>
      </c>
      <c r="J810">
        <v>0.47590754057108253</v>
      </c>
      <c r="L810">
        <v>11364.236057767357</v>
      </c>
      <c r="M810">
        <v>10.130454774021464</v>
      </c>
      <c r="N810">
        <v>9.6930030505961806</v>
      </c>
      <c r="O810">
        <v>19188.092514585511</v>
      </c>
      <c r="P810">
        <v>11.406524238723318</v>
      </c>
      <c r="Q810">
        <v>10.968147123591224</v>
      </c>
      <c r="S810">
        <f t="shared" si="50"/>
        <v>957936.06900185067</v>
      </c>
      <c r="T810">
        <f t="shared" si="51"/>
        <v>1077626.619844537</v>
      </c>
      <c r="V810">
        <f t="shared" si="48"/>
        <v>0</v>
      </c>
      <c r="W810">
        <f t="shared" si="49"/>
        <v>1</v>
      </c>
    </row>
    <row r="811" spans="1:23" x14ac:dyDescent="0.2">
      <c r="A811">
        <v>806</v>
      </c>
      <c r="B811">
        <v>515.35784638372479</v>
      </c>
      <c r="C811">
        <v>2783.4915225366817</v>
      </c>
      <c r="D811">
        <v>882.00147132214647</v>
      </c>
      <c r="E811">
        <v>1377.193246432061</v>
      </c>
      <c r="F811">
        <v>0.9699876065750872</v>
      </c>
      <c r="G811">
        <v>0.77257254734748204</v>
      </c>
      <c r="H811">
        <v>1.0127996209812534E-2</v>
      </c>
      <c r="I811">
        <v>0.14025856307009196</v>
      </c>
      <c r="J811">
        <v>0.63963547794319719</v>
      </c>
      <c r="L811">
        <v>11853.030564802097</v>
      </c>
      <c r="M811">
        <v>10.323149991375658</v>
      </c>
      <c r="N811">
        <v>9.4893372577256194</v>
      </c>
      <c r="O811">
        <v>18910.354989518288</v>
      </c>
      <c r="P811">
        <v>11.080836688062536</v>
      </c>
      <c r="Q811">
        <v>10.319961870052584</v>
      </c>
      <c r="S811">
        <f t="shared" si="50"/>
        <v>937080.69520775985</v>
      </c>
      <c r="T811">
        <f t="shared" si="51"/>
        <v>1013085.8320157401</v>
      </c>
      <c r="V811">
        <f t="shared" si="48"/>
        <v>0</v>
      </c>
      <c r="W811">
        <f t="shared" si="49"/>
        <v>1</v>
      </c>
    </row>
    <row r="812" spans="1:23" x14ac:dyDescent="0.2">
      <c r="A812">
        <v>807</v>
      </c>
      <c r="B812">
        <v>456.34212639117987</v>
      </c>
      <c r="C812">
        <v>3047.6919683602196</v>
      </c>
      <c r="D812">
        <v>1172.4496913987662</v>
      </c>
      <c r="E812">
        <v>1281.591057045905</v>
      </c>
      <c r="F812">
        <v>0.94799579262698119</v>
      </c>
      <c r="G812">
        <v>0.71104195040981988</v>
      </c>
      <c r="H812">
        <v>9.4671631102254284E-3</v>
      </c>
      <c r="I812">
        <v>0.16298435927230437</v>
      </c>
      <c r="J812">
        <v>0.42631890836796743</v>
      </c>
      <c r="L812">
        <v>11236.351406837535</v>
      </c>
      <c r="M812">
        <v>10.20768867207212</v>
      </c>
      <c r="N812">
        <v>9.1202062376676185</v>
      </c>
      <c r="O812">
        <v>21458.422265264813</v>
      </c>
      <c r="P812">
        <v>11.654220601611714</v>
      </c>
      <c r="Q812">
        <v>10.687705916637469</v>
      </c>
      <c r="S812">
        <f t="shared" si="50"/>
        <v>900784.27235992427</v>
      </c>
      <c r="T812">
        <f t="shared" si="51"/>
        <v>1047312.1693984821</v>
      </c>
      <c r="V812">
        <f t="shared" si="48"/>
        <v>0</v>
      </c>
      <c r="W812">
        <f t="shared" si="49"/>
        <v>1</v>
      </c>
    </row>
    <row r="813" spans="1:23" x14ac:dyDescent="0.2">
      <c r="A813">
        <v>808</v>
      </c>
      <c r="B813">
        <v>379.26161566683538</v>
      </c>
      <c r="C813">
        <v>4219.5422193988388</v>
      </c>
      <c r="D813">
        <v>899.82614812040526</v>
      </c>
      <c r="E813">
        <v>513.90112185933617</v>
      </c>
      <c r="F813">
        <v>0.92761091014031949</v>
      </c>
      <c r="G813">
        <v>0.67033635237710176</v>
      </c>
      <c r="H813">
        <v>1.0356041483068337E-2</v>
      </c>
      <c r="I813">
        <v>0.16962882267620849</v>
      </c>
      <c r="J813">
        <v>0.4998231653051709</v>
      </c>
      <c r="L813">
        <v>13100.007990668202</v>
      </c>
      <c r="M813">
        <v>9.9782273552804313</v>
      </c>
      <c r="N813">
        <v>8.6456749461206908</v>
      </c>
      <c r="O813">
        <v>19542.553467655198</v>
      </c>
      <c r="P813">
        <v>11.22208010804122</v>
      </c>
      <c r="Q813">
        <v>9.9688254033953179</v>
      </c>
      <c r="S813">
        <f t="shared" si="50"/>
        <v>851467.48662140092</v>
      </c>
      <c r="T813">
        <f t="shared" si="51"/>
        <v>977339.98687187664</v>
      </c>
      <c r="V813">
        <f t="shared" si="48"/>
        <v>0</v>
      </c>
      <c r="W813">
        <f t="shared" si="49"/>
        <v>1</v>
      </c>
    </row>
    <row r="814" spans="1:23" x14ac:dyDescent="0.2">
      <c r="A814">
        <v>809</v>
      </c>
      <c r="B814">
        <v>469.19634768633466</v>
      </c>
      <c r="C814">
        <v>2802.400116667211</v>
      </c>
      <c r="D814">
        <v>1122.0405145667003</v>
      </c>
      <c r="E814">
        <v>785.26822861482708</v>
      </c>
      <c r="F814">
        <v>0.92010168679459081</v>
      </c>
      <c r="G814">
        <v>0.89403688174913543</v>
      </c>
      <c r="H814">
        <v>8.1252578975732469E-3</v>
      </c>
      <c r="I814">
        <v>0.1132617562820394</v>
      </c>
      <c r="J814">
        <v>0.48388702437802539</v>
      </c>
      <c r="L814">
        <v>11784.788926765463</v>
      </c>
      <c r="M814">
        <v>11.017828378149394</v>
      </c>
      <c r="N814">
        <v>10.066335327218223</v>
      </c>
      <c r="O814">
        <v>21553.169905730239</v>
      </c>
      <c r="P814">
        <v>12.039078966089383</v>
      </c>
      <c r="Q814">
        <v>11.029138390218977</v>
      </c>
      <c r="S814">
        <f t="shared" si="50"/>
        <v>994848.74379505683</v>
      </c>
      <c r="T814">
        <f t="shared" si="51"/>
        <v>1081360.6691161674</v>
      </c>
      <c r="V814">
        <f t="shared" si="48"/>
        <v>0</v>
      </c>
      <c r="W814">
        <f t="shared" si="49"/>
        <v>1</v>
      </c>
    </row>
    <row r="815" spans="1:23" x14ac:dyDescent="0.2">
      <c r="A815">
        <v>810</v>
      </c>
      <c r="B815">
        <v>374.73586130520408</v>
      </c>
      <c r="C815">
        <v>2901.0828291469657</v>
      </c>
      <c r="D815">
        <v>1144.8084862970609</v>
      </c>
      <c r="E815">
        <v>1037.9393533632938</v>
      </c>
      <c r="F815">
        <v>0.94490234520849636</v>
      </c>
      <c r="G815">
        <v>0.66190102853276112</v>
      </c>
      <c r="H815">
        <v>8.9318547287936707E-3</v>
      </c>
      <c r="I815">
        <v>0.11753663865387343</v>
      </c>
      <c r="J815">
        <v>0.48164352997030174</v>
      </c>
      <c r="L815">
        <v>11445.462728218174</v>
      </c>
      <c r="M815">
        <v>10.813566106756118</v>
      </c>
      <c r="N815">
        <v>9.4277249146927886</v>
      </c>
      <c r="O815">
        <v>20936.485764629695</v>
      </c>
      <c r="P815">
        <v>11.887755384677853</v>
      </c>
      <c r="Q815">
        <v>10.692091701360571</v>
      </c>
      <c r="S815">
        <f t="shared" si="50"/>
        <v>931327.02874106064</v>
      </c>
      <c r="T815">
        <f t="shared" si="51"/>
        <v>1048272.6843714274</v>
      </c>
      <c r="V815">
        <f t="shared" si="48"/>
        <v>0</v>
      </c>
      <c r="W815">
        <f t="shared" si="49"/>
        <v>1</v>
      </c>
    </row>
    <row r="816" spans="1:23" x14ac:dyDescent="0.2">
      <c r="A816">
        <v>811</v>
      </c>
      <c r="B816">
        <v>387.8103744429016</v>
      </c>
      <c r="C816">
        <v>3190.7217312268826</v>
      </c>
      <c r="D816">
        <v>983.92885558694866</v>
      </c>
      <c r="E816">
        <v>887.45718632795922</v>
      </c>
      <c r="F816">
        <v>0.9829024070757042</v>
      </c>
      <c r="G816">
        <v>0.75857899568587062</v>
      </c>
      <c r="H816">
        <v>1.0144724976321106E-2</v>
      </c>
      <c r="I816">
        <v>0.11885891051561523</v>
      </c>
      <c r="J816">
        <v>0.43110062542305061</v>
      </c>
      <c r="L816">
        <v>12619.574034530024</v>
      </c>
      <c r="M816">
        <v>10.591043401917561</v>
      </c>
      <c r="N816">
        <v>9.7534145077580945</v>
      </c>
      <c r="O816">
        <v>19952.67799637447</v>
      </c>
      <c r="P816">
        <v>11.854593562913319</v>
      </c>
      <c r="Q816">
        <v>11.221639498774413</v>
      </c>
      <c r="S816">
        <f t="shared" si="50"/>
        <v>962721.8767412795</v>
      </c>
      <c r="T816">
        <f t="shared" si="51"/>
        <v>1102211.271881067</v>
      </c>
      <c r="V816">
        <f t="shared" si="48"/>
        <v>0</v>
      </c>
      <c r="W816">
        <f t="shared" si="49"/>
        <v>1</v>
      </c>
    </row>
    <row r="817" spans="1:23" x14ac:dyDescent="0.2">
      <c r="A817">
        <v>812</v>
      </c>
      <c r="B817">
        <v>583.75074275094164</v>
      </c>
      <c r="C817">
        <v>2896.5860318918189</v>
      </c>
      <c r="D817">
        <v>1049.6499953436141</v>
      </c>
      <c r="E817">
        <v>1065.0137988224008</v>
      </c>
      <c r="F817">
        <v>0.95717480758238171</v>
      </c>
      <c r="G817">
        <v>0.76349471452115625</v>
      </c>
      <c r="H817">
        <v>9.2672612199276756E-3</v>
      </c>
      <c r="I817">
        <v>0.12184736176574114</v>
      </c>
      <c r="J817">
        <v>0.50122814156762474</v>
      </c>
      <c r="L817">
        <v>13034.320685429073</v>
      </c>
      <c r="M817">
        <v>10.698028421643956</v>
      </c>
      <c r="N817">
        <v>9.7015399869329002</v>
      </c>
      <c r="O817">
        <v>21919.936818169459</v>
      </c>
      <c r="P817">
        <v>11.747145387981446</v>
      </c>
      <c r="Q817">
        <v>10.864187480657918</v>
      </c>
      <c r="S817">
        <f t="shared" si="50"/>
        <v>957119.67800786102</v>
      </c>
      <c r="T817">
        <f t="shared" si="51"/>
        <v>1064498.8112476224</v>
      </c>
      <c r="V817">
        <f t="shared" si="48"/>
        <v>0</v>
      </c>
      <c r="W817">
        <f t="shared" si="49"/>
        <v>1</v>
      </c>
    </row>
    <row r="818" spans="1:23" x14ac:dyDescent="0.2">
      <c r="A818">
        <v>813</v>
      </c>
      <c r="B818">
        <v>340.87650008568261</v>
      </c>
      <c r="C818">
        <v>2710.4511379454093</v>
      </c>
      <c r="D818">
        <v>963.43357872295462</v>
      </c>
      <c r="E818">
        <v>1120.3173641322701</v>
      </c>
      <c r="F818">
        <v>0.96812897102021678</v>
      </c>
      <c r="G818">
        <v>0.69868375089091228</v>
      </c>
      <c r="H818">
        <v>7.3870254516724592E-3</v>
      </c>
      <c r="I818">
        <v>0.12615659769001414</v>
      </c>
      <c r="J818">
        <v>0.59676114186967388</v>
      </c>
      <c r="L818">
        <v>9932.5728994842048</v>
      </c>
      <c r="M818">
        <v>11.012028077788178</v>
      </c>
      <c r="N818">
        <v>9.9980143501695373</v>
      </c>
      <c r="O818">
        <v>18255.081321055994</v>
      </c>
      <c r="P818">
        <v>11.782466614310511</v>
      </c>
      <c r="Q818">
        <v>10.904249516452683</v>
      </c>
      <c r="S818">
        <f t="shared" si="50"/>
        <v>989868.86211746954</v>
      </c>
      <c r="T818">
        <f t="shared" si="51"/>
        <v>1072169.8703242124</v>
      </c>
      <c r="V818">
        <f t="shared" si="48"/>
        <v>0</v>
      </c>
      <c r="W818">
        <f t="shared" si="49"/>
        <v>1</v>
      </c>
    </row>
    <row r="819" spans="1:23" x14ac:dyDescent="0.2">
      <c r="A819">
        <v>814</v>
      </c>
      <c r="B819">
        <v>392.56810943108025</v>
      </c>
      <c r="C819">
        <v>2970.4407463215198</v>
      </c>
      <c r="D819">
        <v>926.44770648684641</v>
      </c>
      <c r="E819">
        <v>886.54807907269003</v>
      </c>
      <c r="F819">
        <v>0.93532822691257766</v>
      </c>
      <c r="G819">
        <v>0.7399418638337234</v>
      </c>
      <c r="H819">
        <v>9.3815368737422376E-3</v>
      </c>
      <c r="I819">
        <v>0.23825632519940232</v>
      </c>
      <c r="J819">
        <v>0.60865130151696822</v>
      </c>
      <c r="L819">
        <v>8803.0013654120849</v>
      </c>
      <c r="M819">
        <v>9.6780812963963641</v>
      </c>
      <c r="N819">
        <v>8.7016557780867707</v>
      </c>
      <c r="O819">
        <v>16749.304372721461</v>
      </c>
      <c r="P819">
        <v>10.679822549487804</v>
      </c>
      <c r="Q819">
        <v>9.7098566629803784</v>
      </c>
      <c r="S819">
        <f t="shared" si="50"/>
        <v>861362.57644326496</v>
      </c>
      <c r="T819">
        <f t="shared" si="51"/>
        <v>954236.36192531639</v>
      </c>
      <c r="V819">
        <f t="shared" si="48"/>
        <v>0</v>
      </c>
      <c r="W819">
        <f t="shared" si="49"/>
        <v>1</v>
      </c>
    </row>
    <row r="820" spans="1:23" x14ac:dyDescent="0.2">
      <c r="A820">
        <v>815</v>
      </c>
      <c r="B820">
        <v>529.15722359320205</v>
      </c>
      <c r="C820">
        <v>3044.2742015185568</v>
      </c>
      <c r="D820">
        <v>1084.9580783616741</v>
      </c>
      <c r="E820">
        <v>895.77311869692562</v>
      </c>
      <c r="F820">
        <v>0.93877039806057738</v>
      </c>
      <c r="G820">
        <v>0.7482206616197643</v>
      </c>
      <c r="H820">
        <v>1.0431240438555141E-2</v>
      </c>
      <c r="I820">
        <v>0.1430467422568924</v>
      </c>
      <c r="J820">
        <v>0.43871991448897341</v>
      </c>
      <c r="L820">
        <v>12431.611540620739</v>
      </c>
      <c r="M820">
        <v>10.239285366932986</v>
      </c>
      <c r="N820">
        <v>9.1067471350378373</v>
      </c>
      <c r="O820">
        <v>21487.163224305117</v>
      </c>
      <c r="P820">
        <v>11.598329906400393</v>
      </c>
      <c r="Q820">
        <v>10.549925213110509</v>
      </c>
      <c r="S820">
        <f t="shared" si="50"/>
        <v>898243.10196316289</v>
      </c>
      <c r="T820">
        <f t="shared" si="51"/>
        <v>1033505.3580867458</v>
      </c>
      <c r="V820">
        <f t="shared" si="48"/>
        <v>0</v>
      </c>
      <c r="W820">
        <f t="shared" si="49"/>
        <v>1</v>
      </c>
    </row>
    <row r="821" spans="1:23" x14ac:dyDescent="0.2">
      <c r="A821">
        <v>816</v>
      </c>
      <c r="B821">
        <v>545.03007991426045</v>
      </c>
      <c r="C821">
        <v>3130.0081757635494</v>
      </c>
      <c r="D821">
        <v>1007.0971059999218</v>
      </c>
      <c r="E821">
        <v>587.53271767152603</v>
      </c>
      <c r="F821">
        <v>0.92840542161247031</v>
      </c>
      <c r="G821">
        <v>0.73975622904032512</v>
      </c>
      <c r="H821">
        <v>1.0479014382325694E-2</v>
      </c>
      <c r="I821">
        <v>0.13446468758295582</v>
      </c>
      <c r="J821">
        <v>0.47068268986650064</v>
      </c>
      <c r="L821">
        <v>12984.644990774485</v>
      </c>
      <c r="M821">
        <v>10.333176381301612</v>
      </c>
      <c r="N821">
        <v>9.0726933869290232</v>
      </c>
      <c r="O821">
        <v>21117.885713039632</v>
      </c>
      <c r="P821">
        <v>11.554532295393372</v>
      </c>
      <c r="Q821">
        <v>10.364791829404876</v>
      </c>
      <c r="S821">
        <f t="shared" si="50"/>
        <v>894284.6937021279</v>
      </c>
      <c r="T821">
        <f t="shared" si="51"/>
        <v>1015361.297227448</v>
      </c>
      <c r="V821">
        <f t="shared" si="48"/>
        <v>0</v>
      </c>
      <c r="W821">
        <f t="shared" si="49"/>
        <v>1</v>
      </c>
    </row>
    <row r="822" spans="1:23" x14ac:dyDescent="0.2">
      <c r="A822">
        <v>817</v>
      </c>
      <c r="B822">
        <v>507.58566483702776</v>
      </c>
      <c r="C822">
        <v>3727.0867144938816</v>
      </c>
      <c r="D822">
        <v>913.95353900017676</v>
      </c>
      <c r="E822">
        <v>1254.6049263304621</v>
      </c>
      <c r="F822">
        <v>0.92055553814762436</v>
      </c>
      <c r="G822">
        <v>0.72443267474717898</v>
      </c>
      <c r="H822">
        <v>9.197859412692121E-3</v>
      </c>
      <c r="I822">
        <v>0.14213517901042702</v>
      </c>
      <c r="J822">
        <v>0.51538286741964479</v>
      </c>
      <c r="L822">
        <v>13912.637599048527</v>
      </c>
      <c r="M822">
        <v>10.470077857882325</v>
      </c>
      <c r="N822">
        <v>9.1420003387303481</v>
      </c>
      <c r="O822">
        <v>20940.122982347424</v>
      </c>
      <c r="P822">
        <v>11.552895544871747</v>
      </c>
      <c r="Q822">
        <v>10.278408101053772</v>
      </c>
      <c r="S822">
        <f t="shared" si="50"/>
        <v>900287.3962739862</v>
      </c>
      <c r="T822">
        <f t="shared" si="51"/>
        <v>1006900.6871230298</v>
      </c>
      <c r="V822">
        <f t="shared" si="48"/>
        <v>0</v>
      </c>
      <c r="W822">
        <f t="shared" si="49"/>
        <v>1</v>
      </c>
    </row>
    <row r="823" spans="1:23" x14ac:dyDescent="0.2">
      <c r="A823">
        <v>818</v>
      </c>
      <c r="B823">
        <v>532.40286332960716</v>
      </c>
      <c r="C823">
        <v>2584.3828137478677</v>
      </c>
      <c r="D823">
        <v>1024.3313960149146</v>
      </c>
      <c r="E823">
        <v>1034.8327567502088</v>
      </c>
      <c r="F823">
        <v>0.93452084558566795</v>
      </c>
      <c r="G823">
        <v>0.77163420640947111</v>
      </c>
      <c r="H823">
        <v>9.7128162250835082E-3</v>
      </c>
      <c r="I823">
        <v>0.13835875179379931</v>
      </c>
      <c r="J823">
        <v>0.59729987735990686</v>
      </c>
      <c r="L823">
        <v>11322.513798777807</v>
      </c>
      <c r="M823">
        <v>10.417819586800853</v>
      </c>
      <c r="N823">
        <v>9.3070720950819723</v>
      </c>
      <c r="O823">
        <v>19970.175684762333</v>
      </c>
      <c r="P823">
        <v>11.274317624066844</v>
      </c>
      <c r="Q823">
        <v>10.199542793140109</v>
      </c>
      <c r="S823">
        <f t="shared" si="50"/>
        <v>919384.69570941944</v>
      </c>
      <c r="T823">
        <f t="shared" si="51"/>
        <v>999984.10362924857</v>
      </c>
      <c r="V823">
        <f t="shared" si="48"/>
        <v>0</v>
      </c>
      <c r="W823">
        <f t="shared" si="49"/>
        <v>1</v>
      </c>
    </row>
    <row r="824" spans="1:23" x14ac:dyDescent="0.2">
      <c r="A824">
        <v>819</v>
      </c>
      <c r="B824">
        <v>419.72713890660464</v>
      </c>
      <c r="C824">
        <v>3228.661187159712</v>
      </c>
      <c r="D824">
        <v>1131.7322439130344</v>
      </c>
      <c r="E824">
        <v>864.35518312972658</v>
      </c>
      <c r="F824">
        <v>0.90597888915968505</v>
      </c>
      <c r="G824">
        <v>0.85065419449855928</v>
      </c>
      <c r="H824">
        <v>9.9494695870420164E-3</v>
      </c>
      <c r="I824">
        <v>0.16466150066055352</v>
      </c>
      <c r="J824">
        <v>0.47008529578816505</v>
      </c>
      <c r="L824">
        <v>11266.013304648332</v>
      </c>
      <c r="M824">
        <v>10.099849854987228</v>
      </c>
      <c r="N824">
        <v>9.0185248664417959</v>
      </c>
      <c r="O824">
        <v>20715.817269799572</v>
      </c>
      <c r="P824">
        <v>11.417901794304131</v>
      </c>
      <c r="Q824">
        <v>10.253117004113237</v>
      </c>
      <c r="S824">
        <f t="shared" si="50"/>
        <v>890586.47333953122</v>
      </c>
      <c r="T824">
        <f t="shared" si="51"/>
        <v>1004595.8831415242</v>
      </c>
      <c r="V824">
        <f t="shared" si="48"/>
        <v>0</v>
      </c>
      <c r="W824">
        <f t="shared" si="49"/>
        <v>1</v>
      </c>
    </row>
    <row r="825" spans="1:23" x14ac:dyDescent="0.2">
      <c r="A825">
        <v>820</v>
      </c>
      <c r="B825">
        <v>372.39175818151347</v>
      </c>
      <c r="C825">
        <v>2882.5340947849168</v>
      </c>
      <c r="D825">
        <v>974.68746882495179</v>
      </c>
      <c r="E825">
        <v>849.71629994647924</v>
      </c>
      <c r="F825">
        <v>0.97880318611401385</v>
      </c>
      <c r="G825">
        <v>0.87379515823409193</v>
      </c>
      <c r="H825">
        <v>9.3577864943517556E-3</v>
      </c>
      <c r="I825">
        <v>0.1750549706239477</v>
      </c>
      <c r="J825">
        <v>0.50065317590970693</v>
      </c>
      <c r="L825">
        <v>9699.0384387738832</v>
      </c>
      <c r="M825">
        <v>10.121402831274915</v>
      </c>
      <c r="N825">
        <v>9.6726702116912477</v>
      </c>
      <c r="O825">
        <v>17965.990735006937</v>
      </c>
      <c r="P825">
        <v>11.351855901204365</v>
      </c>
      <c r="Q825">
        <v>10.944503120135298</v>
      </c>
      <c r="S825">
        <f t="shared" si="50"/>
        <v>957567.98273035092</v>
      </c>
      <c r="T825">
        <f t="shared" si="51"/>
        <v>1076484.321278523</v>
      </c>
      <c r="V825">
        <f t="shared" si="48"/>
        <v>0</v>
      </c>
      <c r="W825">
        <f t="shared" si="49"/>
        <v>1</v>
      </c>
    </row>
    <row r="826" spans="1:23" x14ac:dyDescent="0.2">
      <c r="A826">
        <v>821</v>
      </c>
      <c r="B826">
        <v>608.77722949878114</v>
      </c>
      <c r="C826">
        <v>3236.8631770704133</v>
      </c>
      <c r="D826">
        <v>962.76498734528434</v>
      </c>
      <c r="E826">
        <v>687.77489001856839</v>
      </c>
      <c r="F826">
        <v>0.92751618479838027</v>
      </c>
      <c r="G826">
        <v>0.75398501429534148</v>
      </c>
      <c r="H826">
        <v>9.8128919829865609E-3</v>
      </c>
      <c r="I826">
        <v>0.16907805586295177</v>
      </c>
      <c r="J826">
        <v>0.48226971103980032</v>
      </c>
      <c r="L826">
        <v>12525.153188193626</v>
      </c>
      <c r="M826">
        <v>10.084635500889062</v>
      </c>
      <c r="N826">
        <v>8.9498746194014149</v>
      </c>
      <c r="O826">
        <v>20780.404906644071</v>
      </c>
      <c r="P826">
        <v>11.371592460488827</v>
      </c>
      <c r="Q826">
        <v>10.26394986999747</v>
      </c>
      <c r="S826">
        <f t="shared" si="50"/>
        <v>882462.30875194783</v>
      </c>
      <c r="T826">
        <f t="shared" si="51"/>
        <v>1005614.582093103</v>
      </c>
      <c r="V826">
        <f t="shared" si="48"/>
        <v>0</v>
      </c>
      <c r="W826">
        <f t="shared" si="49"/>
        <v>1</v>
      </c>
    </row>
    <row r="827" spans="1:23" x14ac:dyDescent="0.2">
      <c r="A827">
        <v>822</v>
      </c>
      <c r="B827">
        <v>654.10310737988436</v>
      </c>
      <c r="C827">
        <v>2402.1799673433352</v>
      </c>
      <c r="D827">
        <v>1047.1844968226883</v>
      </c>
      <c r="E827">
        <v>1035.8522628900801</v>
      </c>
      <c r="F827">
        <v>0.95418321407443496</v>
      </c>
      <c r="G827">
        <v>0.80530274094085541</v>
      </c>
      <c r="H827">
        <v>1.1203810053795168E-2</v>
      </c>
      <c r="I827">
        <v>0.11113903320542125</v>
      </c>
      <c r="J827">
        <v>0.52130635797718183</v>
      </c>
      <c r="L827">
        <v>12784.786259439643</v>
      </c>
      <c r="M827">
        <v>10.545003195826403</v>
      </c>
      <c r="N827">
        <v>9.5914384335883636</v>
      </c>
      <c r="O827">
        <v>21531.889206241907</v>
      </c>
      <c r="P827">
        <v>11.532697086609177</v>
      </c>
      <c r="Q827">
        <v>10.655564927663864</v>
      </c>
      <c r="S827">
        <f t="shared" si="50"/>
        <v>946359.05709939671</v>
      </c>
      <c r="T827">
        <f t="shared" si="51"/>
        <v>1044024.6035601444</v>
      </c>
      <c r="V827">
        <f t="shared" si="48"/>
        <v>0</v>
      </c>
      <c r="W827">
        <f t="shared" si="49"/>
        <v>1</v>
      </c>
    </row>
    <row r="828" spans="1:23" x14ac:dyDescent="0.2">
      <c r="A828">
        <v>823</v>
      </c>
      <c r="B828">
        <v>475.0838742922104</v>
      </c>
      <c r="C828">
        <v>2766.084425310436</v>
      </c>
      <c r="D828">
        <v>801.35889500003793</v>
      </c>
      <c r="E828">
        <v>752.77242869463657</v>
      </c>
      <c r="F828">
        <v>0.97735002597486553</v>
      </c>
      <c r="G828">
        <v>0.73244581056408842</v>
      </c>
      <c r="H828">
        <v>9.5206612189543231E-3</v>
      </c>
      <c r="I828">
        <v>0.1507972559895514</v>
      </c>
      <c r="J828">
        <v>0.49676783610429703</v>
      </c>
      <c r="L828">
        <v>10852.025385339042</v>
      </c>
      <c r="M828">
        <v>10.317386091558504</v>
      </c>
      <c r="N828">
        <v>9.4776387576693715</v>
      </c>
      <c r="O828">
        <v>17480.771666480221</v>
      </c>
      <c r="P828">
        <v>11.493148729368432</v>
      </c>
      <c r="Q828">
        <v>10.803498420589493</v>
      </c>
      <c r="S828">
        <f t="shared" si="50"/>
        <v>936911.85038159811</v>
      </c>
      <c r="T828">
        <f t="shared" si="51"/>
        <v>1062869.0703924692</v>
      </c>
      <c r="V828">
        <f t="shared" si="48"/>
        <v>0</v>
      </c>
      <c r="W828">
        <f t="shared" si="49"/>
        <v>1</v>
      </c>
    </row>
    <row r="829" spans="1:23" x14ac:dyDescent="0.2">
      <c r="A829">
        <v>824</v>
      </c>
      <c r="B829">
        <v>453.87119616496881</v>
      </c>
      <c r="C829">
        <v>3693.8530731841702</v>
      </c>
      <c r="D829">
        <v>969.96981767213856</v>
      </c>
      <c r="E829">
        <v>979.10928020870438</v>
      </c>
      <c r="F829">
        <v>0.9832192713008221</v>
      </c>
      <c r="G829">
        <v>0.64831437402869463</v>
      </c>
      <c r="H829">
        <v>1.1002669970412399E-2</v>
      </c>
      <c r="I829">
        <v>0.15127309008558854</v>
      </c>
      <c r="J829">
        <v>0.45587321091320343</v>
      </c>
      <c r="L829">
        <v>13423.978546240554</v>
      </c>
      <c r="M829">
        <v>10.051677507627195</v>
      </c>
      <c r="N829">
        <v>9.0070345835831098</v>
      </c>
      <c r="O829">
        <v>20605.005093839613</v>
      </c>
      <c r="P829">
        <v>11.398934718578246</v>
      </c>
      <c r="Q829">
        <v>10.601761366566622</v>
      </c>
      <c r="S829">
        <f t="shared" si="50"/>
        <v>887279.47981207038</v>
      </c>
      <c r="T829">
        <f t="shared" si="51"/>
        <v>1039571.1315628226</v>
      </c>
      <c r="V829">
        <f t="shared" si="48"/>
        <v>0</v>
      </c>
      <c r="W829">
        <f t="shared" si="49"/>
        <v>1</v>
      </c>
    </row>
    <row r="830" spans="1:23" x14ac:dyDescent="0.2">
      <c r="A830">
        <v>825</v>
      </c>
      <c r="B830">
        <v>511.82794354341996</v>
      </c>
      <c r="C830">
        <v>3468.6429622906958</v>
      </c>
      <c r="D830">
        <v>992.52014105077308</v>
      </c>
      <c r="E830">
        <v>1109.7164624449724</v>
      </c>
      <c r="F830">
        <v>0.9206251430221748</v>
      </c>
      <c r="G830">
        <v>0.82860529317241927</v>
      </c>
      <c r="H830">
        <v>8.9643986793380669E-3</v>
      </c>
      <c r="I830">
        <v>0.15781655336721079</v>
      </c>
      <c r="J830">
        <v>0.46933139149407133</v>
      </c>
      <c r="L830">
        <v>12643.439802804602</v>
      </c>
      <c r="M830">
        <v>10.356218748713584</v>
      </c>
      <c r="N830">
        <v>9.3184551593829461</v>
      </c>
      <c r="O830">
        <v>20890.473223016692</v>
      </c>
      <c r="P830">
        <v>11.623420030751383</v>
      </c>
      <c r="Q830">
        <v>10.554367168189668</v>
      </c>
      <c r="S830">
        <f t="shared" si="50"/>
        <v>919202.07613548997</v>
      </c>
      <c r="T830">
        <f t="shared" si="51"/>
        <v>1034546.24359595</v>
      </c>
      <c r="V830">
        <f t="shared" si="48"/>
        <v>0</v>
      </c>
      <c r="W830">
        <f t="shared" si="49"/>
        <v>1</v>
      </c>
    </row>
    <row r="831" spans="1:23" x14ac:dyDescent="0.2">
      <c r="A831">
        <v>826</v>
      </c>
      <c r="B831">
        <v>553.82236901891645</v>
      </c>
      <c r="C831">
        <v>3175.4423275221079</v>
      </c>
      <c r="D831">
        <v>975.35860721552149</v>
      </c>
      <c r="E831">
        <v>1418.7371376140943</v>
      </c>
      <c r="F831">
        <v>0.89229149073307823</v>
      </c>
      <c r="G831">
        <v>0.76114524216612367</v>
      </c>
      <c r="H831">
        <v>1.1822109220539162E-2</v>
      </c>
      <c r="I831">
        <v>0.13893494981223894</v>
      </c>
      <c r="J831">
        <v>0.50034791912563248</v>
      </c>
      <c r="L831">
        <v>13562.809352432778</v>
      </c>
      <c r="M831">
        <v>10.068115857916334</v>
      </c>
      <c r="N831">
        <v>8.612091953040105</v>
      </c>
      <c r="O831">
        <v>21024.300362905335</v>
      </c>
      <c r="P831">
        <v>11.238650218750745</v>
      </c>
      <c r="Q831">
        <v>9.7550722738596729</v>
      </c>
      <c r="S831">
        <f t="shared" si="50"/>
        <v>847646.3859515778</v>
      </c>
      <c r="T831">
        <f t="shared" si="51"/>
        <v>954482.9270230619</v>
      </c>
      <c r="V831">
        <f t="shared" si="48"/>
        <v>0</v>
      </c>
      <c r="W831">
        <f t="shared" si="49"/>
        <v>1</v>
      </c>
    </row>
    <row r="832" spans="1:23" x14ac:dyDescent="0.2">
      <c r="A832">
        <v>827</v>
      </c>
      <c r="B832">
        <v>638.35974191667572</v>
      </c>
      <c r="C832">
        <v>2975.9272333955046</v>
      </c>
      <c r="D832">
        <v>1046.3687647230765</v>
      </c>
      <c r="E832">
        <v>1239.4147739030354</v>
      </c>
      <c r="F832">
        <v>0.97277073389624846</v>
      </c>
      <c r="G832">
        <v>0.83480149739972576</v>
      </c>
      <c r="H832">
        <v>1.043512943700753E-2</v>
      </c>
      <c r="I832">
        <v>0.16304075448601807</v>
      </c>
      <c r="J832">
        <v>0.50763361409937935</v>
      </c>
      <c r="L832">
        <v>12602.37133856424</v>
      </c>
      <c r="M832">
        <v>10.026843449280866</v>
      </c>
      <c r="N832">
        <v>9.4169081726689328</v>
      </c>
      <c r="O832">
        <v>21574.218572984504</v>
      </c>
      <c r="P832">
        <v>11.228085325831323</v>
      </c>
      <c r="Q832">
        <v>10.676775350251457</v>
      </c>
      <c r="S832">
        <f t="shared" si="50"/>
        <v>929088.44592832902</v>
      </c>
      <c r="T832">
        <f t="shared" si="51"/>
        <v>1046103.3164521612</v>
      </c>
      <c r="V832">
        <f t="shared" si="48"/>
        <v>0</v>
      </c>
      <c r="W832">
        <f t="shared" si="49"/>
        <v>1</v>
      </c>
    </row>
    <row r="833" spans="1:23" x14ac:dyDescent="0.2">
      <c r="A833">
        <v>828</v>
      </c>
      <c r="B833">
        <v>420.69271523965534</v>
      </c>
      <c r="C833">
        <v>2440.5793454694949</v>
      </c>
      <c r="D833">
        <v>926.21094205834322</v>
      </c>
      <c r="E833">
        <v>708.30362990929927</v>
      </c>
      <c r="F833">
        <v>0.99048869637665882</v>
      </c>
      <c r="G833">
        <v>0.76485855921825285</v>
      </c>
      <c r="H833">
        <v>1.0042802167609359E-2</v>
      </c>
      <c r="I833">
        <v>0.11556706054849954</v>
      </c>
      <c r="J833">
        <v>0.51837727335806605</v>
      </c>
      <c r="L833">
        <v>10704.611583324851</v>
      </c>
      <c r="M833">
        <v>10.653419511168135</v>
      </c>
      <c r="N833">
        <v>9.884050795265015</v>
      </c>
      <c r="O833">
        <v>18221.221992538864</v>
      </c>
      <c r="P833">
        <v>11.647896025164098</v>
      </c>
      <c r="Q833">
        <v>11.050999969579584</v>
      </c>
      <c r="S833">
        <f t="shared" si="50"/>
        <v>977700.46794317663</v>
      </c>
      <c r="T833">
        <f t="shared" si="51"/>
        <v>1086878.7749654197</v>
      </c>
      <c r="V833">
        <f t="shared" si="48"/>
        <v>0</v>
      </c>
      <c r="W833">
        <f t="shared" si="49"/>
        <v>1</v>
      </c>
    </row>
    <row r="834" spans="1:23" x14ac:dyDescent="0.2">
      <c r="A834">
        <v>829</v>
      </c>
      <c r="B834">
        <v>410.34392525837154</v>
      </c>
      <c r="C834">
        <v>2693.6760717088073</v>
      </c>
      <c r="D834">
        <v>1104.9911256884484</v>
      </c>
      <c r="E834">
        <v>965.67761538484967</v>
      </c>
      <c r="F834">
        <v>0.96289959835074845</v>
      </c>
      <c r="G834">
        <v>0.70104438675679503</v>
      </c>
      <c r="H834">
        <v>9.5517589065067816E-3</v>
      </c>
      <c r="I834">
        <v>0.12290864160599421</v>
      </c>
      <c r="J834">
        <v>0.52161892637667262</v>
      </c>
      <c r="L834">
        <v>11092.960120303118</v>
      </c>
      <c r="M834">
        <v>10.634928578344875</v>
      </c>
      <c r="N834">
        <v>9.5068119986610569</v>
      </c>
      <c r="O834">
        <v>20274.825093016912</v>
      </c>
      <c r="P834">
        <v>11.639817577283386</v>
      </c>
      <c r="Q834">
        <v>10.6756770781768</v>
      </c>
      <c r="S834">
        <f t="shared" si="50"/>
        <v>939588.2397458026</v>
      </c>
      <c r="T834">
        <f t="shared" si="51"/>
        <v>1047292.882724663</v>
      </c>
      <c r="V834">
        <f t="shared" si="48"/>
        <v>0</v>
      </c>
      <c r="W834">
        <f t="shared" si="49"/>
        <v>1</v>
      </c>
    </row>
    <row r="835" spans="1:23" x14ac:dyDescent="0.2">
      <c r="A835">
        <v>830</v>
      </c>
      <c r="B835">
        <v>340.86725809625148</v>
      </c>
      <c r="C835">
        <v>2737.7807115469814</v>
      </c>
      <c r="D835">
        <v>976.44576016417227</v>
      </c>
      <c r="E835">
        <v>1334.240703377533</v>
      </c>
      <c r="F835">
        <v>0.94169637485527213</v>
      </c>
      <c r="G835">
        <v>0.72260076656839467</v>
      </c>
      <c r="H835">
        <v>8.8694818350926238E-3</v>
      </c>
      <c r="I835">
        <v>0.17246743286640032</v>
      </c>
      <c r="J835">
        <v>0.47484844851419072</v>
      </c>
      <c r="L835">
        <v>9278.423025412987</v>
      </c>
      <c r="M835">
        <v>10.244247612512975</v>
      </c>
      <c r="N835">
        <v>9.1643736881426392</v>
      </c>
      <c r="O835">
        <v>17681.645668577366</v>
      </c>
      <c r="P835">
        <v>11.535452883768725</v>
      </c>
      <c r="Q835">
        <v>10.532927046414873</v>
      </c>
      <c r="S835">
        <f t="shared" si="50"/>
        <v>907158.94578885101</v>
      </c>
      <c r="T835">
        <f t="shared" si="51"/>
        <v>1035611.0589729098</v>
      </c>
      <c r="V835">
        <f t="shared" si="48"/>
        <v>0</v>
      </c>
      <c r="W835">
        <f t="shared" si="49"/>
        <v>1</v>
      </c>
    </row>
    <row r="836" spans="1:23" x14ac:dyDescent="0.2">
      <c r="A836">
        <v>831</v>
      </c>
      <c r="B836">
        <v>522.06720955991159</v>
      </c>
      <c r="C836">
        <v>3210.1285295302805</v>
      </c>
      <c r="D836">
        <v>1081.3949666948126</v>
      </c>
      <c r="E836">
        <v>684.52329029699126</v>
      </c>
      <c r="F836">
        <v>0.90990229585798266</v>
      </c>
      <c r="G836">
        <v>0.8160927806171957</v>
      </c>
      <c r="H836">
        <v>8.6417373021456748E-3</v>
      </c>
      <c r="I836">
        <v>0.18057468376391383</v>
      </c>
      <c r="J836">
        <v>0.45574949890208338</v>
      </c>
      <c r="L836">
        <v>11278.552283840674</v>
      </c>
      <c r="M836">
        <v>10.226870957779465</v>
      </c>
      <c r="N836">
        <v>9.107287844357181</v>
      </c>
      <c r="O836">
        <v>21022.096967218185</v>
      </c>
      <c r="P836">
        <v>11.595674399237353</v>
      </c>
      <c r="Q836">
        <v>10.419245670890154</v>
      </c>
      <c r="S836">
        <f t="shared" si="50"/>
        <v>899450.23215187737</v>
      </c>
      <c r="T836">
        <f t="shared" si="51"/>
        <v>1020902.4701217972</v>
      </c>
      <c r="V836">
        <f t="shared" si="48"/>
        <v>0</v>
      </c>
      <c r="W836">
        <f t="shared" si="49"/>
        <v>1</v>
      </c>
    </row>
    <row r="837" spans="1:23" x14ac:dyDescent="0.2">
      <c r="A837">
        <v>832</v>
      </c>
      <c r="B837">
        <v>462.84806150714684</v>
      </c>
      <c r="C837">
        <v>2681.5373558085998</v>
      </c>
      <c r="D837">
        <v>818.7273785606485</v>
      </c>
      <c r="E837">
        <v>985.2792418381365</v>
      </c>
      <c r="F837">
        <v>0.9281747610451897</v>
      </c>
      <c r="G837">
        <v>0.53958512820607896</v>
      </c>
      <c r="H837">
        <v>1.0277885477020207E-2</v>
      </c>
      <c r="I837">
        <v>0.16673580433104429</v>
      </c>
      <c r="J837">
        <v>0.47516281287777612</v>
      </c>
      <c r="L837">
        <v>10337.630297265374</v>
      </c>
      <c r="M837">
        <v>10.019597582779912</v>
      </c>
      <c r="N837">
        <v>8.3704290292341259</v>
      </c>
      <c r="O837">
        <v>17151.395855175295</v>
      </c>
      <c r="P837">
        <v>11.335733531659592</v>
      </c>
      <c r="Q837">
        <v>9.8697372739896601</v>
      </c>
      <c r="S837">
        <f t="shared" si="50"/>
        <v>826705.27262614726</v>
      </c>
      <c r="T837">
        <f t="shared" si="51"/>
        <v>969822.33154379064</v>
      </c>
      <c r="V837">
        <f t="shared" si="48"/>
        <v>0</v>
      </c>
      <c r="W837">
        <f t="shared" si="49"/>
        <v>1</v>
      </c>
    </row>
    <row r="838" spans="1:23" x14ac:dyDescent="0.2">
      <c r="A838">
        <v>833</v>
      </c>
      <c r="B838">
        <v>474.06457464974835</v>
      </c>
      <c r="C838">
        <v>3708.083753251422</v>
      </c>
      <c r="D838">
        <v>990.55469794941234</v>
      </c>
      <c r="E838">
        <v>1067.0302642725305</v>
      </c>
      <c r="F838">
        <v>0.92093976624431517</v>
      </c>
      <c r="G838">
        <v>0.69797522582129767</v>
      </c>
      <c r="H838">
        <v>9.4216376399883991E-3</v>
      </c>
      <c r="I838">
        <v>0.14616982297633935</v>
      </c>
      <c r="J838">
        <v>0.55571358623867995</v>
      </c>
      <c r="L838">
        <v>13440.01574252327</v>
      </c>
      <c r="M838">
        <v>10.384507045003948</v>
      </c>
      <c r="N838">
        <v>9.0033237240427422</v>
      </c>
      <c r="O838">
        <v>21192.455050481021</v>
      </c>
      <c r="P838">
        <v>11.370374238951143</v>
      </c>
      <c r="Q838">
        <v>10.049631037997703</v>
      </c>
      <c r="S838">
        <f t="shared" si="50"/>
        <v>886892.35666175094</v>
      </c>
      <c r="T838">
        <f t="shared" si="51"/>
        <v>983770.64874928922</v>
      </c>
      <c r="V838">
        <f t="shared" ref="V838:V901" si="52">IF(S838=MAX($S838:$T838),1,0)</f>
        <v>0</v>
      </c>
      <c r="W838">
        <f t="shared" ref="W838:W901" si="53">IF(T838=MAX($S838:$T838),1,0)</f>
        <v>1</v>
      </c>
    </row>
    <row r="839" spans="1:23" x14ac:dyDescent="0.2">
      <c r="A839">
        <v>834</v>
      </c>
      <c r="B839">
        <v>219.75517781385844</v>
      </c>
      <c r="C839">
        <v>2824.845652219411</v>
      </c>
      <c r="D839">
        <v>1083.1148712969491</v>
      </c>
      <c r="E839">
        <v>1341.4960942508969</v>
      </c>
      <c r="F839">
        <v>0.92373683074616941</v>
      </c>
      <c r="G839">
        <v>0.73733923754429331</v>
      </c>
      <c r="H839">
        <v>1.0748067002746116E-2</v>
      </c>
      <c r="I839">
        <v>0.12180270228764269</v>
      </c>
      <c r="J839">
        <v>0.53754546750268462</v>
      </c>
      <c r="L839">
        <v>10475.639334401583</v>
      </c>
      <c r="M839">
        <v>10.455799631336383</v>
      </c>
      <c r="N839">
        <v>9.1078016026896993</v>
      </c>
      <c r="O839">
        <v>18635.971026650568</v>
      </c>
      <c r="P839">
        <v>11.436068018206758</v>
      </c>
      <c r="Q839">
        <v>10.150697256050004</v>
      </c>
      <c r="S839">
        <f t="shared" ref="S839:S902" si="54">$T$1*N839-L839</f>
        <v>900304.52093456837</v>
      </c>
      <c r="T839">
        <f t="shared" ref="T839:T902" si="55">$T$1*Q839-O839</f>
        <v>996433.75457834988</v>
      </c>
      <c r="V839">
        <f t="shared" si="52"/>
        <v>0</v>
      </c>
      <c r="W839">
        <f t="shared" si="53"/>
        <v>1</v>
      </c>
    </row>
    <row r="840" spans="1:23" x14ac:dyDescent="0.2">
      <c r="A840">
        <v>835</v>
      </c>
      <c r="B840">
        <v>378.71976998717594</v>
      </c>
      <c r="C840">
        <v>3161.8129612089233</v>
      </c>
      <c r="D840">
        <v>1061.3002862962585</v>
      </c>
      <c r="E840">
        <v>586.48377331145809</v>
      </c>
      <c r="F840">
        <v>0.97908503521188939</v>
      </c>
      <c r="G840">
        <v>0.71126626204893617</v>
      </c>
      <c r="H840">
        <v>1.1437753469863523E-2</v>
      </c>
      <c r="I840">
        <v>0.21342869441738943</v>
      </c>
      <c r="J840">
        <v>0.47029394664654428</v>
      </c>
      <c r="L840">
        <v>9671.7486241127954</v>
      </c>
      <c r="M840">
        <v>9.4254650152632902</v>
      </c>
      <c r="N840">
        <v>8.6663929526044274</v>
      </c>
      <c r="O840">
        <v>18475.234508961654</v>
      </c>
      <c r="P840">
        <v>10.907102326744694</v>
      </c>
      <c r="Q840">
        <v>10.277493163617972</v>
      </c>
      <c r="S840">
        <f t="shared" si="54"/>
        <v>856967.54663632996</v>
      </c>
      <c r="T840">
        <f t="shared" si="55"/>
        <v>1009274.0818528356</v>
      </c>
      <c r="V840">
        <f t="shared" si="52"/>
        <v>0</v>
      </c>
      <c r="W840">
        <f t="shared" si="53"/>
        <v>1</v>
      </c>
    </row>
    <row r="841" spans="1:23" x14ac:dyDescent="0.2">
      <c r="A841">
        <v>836</v>
      </c>
      <c r="B841">
        <v>658.32456677597054</v>
      </c>
      <c r="C841">
        <v>3085.5699306650286</v>
      </c>
      <c r="D841">
        <v>777.95380456284443</v>
      </c>
      <c r="E841">
        <v>1402.4804572931291</v>
      </c>
      <c r="F841">
        <v>0.97581204652499065</v>
      </c>
      <c r="G841">
        <v>0.90501677184992491</v>
      </c>
      <c r="H841">
        <v>1.0694705301565671E-2</v>
      </c>
      <c r="I841">
        <v>0.18473796371953943</v>
      </c>
      <c r="J841">
        <v>0.5203017183053068</v>
      </c>
      <c r="L841">
        <v>12529.529156095028</v>
      </c>
      <c r="M841">
        <v>9.7826477010266935</v>
      </c>
      <c r="N841">
        <v>9.3855471743306804</v>
      </c>
      <c r="O841">
        <v>19020.893630601164</v>
      </c>
      <c r="P841">
        <v>11.004051393610681</v>
      </c>
      <c r="Q841">
        <v>10.618581502833511</v>
      </c>
      <c r="S841">
        <f t="shared" si="54"/>
        <v>926025.18827697309</v>
      </c>
      <c r="T841">
        <f t="shared" si="55"/>
        <v>1042837.25665275</v>
      </c>
      <c r="V841">
        <f t="shared" si="52"/>
        <v>0</v>
      </c>
      <c r="W841">
        <f t="shared" si="53"/>
        <v>1</v>
      </c>
    </row>
    <row r="842" spans="1:23" x14ac:dyDescent="0.2">
      <c r="A842">
        <v>837</v>
      </c>
      <c r="B842">
        <v>464.7769911235925</v>
      </c>
      <c r="C842">
        <v>2569.3573970113971</v>
      </c>
      <c r="D842">
        <v>1084.2207534928223</v>
      </c>
      <c r="E842">
        <v>966.73441791942093</v>
      </c>
      <c r="F842">
        <v>0.94669490673571843</v>
      </c>
      <c r="G842">
        <v>0.84139536646799229</v>
      </c>
      <c r="H842">
        <v>8.0345317608709332E-3</v>
      </c>
      <c r="I842">
        <v>0.17491297886795576</v>
      </c>
      <c r="J842">
        <v>0.44251416186944886</v>
      </c>
      <c r="L842">
        <v>9590.5967614184228</v>
      </c>
      <c r="M842">
        <v>10.408420232361129</v>
      </c>
      <c r="N842">
        <v>9.6334750420113817</v>
      </c>
      <c r="O842">
        <v>19840.551176483154</v>
      </c>
      <c r="P842">
        <v>11.77658580828766</v>
      </c>
      <c r="Q842">
        <v>11.00730944386205</v>
      </c>
      <c r="S842">
        <f t="shared" si="54"/>
        <v>953756.90743971977</v>
      </c>
      <c r="T842">
        <f t="shared" si="55"/>
        <v>1080890.3932097219</v>
      </c>
      <c r="V842">
        <f t="shared" si="52"/>
        <v>0</v>
      </c>
      <c r="W842">
        <f t="shared" si="53"/>
        <v>1</v>
      </c>
    </row>
    <row r="843" spans="1:23" x14ac:dyDescent="0.2">
      <c r="A843">
        <v>838</v>
      </c>
      <c r="B843">
        <v>505.65310415710229</v>
      </c>
      <c r="C843">
        <v>2157.5413308480538</v>
      </c>
      <c r="D843">
        <v>1243.332245678396</v>
      </c>
      <c r="E843">
        <v>768.67322693342339</v>
      </c>
      <c r="F843">
        <v>0.9717571802465006</v>
      </c>
      <c r="G843">
        <v>0.6606562695602366</v>
      </c>
      <c r="H843">
        <v>1.0903996307574338E-2</v>
      </c>
      <c r="I843">
        <v>0.1058691688639283</v>
      </c>
      <c r="J843">
        <v>0.43558025648374643</v>
      </c>
      <c r="L843">
        <v>10957.903694468439</v>
      </c>
      <c r="M843">
        <v>10.670550779775498</v>
      </c>
      <c r="N843">
        <v>9.370816159301258</v>
      </c>
      <c r="O843">
        <v>21806.076804570759</v>
      </c>
      <c r="P843">
        <v>11.868595004838804</v>
      </c>
      <c r="Q843">
        <v>10.867879287142305</v>
      </c>
      <c r="S843">
        <f t="shared" si="54"/>
        <v>926123.71223565738</v>
      </c>
      <c r="T843">
        <f t="shared" si="55"/>
        <v>1064981.8519096596</v>
      </c>
      <c r="V843">
        <f t="shared" si="52"/>
        <v>0</v>
      </c>
      <c r="W843">
        <f t="shared" si="53"/>
        <v>1</v>
      </c>
    </row>
    <row r="844" spans="1:23" x14ac:dyDescent="0.2">
      <c r="A844">
        <v>839</v>
      </c>
      <c r="B844">
        <v>369.59065899984296</v>
      </c>
      <c r="C844">
        <v>3657.4053661695575</v>
      </c>
      <c r="D844">
        <v>919.31177012706053</v>
      </c>
      <c r="E844">
        <v>1551.2634156633055</v>
      </c>
      <c r="F844">
        <v>0.96854176372244427</v>
      </c>
      <c r="G844">
        <v>0.66342233737170364</v>
      </c>
      <c r="H844">
        <v>1.095414783034197E-2</v>
      </c>
      <c r="I844">
        <v>0.16299018168923596</v>
      </c>
      <c r="J844">
        <v>0.48751958491563074</v>
      </c>
      <c r="L844">
        <v>12483.393543375312</v>
      </c>
      <c r="M844">
        <v>9.9369764378463845</v>
      </c>
      <c r="N844">
        <v>8.8650991540616886</v>
      </c>
      <c r="O844">
        <v>19142.630594694576</v>
      </c>
      <c r="P844">
        <v>11.215117031762553</v>
      </c>
      <c r="Q844">
        <v>10.316700223461494</v>
      </c>
      <c r="S844">
        <f t="shared" si="54"/>
        <v>874026.5218627936</v>
      </c>
      <c r="T844">
        <f t="shared" si="55"/>
        <v>1012527.3917514549</v>
      </c>
      <c r="V844">
        <f t="shared" si="52"/>
        <v>0</v>
      </c>
      <c r="W844">
        <f t="shared" si="53"/>
        <v>1</v>
      </c>
    </row>
    <row r="845" spans="1:23" x14ac:dyDescent="0.2">
      <c r="A845">
        <v>840</v>
      </c>
      <c r="B845">
        <v>363.61956663872519</v>
      </c>
      <c r="C845">
        <v>2042.5370748985249</v>
      </c>
      <c r="D845">
        <v>1128.3208520926228</v>
      </c>
      <c r="E845">
        <v>901.46683726141077</v>
      </c>
      <c r="F845">
        <v>0.96020634332188204</v>
      </c>
      <c r="G845">
        <v>0.82519922465344142</v>
      </c>
      <c r="H845">
        <v>9.8049792371127705E-3</v>
      </c>
      <c r="I845">
        <v>0.14774325846804567</v>
      </c>
      <c r="J845">
        <v>0.50010683588374139</v>
      </c>
      <c r="L845">
        <v>8341.4734882690591</v>
      </c>
      <c r="M845">
        <v>10.296999929511493</v>
      </c>
      <c r="N845">
        <v>9.5447332934020572</v>
      </c>
      <c r="O845">
        <v>18336.388316056367</v>
      </c>
      <c r="P845">
        <v>11.459871998592021</v>
      </c>
      <c r="Q845">
        <v>10.759222994325885</v>
      </c>
      <c r="S845">
        <f t="shared" si="54"/>
        <v>946131.85585193674</v>
      </c>
      <c r="T845">
        <f t="shared" si="55"/>
        <v>1057585.9111165321</v>
      </c>
      <c r="V845">
        <f t="shared" si="52"/>
        <v>0</v>
      </c>
      <c r="W845">
        <f t="shared" si="53"/>
        <v>1</v>
      </c>
    </row>
    <row r="846" spans="1:23" x14ac:dyDescent="0.2">
      <c r="A846">
        <v>841</v>
      </c>
      <c r="B846">
        <v>531.64024947991106</v>
      </c>
      <c r="C846">
        <v>3093.1182099289299</v>
      </c>
      <c r="D846">
        <v>854.95633127849533</v>
      </c>
      <c r="E846">
        <v>863.9055092188753</v>
      </c>
      <c r="F846">
        <v>0.91523695471033728</v>
      </c>
      <c r="G846">
        <v>0.85170583769850006</v>
      </c>
      <c r="H846">
        <v>1.0082264505462494E-2</v>
      </c>
      <c r="I846">
        <v>0.10319057422147418</v>
      </c>
      <c r="J846">
        <v>0.49878215560777334</v>
      </c>
      <c r="L846">
        <v>14112.440657405183</v>
      </c>
      <c r="M846">
        <v>10.83301417501476</v>
      </c>
      <c r="N846">
        <v>9.7145630592638774</v>
      </c>
      <c r="O846">
        <v>20415.222450992434</v>
      </c>
      <c r="P846">
        <v>11.822803973181934</v>
      </c>
      <c r="Q846">
        <v>10.678376317799584</v>
      </c>
      <c r="S846">
        <f t="shared" si="54"/>
        <v>957343.8652689826</v>
      </c>
      <c r="T846">
        <f t="shared" si="55"/>
        <v>1047422.4093289661</v>
      </c>
      <c r="V846">
        <f t="shared" si="52"/>
        <v>0</v>
      </c>
      <c r="W846">
        <f t="shared" si="53"/>
        <v>1</v>
      </c>
    </row>
    <row r="847" spans="1:23" x14ac:dyDescent="0.2">
      <c r="A847">
        <v>842</v>
      </c>
      <c r="B847">
        <v>529.41480143996216</v>
      </c>
      <c r="C847">
        <v>3032.3831094032057</v>
      </c>
      <c r="D847">
        <v>913.51758731964082</v>
      </c>
      <c r="E847">
        <v>1168.9769552429798</v>
      </c>
      <c r="F847">
        <v>0.97691699414271338</v>
      </c>
      <c r="G847">
        <v>0.70537929754367656</v>
      </c>
      <c r="H847">
        <v>9.4398220210426039E-3</v>
      </c>
      <c r="I847">
        <v>0.21071612753965574</v>
      </c>
      <c r="J847">
        <v>0.55904798089956909</v>
      </c>
      <c r="L847">
        <v>10616.6826724725</v>
      </c>
      <c r="M847">
        <v>9.8345009786642326</v>
      </c>
      <c r="N847">
        <v>9.0731495531050168</v>
      </c>
      <c r="O847">
        <v>18556.042401604525</v>
      </c>
      <c r="P847">
        <v>10.955157703831913</v>
      </c>
      <c r="Q847">
        <v>10.295737760235264</v>
      </c>
      <c r="S847">
        <f t="shared" si="54"/>
        <v>896698.27263802907</v>
      </c>
      <c r="T847">
        <f t="shared" si="55"/>
        <v>1011017.733621922</v>
      </c>
      <c r="V847">
        <f t="shared" si="52"/>
        <v>0</v>
      </c>
      <c r="W847">
        <f t="shared" si="53"/>
        <v>1</v>
      </c>
    </row>
    <row r="848" spans="1:23" x14ac:dyDescent="0.2">
      <c r="A848">
        <v>843</v>
      </c>
      <c r="B848">
        <v>427.45640337714622</v>
      </c>
      <c r="C848">
        <v>3350.6246425709846</v>
      </c>
      <c r="D848">
        <v>1074.7475401794627</v>
      </c>
      <c r="E848">
        <v>1257.6504717134133</v>
      </c>
      <c r="F848">
        <v>0.92440989789060668</v>
      </c>
      <c r="G848">
        <v>0.66717694679980999</v>
      </c>
      <c r="H848">
        <v>9.0281492020884511E-3</v>
      </c>
      <c r="I848">
        <v>0.12844065630450471</v>
      </c>
      <c r="J848">
        <v>0.45789415743885792</v>
      </c>
      <c r="L848">
        <v>12782.450613163559</v>
      </c>
      <c r="M848">
        <v>10.658663123515664</v>
      </c>
      <c r="N848">
        <v>9.1669803243226866</v>
      </c>
      <c r="O848">
        <v>21374.992629300483</v>
      </c>
      <c r="P848">
        <v>11.851718108792369</v>
      </c>
      <c r="Q848">
        <v>10.498792942606528</v>
      </c>
      <c r="S848">
        <f t="shared" si="54"/>
        <v>903915.58181910508</v>
      </c>
      <c r="T848">
        <f t="shared" si="55"/>
        <v>1028504.3016313523</v>
      </c>
      <c r="V848">
        <f t="shared" si="52"/>
        <v>0</v>
      </c>
      <c r="W848">
        <f t="shared" si="53"/>
        <v>1</v>
      </c>
    </row>
    <row r="849" spans="1:23" x14ac:dyDescent="0.2">
      <c r="A849">
        <v>844</v>
      </c>
      <c r="B849">
        <v>227.54269484509567</v>
      </c>
      <c r="C849">
        <v>2955.1452015975274</v>
      </c>
      <c r="D849">
        <v>1053.2631850342916</v>
      </c>
      <c r="E849">
        <v>1380.5175317099724</v>
      </c>
      <c r="F849">
        <v>0.92949067582165867</v>
      </c>
      <c r="G849">
        <v>0.79442609746708082</v>
      </c>
      <c r="H849">
        <v>1.0095404535653411E-2</v>
      </c>
      <c r="I849">
        <v>0.11301783159249779</v>
      </c>
      <c r="J849">
        <v>0.48685997907517559</v>
      </c>
      <c r="L849">
        <v>11092.23209094714</v>
      </c>
      <c r="M849">
        <v>10.681703762967002</v>
      </c>
      <c r="N849">
        <v>9.5228439150191804</v>
      </c>
      <c r="O849">
        <v>18914.000204364002</v>
      </c>
      <c r="P849">
        <v>11.751949661207215</v>
      </c>
      <c r="Q849">
        <v>10.638343639883216</v>
      </c>
      <c r="S849">
        <f t="shared" si="54"/>
        <v>941192.15941097098</v>
      </c>
      <c r="T849">
        <f t="shared" si="55"/>
        <v>1044920.3637839576</v>
      </c>
      <c r="V849">
        <f t="shared" si="52"/>
        <v>0</v>
      </c>
      <c r="W849">
        <f t="shared" si="53"/>
        <v>1</v>
      </c>
    </row>
    <row r="850" spans="1:23" x14ac:dyDescent="0.2">
      <c r="A850">
        <v>845</v>
      </c>
      <c r="B850">
        <v>572.91958635877313</v>
      </c>
      <c r="C850">
        <v>2385.9479193122129</v>
      </c>
      <c r="D850">
        <v>992.73763314781547</v>
      </c>
      <c r="E850">
        <v>1108.4242097802608</v>
      </c>
      <c r="F850">
        <v>0.98535632845312748</v>
      </c>
      <c r="G850">
        <v>0.69638181753393891</v>
      </c>
      <c r="H850">
        <v>1.0097100367316673E-2</v>
      </c>
      <c r="I850">
        <v>0.14811683017808369</v>
      </c>
      <c r="J850">
        <v>0.45159654645822195</v>
      </c>
      <c r="L850">
        <v>10934.925650512969</v>
      </c>
      <c r="M850">
        <v>10.240630223028491</v>
      </c>
      <c r="N850">
        <v>9.3499853624766303</v>
      </c>
      <c r="O850">
        <v>19818.453079932355</v>
      </c>
      <c r="P850">
        <v>11.567311334387847</v>
      </c>
      <c r="Q850">
        <v>10.896564870420351</v>
      </c>
      <c r="S850">
        <f t="shared" si="54"/>
        <v>924063.61059715017</v>
      </c>
      <c r="T850">
        <f t="shared" si="55"/>
        <v>1069838.0339621026</v>
      </c>
      <c r="V850">
        <f t="shared" si="52"/>
        <v>0</v>
      </c>
      <c r="W850">
        <f t="shared" si="53"/>
        <v>1</v>
      </c>
    </row>
    <row r="851" spans="1:23" x14ac:dyDescent="0.2">
      <c r="A851">
        <v>846</v>
      </c>
      <c r="B851">
        <v>406.52069549942507</v>
      </c>
      <c r="C851">
        <v>2527.8355895588602</v>
      </c>
      <c r="D851">
        <v>930.05874944696757</v>
      </c>
      <c r="E851">
        <v>716.15859703628519</v>
      </c>
      <c r="F851">
        <v>0.99271935378937914</v>
      </c>
      <c r="G851">
        <v>0.68425381298797106</v>
      </c>
      <c r="H851">
        <v>9.4801265261689454E-3</v>
      </c>
      <c r="I851">
        <v>0.14897882681145447</v>
      </c>
      <c r="J851">
        <v>0.57403138946198506</v>
      </c>
      <c r="L851">
        <v>9750.9523314615453</v>
      </c>
      <c r="M851">
        <v>10.343891958843471</v>
      </c>
      <c r="N851">
        <v>9.5007506662749268</v>
      </c>
      <c r="O851">
        <v>17566.02500846715</v>
      </c>
      <c r="P851">
        <v>11.28763512155431</v>
      </c>
      <c r="Q851">
        <v>10.616255649195379</v>
      </c>
      <c r="S851">
        <f t="shared" si="54"/>
        <v>940324.11429603107</v>
      </c>
      <c r="T851">
        <f t="shared" si="55"/>
        <v>1044059.5399110707</v>
      </c>
      <c r="V851">
        <f t="shared" si="52"/>
        <v>0</v>
      </c>
      <c r="W851">
        <f t="shared" si="53"/>
        <v>1</v>
      </c>
    </row>
    <row r="852" spans="1:23" x14ac:dyDescent="0.2">
      <c r="A852">
        <v>847</v>
      </c>
      <c r="B852">
        <v>505.64783582439287</v>
      </c>
      <c r="C852">
        <v>3488.0590038259857</v>
      </c>
      <c r="D852">
        <v>1075.8439905749849</v>
      </c>
      <c r="E852">
        <v>1194.475819662292</v>
      </c>
      <c r="F852">
        <v>0.95229465408168468</v>
      </c>
      <c r="G852">
        <v>0.67240281421769543</v>
      </c>
      <c r="H852">
        <v>9.2275993488451988E-3</v>
      </c>
      <c r="I852">
        <v>0.12801137850470834</v>
      </c>
      <c r="J852">
        <v>0.51308979914104924</v>
      </c>
      <c r="L852">
        <v>13829.916272218405</v>
      </c>
      <c r="M852">
        <v>10.627570963463109</v>
      </c>
      <c r="N852">
        <v>9.3656967715901569</v>
      </c>
      <c r="O852">
        <v>22426.802792994324</v>
      </c>
      <c r="P852">
        <v>11.667430893630364</v>
      </c>
      <c r="Q852">
        <v>10.57063102952749</v>
      </c>
      <c r="S852">
        <f t="shared" si="54"/>
        <v>922739.76088679722</v>
      </c>
      <c r="T852">
        <f t="shared" si="55"/>
        <v>1034636.3001597547</v>
      </c>
      <c r="V852">
        <f t="shared" si="52"/>
        <v>0</v>
      </c>
      <c r="W852">
        <f t="shared" si="53"/>
        <v>1</v>
      </c>
    </row>
    <row r="853" spans="1:23" x14ac:dyDescent="0.2">
      <c r="A853">
        <v>848</v>
      </c>
      <c r="B853">
        <v>800.27938513798858</v>
      </c>
      <c r="C853">
        <v>2176.945895519611</v>
      </c>
      <c r="D853">
        <v>799.37330357211886</v>
      </c>
      <c r="E853">
        <v>676.78168231000927</v>
      </c>
      <c r="F853">
        <v>0.96227525458890062</v>
      </c>
      <c r="G853">
        <v>0.80865926433957458</v>
      </c>
      <c r="H853">
        <v>1.0415643091179342E-2</v>
      </c>
      <c r="I853">
        <v>0.17834316170620002</v>
      </c>
      <c r="J853">
        <v>0.56993374833297572</v>
      </c>
      <c r="L853">
        <v>11355.587085325044</v>
      </c>
      <c r="M853">
        <v>9.8887500470206326</v>
      </c>
      <c r="N853">
        <v>9.1625999051261715</v>
      </c>
      <c r="O853">
        <v>18731.86480177546</v>
      </c>
      <c r="P853">
        <v>10.931333280183541</v>
      </c>
      <c r="Q853">
        <v>10.244832507112115</v>
      </c>
      <c r="S853">
        <f t="shared" si="54"/>
        <v>904904.40342729213</v>
      </c>
      <c r="T853">
        <f t="shared" si="55"/>
        <v>1005751.385909436</v>
      </c>
      <c r="V853">
        <f t="shared" si="52"/>
        <v>0</v>
      </c>
      <c r="W853">
        <f t="shared" si="53"/>
        <v>1</v>
      </c>
    </row>
    <row r="854" spans="1:23" x14ac:dyDescent="0.2">
      <c r="A854">
        <v>849</v>
      </c>
      <c r="B854">
        <v>541.25030026163324</v>
      </c>
      <c r="C854">
        <v>3262.7793180913991</v>
      </c>
      <c r="D854">
        <v>1201.6051458957825</v>
      </c>
      <c r="E854">
        <v>953.79181905693179</v>
      </c>
      <c r="F854">
        <v>0.97524798246575628</v>
      </c>
      <c r="G854">
        <v>0.78661760962455018</v>
      </c>
      <c r="H854">
        <v>9.7382602410978E-3</v>
      </c>
      <c r="I854">
        <v>0.1476075832087699</v>
      </c>
      <c r="J854">
        <v>0.40836073157377967</v>
      </c>
      <c r="L854">
        <v>12826.265942072087</v>
      </c>
      <c r="M854">
        <v>10.31059878942173</v>
      </c>
      <c r="N854">
        <v>9.5778927483205489</v>
      </c>
      <c r="O854">
        <v>23172.816939996108</v>
      </c>
      <c r="P854">
        <v>11.770046777031105</v>
      </c>
      <c r="Q854">
        <v>11.176657075949533</v>
      </c>
      <c r="S854">
        <f t="shared" si="54"/>
        <v>944963.00888998283</v>
      </c>
      <c r="T854">
        <f t="shared" si="55"/>
        <v>1094492.8906549572</v>
      </c>
      <c r="V854">
        <f t="shared" si="52"/>
        <v>0</v>
      </c>
      <c r="W854">
        <f t="shared" si="53"/>
        <v>1</v>
      </c>
    </row>
    <row r="855" spans="1:23" x14ac:dyDescent="0.2">
      <c r="A855">
        <v>850</v>
      </c>
      <c r="B855">
        <v>436.4253817202848</v>
      </c>
      <c r="C855">
        <v>3298.8628105913513</v>
      </c>
      <c r="D855">
        <v>1034.7562588706849</v>
      </c>
      <c r="E855">
        <v>1162.033491348599</v>
      </c>
      <c r="F855">
        <v>0.94297867518770362</v>
      </c>
      <c r="G855">
        <v>0.73771411320644575</v>
      </c>
      <c r="H855">
        <v>1.1172057928239897E-2</v>
      </c>
      <c r="I855">
        <v>0.16238494105216772</v>
      </c>
      <c r="J855">
        <v>0.58058247071014246</v>
      </c>
      <c r="L855">
        <v>11991.365324556267</v>
      </c>
      <c r="M855">
        <v>9.9063650457654902</v>
      </c>
      <c r="N855">
        <v>8.8256291189159697</v>
      </c>
      <c r="O855">
        <v>20022.469499678598</v>
      </c>
      <c r="P855">
        <v>10.891300160674508</v>
      </c>
      <c r="Q855">
        <v>9.8631314045608018</v>
      </c>
      <c r="S855">
        <f t="shared" si="54"/>
        <v>870571.54656704073</v>
      </c>
      <c r="T855">
        <f t="shared" si="55"/>
        <v>966290.67095640162</v>
      </c>
      <c r="V855">
        <f t="shared" si="52"/>
        <v>0</v>
      </c>
      <c r="W855">
        <f t="shared" si="53"/>
        <v>1</v>
      </c>
    </row>
    <row r="856" spans="1:23" x14ac:dyDescent="0.2">
      <c r="A856">
        <v>851</v>
      </c>
      <c r="B856">
        <v>651.52169326243109</v>
      </c>
      <c r="C856">
        <v>2459.4669875249097</v>
      </c>
      <c r="D856">
        <v>883.54416881890586</v>
      </c>
      <c r="E856">
        <v>957.19333885678475</v>
      </c>
      <c r="F856">
        <v>0.97043528059466344</v>
      </c>
      <c r="G856">
        <v>0.77987740832582242</v>
      </c>
      <c r="H856">
        <v>9.4197354483961764E-3</v>
      </c>
      <c r="I856">
        <v>0.2017760243637654</v>
      </c>
      <c r="J856">
        <v>0.58642837389002589</v>
      </c>
      <c r="L856">
        <v>10508.222340862589</v>
      </c>
      <c r="M856">
        <v>9.900474149552279</v>
      </c>
      <c r="N856">
        <v>9.2213513371384526</v>
      </c>
      <c r="O856">
        <v>18528.683351339296</v>
      </c>
      <c r="P856">
        <v>10.919224903741082</v>
      </c>
      <c r="Q856">
        <v>10.295108020052698</v>
      </c>
      <c r="S856">
        <f t="shared" si="54"/>
        <v>911626.91137298266</v>
      </c>
      <c r="T856">
        <f t="shared" si="55"/>
        <v>1010982.1186539305</v>
      </c>
      <c r="V856">
        <f t="shared" si="52"/>
        <v>0</v>
      </c>
      <c r="W856">
        <f t="shared" si="53"/>
        <v>1</v>
      </c>
    </row>
    <row r="857" spans="1:23" x14ac:dyDescent="0.2">
      <c r="A857">
        <v>852</v>
      </c>
      <c r="B857">
        <v>485.44522758065148</v>
      </c>
      <c r="C857">
        <v>2539.7854680723317</v>
      </c>
      <c r="D857">
        <v>959.80848637152496</v>
      </c>
      <c r="E857">
        <v>981.94956689802461</v>
      </c>
      <c r="F857">
        <v>0.92070751372712456</v>
      </c>
      <c r="G857">
        <v>0.73901602649437359</v>
      </c>
      <c r="H857">
        <v>8.5541308429269592E-3</v>
      </c>
      <c r="I857">
        <v>0.1490147763054871</v>
      </c>
      <c r="J857">
        <v>0.54230116433937547</v>
      </c>
      <c r="L857">
        <v>10352.532792932074</v>
      </c>
      <c r="M857">
        <v>10.525433171997113</v>
      </c>
      <c r="N857">
        <v>9.2579715010832739</v>
      </c>
      <c r="O857">
        <v>18837.807193267181</v>
      </c>
      <c r="P857">
        <v>11.535128356581907</v>
      </c>
      <c r="Q857">
        <v>10.303233682481366</v>
      </c>
      <c r="S857">
        <f t="shared" si="54"/>
        <v>915444.61731539527</v>
      </c>
      <c r="T857">
        <f t="shared" si="55"/>
        <v>1011485.5610548694</v>
      </c>
      <c r="V857">
        <f t="shared" si="52"/>
        <v>0</v>
      </c>
      <c r="W857">
        <f t="shared" si="53"/>
        <v>1</v>
      </c>
    </row>
    <row r="858" spans="1:23" x14ac:dyDescent="0.2">
      <c r="A858">
        <v>853</v>
      </c>
      <c r="B858">
        <v>567.3918042110754</v>
      </c>
      <c r="C858">
        <v>3061.5397948252648</v>
      </c>
      <c r="D858">
        <v>1058.4020490257644</v>
      </c>
      <c r="E858">
        <v>549.13832536744485</v>
      </c>
      <c r="F858">
        <v>0.93942436572575072</v>
      </c>
      <c r="G858">
        <v>0.58532082858461776</v>
      </c>
      <c r="H858">
        <v>1.1890784094912335E-2</v>
      </c>
      <c r="I858">
        <v>0.14572501869476925</v>
      </c>
      <c r="J858">
        <v>0.51947591674653959</v>
      </c>
      <c r="L858">
        <v>12756.260781545432</v>
      </c>
      <c r="M858">
        <v>9.9751816247906913</v>
      </c>
      <c r="N858">
        <v>8.3947430051931544</v>
      </c>
      <c r="O858">
        <v>21199.425544115722</v>
      </c>
      <c r="P858">
        <v>11.109802589235992</v>
      </c>
      <c r="Q858">
        <v>9.7039336346763161</v>
      </c>
      <c r="S858">
        <f t="shared" si="54"/>
        <v>826718.03973776998</v>
      </c>
      <c r="T858">
        <f t="shared" si="55"/>
        <v>949193.93792351591</v>
      </c>
      <c r="V858">
        <f t="shared" si="52"/>
        <v>0</v>
      </c>
      <c r="W858">
        <f t="shared" si="53"/>
        <v>1</v>
      </c>
    </row>
    <row r="859" spans="1:23" x14ac:dyDescent="0.2">
      <c r="A859">
        <v>854</v>
      </c>
      <c r="B859">
        <v>551.6167516831332</v>
      </c>
      <c r="C859">
        <v>2674.0319465328053</v>
      </c>
      <c r="D859">
        <v>1179.9788585147137</v>
      </c>
      <c r="E859">
        <v>947.46724681690887</v>
      </c>
      <c r="F859">
        <v>0.9465821525844903</v>
      </c>
      <c r="G859">
        <v>0.81734043215514773</v>
      </c>
      <c r="H859">
        <v>1.0834544829659256E-2</v>
      </c>
      <c r="I859">
        <v>0.18429048314151331</v>
      </c>
      <c r="J859">
        <v>0.55914939472908942</v>
      </c>
      <c r="L859">
        <v>10625.745556396494</v>
      </c>
      <c r="M859">
        <v>9.7611468747901089</v>
      </c>
      <c r="N859">
        <v>8.9448246098042503</v>
      </c>
      <c r="O859">
        <v>20770.073746855262</v>
      </c>
      <c r="P859">
        <v>10.856645070984939</v>
      </c>
      <c r="Q859">
        <v>10.048690920653673</v>
      </c>
      <c r="S859">
        <f t="shared" si="54"/>
        <v>883856.71542402846</v>
      </c>
      <c r="T859">
        <f t="shared" si="55"/>
        <v>984099.01831851201</v>
      </c>
      <c r="V859">
        <f t="shared" si="52"/>
        <v>0</v>
      </c>
      <c r="W859">
        <f t="shared" si="53"/>
        <v>1</v>
      </c>
    </row>
    <row r="860" spans="1:23" x14ac:dyDescent="0.2">
      <c r="A860">
        <v>855</v>
      </c>
      <c r="B860">
        <v>516.88569373178768</v>
      </c>
      <c r="C860">
        <v>4759.2867941839677</v>
      </c>
      <c r="D860">
        <v>1099.749973430299</v>
      </c>
      <c r="E860">
        <v>1000.4341446833299</v>
      </c>
      <c r="F860">
        <v>0.95041063788026237</v>
      </c>
      <c r="G860">
        <v>0.76067918375279842</v>
      </c>
      <c r="H860">
        <v>8.7977388589323378E-3</v>
      </c>
      <c r="I860">
        <v>0.14556636497368333</v>
      </c>
      <c r="J860">
        <v>0.54766963099185551</v>
      </c>
      <c r="L860">
        <v>16170.079161695039</v>
      </c>
      <c r="M860">
        <v>10.511212380659336</v>
      </c>
      <c r="N860">
        <v>9.5257179894362576</v>
      </c>
      <c r="O860">
        <v>24547.220499213039</v>
      </c>
      <c r="P860">
        <v>11.502736398205668</v>
      </c>
      <c r="Q860">
        <v>10.588926500735719</v>
      </c>
      <c r="S860">
        <f t="shared" si="54"/>
        <v>936401.71978193067</v>
      </c>
      <c r="T860">
        <f t="shared" si="55"/>
        <v>1034345.4295743587</v>
      </c>
      <c r="V860">
        <f t="shared" si="52"/>
        <v>0</v>
      </c>
      <c r="W860">
        <f t="shared" si="53"/>
        <v>1</v>
      </c>
    </row>
    <row r="861" spans="1:23" x14ac:dyDescent="0.2">
      <c r="A861">
        <v>856</v>
      </c>
      <c r="B861">
        <v>640.5044048859346</v>
      </c>
      <c r="C861">
        <v>3113.6273800046401</v>
      </c>
      <c r="D861">
        <v>963.51030990267441</v>
      </c>
      <c r="E861">
        <v>1222.9658924377741</v>
      </c>
      <c r="F861">
        <v>0.93112691594288011</v>
      </c>
      <c r="G861">
        <v>0.70106779130209562</v>
      </c>
      <c r="H861">
        <v>7.901370790083611E-3</v>
      </c>
      <c r="I861">
        <v>0.1443367522525551</v>
      </c>
      <c r="J861">
        <v>0.50859754137851132</v>
      </c>
      <c r="L861">
        <v>13073.768108041548</v>
      </c>
      <c r="M861">
        <v>10.709772892158171</v>
      </c>
      <c r="N861">
        <v>9.4326082787599717</v>
      </c>
      <c r="O861">
        <v>21643.901263052605</v>
      </c>
      <c r="P861">
        <v>11.776729867147903</v>
      </c>
      <c r="Q861">
        <v>10.589888982297488</v>
      </c>
      <c r="S861">
        <f t="shared" si="54"/>
        <v>930187.05976795568</v>
      </c>
      <c r="T861">
        <f t="shared" si="55"/>
        <v>1037344.9969666961</v>
      </c>
      <c r="V861">
        <f t="shared" si="52"/>
        <v>0</v>
      </c>
      <c r="W861">
        <f t="shared" si="53"/>
        <v>1</v>
      </c>
    </row>
    <row r="862" spans="1:23" x14ac:dyDescent="0.2">
      <c r="A862">
        <v>857</v>
      </c>
      <c r="B862">
        <v>670.71216418024369</v>
      </c>
      <c r="C862">
        <v>2555.9178793932974</v>
      </c>
      <c r="D862">
        <v>1261.2248531288249</v>
      </c>
      <c r="E862">
        <v>1074.3080712771255</v>
      </c>
      <c r="F862">
        <v>0.96994176656630771</v>
      </c>
      <c r="G862">
        <v>0.66910895697513773</v>
      </c>
      <c r="H862">
        <v>1.2109050973769566E-2</v>
      </c>
      <c r="I862">
        <v>0.18685953074382189</v>
      </c>
      <c r="J862">
        <v>0.54320233549873831</v>
      </c>
      <c r="L862">
        <v>11296.410234921663</v>
      </c>
      <c r="M862">
        <v>9.5214591651220957</v>
      </c>
      <c r="N862">
        <v>8.5271113819828077</v>
      </c>
      <c r="O862">
        <v>22156.654126963149</v>
      </c>
      <c r="P862">
        <v>10.691116783857401</v>
      </c>
      <c r="Q862">
        <v>9.821847634957285</v>
      </c>
      <c r="S862">
        <f t="shared" si="54"/>
        <v>841414.72796335921</v>
      </c>
      <c r="T862">
        <f t="shared" si="55"/>
        <v>960028.10936876538</v>
      </c>
      <c r="V862">
        <f t="shared" si="52"/>
        <v>0</v>
      </c>
      <c r="W862">
        <f t="shared" si="53"/>
        <v>1</v>
      </c>
    </row>
    <row r="863" spans="1:23" x14ac:dyDescent="0.2">
      <c r="A863">
        <v>858</v>
      </c>
      <c r="B863">
        <v>399.13978331865519</v>
      </c>
      <c r="C863">
        <v>2839.175725432634</v>
      </c>
      <c r="D863">
        <v>880.04710659249247</v>
      </c>
      <c r="E863">
        <v>1496.7692600263899</v>
      </c>
      <c r="F863">
        <v>0.9734714930535433</v>
      </c>
      <c r="G863">
        <v>0.73309827800744765</v>
      </c>
      <c r="H863">
        <v>1.0059643968290091E-2</v>
      </c>
      <c r="I863">
        <v>0.15217974205206175</v>
      </c>
      <c r="J863">
        <v>0.57015961240283286</v>
      </c>
      <c r="L863">
        <v>10785.294533526308</v>
      </c>
      <c r="M863">
        <v>10.204021929922101</v>
      </c>
      <c r="N863">
        <v>9.3285235007034348</v>
      </c>
      <c r="O863">
        <v>17765.601088333195</v>
      </c>
      <c r="P863">
        <v>11.177880767384178</v>
      </c>
      <c r="Q863">
        <v>10.415194331454785</v>
      </c>
      <c r="S863">
        <f t="shared" si="54"/>
        <v>922067.05553681718</v>
      </c>
      <c r="T863">
        <f t="shared" si="55"/>
        <v>1023753.8320571453</v>
      </c>
      <c r="V863">
        <f t="shared" si="52"/>
        <v>0</v>
      </c>
      <c r="W863">
        <f t="shared" si="53"/>
        <v>1</v>
      </c>
    </row>
    <row r="864" spans="1:23" x14ac:dyDescent="0.2">
      <c r="A864">
        <v>859</v>
      </c>
      <c r="B864">
        <v>587.72308763721526</v>
      </c>
      <c r="C864">
        <v>3349.0740443325194</v>
      </c>
      <c r="D864">
        <v>866.61456098775773</v>
      </c>
      <c r="E864">
        <v>995.47485845634458</v>
      </c>
      <c r="F864">
        <v>0.92841284216217179</v>
      </c>
      <c r="G864">
        <v>0.75667366001520364</v>
      </c>
      <c r="H864">
        <v>9.6633472011571665E-3</v>
      </c>
      <c r="I864">
        <v>0.12353134079360636</v>
      </c>
      <c r="J864">
        <v>0.5404729121657782</v>
      </c>
      <c r="L864">
        <v>14330.356398124728</v>
      </c>
      <c r="M864">
        <v>10.60777797545826</v>
      </c>
      <c r="N864">
        <v>9.3663477511248256</v>
      </c>
      <c r="O864">
        <v>21022.231989300984</v>
      </c>
      <c r="P864">
        <v>11.566752576393002</v>
      </c>
      <c r="Q864">
        <v>10.381211841357208</v>
      </c>
      <c r="S864">
        <f t="shared" si="54"/>
        <v>922304.41871435789</v>
      </c>
      <c r="T864">
        <f t="shared" si="55"/>
        <v>1017098.9521464198</v>
      </c>
      <c r="V864">
        <f t="shared" si="52"/>
        <v>0</v>
      </c>
      <c r="W864">
        <f t="shared" si="53"/>
        <v>1</v>
      </c>
    </row>
    <row r="865" spans="1:23" x14ac:dyDescent="0.2">
      <c r="A865">
        <v>860</v>
      </c>
      <c r="B865">
        <v>357.25670524847362</v>
      </c>
      <c r="C865">
        <v>3547.0602769030406</v>
      </c>
      <c r="D865">
        <v>1044.7867159003629</v>
      </c>
      <c r="E865">
        <v>789.84397058880006</v>
      </c>
      <c r="F865">
        <v>0.95545224447210353</v>
      </c>
      <c r="G865">
        <v>0.63996613590904994</v>
      </c>
      <c r="H865">
        <v>9.4779179155203494E-3</v>
      </c>
      <c r="I865">
        <v>0.19943109610275356</v>
      </c>
      <c r="J865">
        <v>0.44232010157841611</v>
      </c>
      <c r="L865">
        <v>10399.730775974169</v>
      </c>
      <c r="M865">
        <v>9.9050716819222426</v>
      </c>
      <c r="N865">
        <v>8.8171645424114615</v>
      </c>
      <c r="O865">
        <v>19132.724737022545</v>
      </c>
      <c r="P865">
        <v>11.405293257743903</v>
      </c>
      <c r="Q865">
        <v>10.466705176275804</v>
      </c>
      <c r="S865">
        <f t="shared" si="54"/>
        <v>871316.72346517188</v>
      </c>
      <c r="T865">
        <f t="shared" si="55"/>
        <v>1027537.7928905579</v>
      </c>
      <c r="V865">
        <f t="shared" si="52"/>
        <v>0</v>
      </c>
      <c r="W865">
        <f t="shared" si="53"/>
        <v>1</v>
      </c>
    </row>
    <row r="866" spans="1:23" x14ac:dyDescent="0.2">
      <c r="A866">
        <v>861</v>
      </c>
      <c r="B866">
        <v>404.5843505498263</v>
      </c>
      <c r="C866">
        <v>3076.8513703534632</v>
      </c>
      <c r="D866">
        <v>920.86863871209357</v>
      </c>
      <c r="E866">
        <v>808.87107222727013</v>
      </c>
      <c r="F866">
        <v>0.95216369052005667</v>
      </c>
      <c r="G866">
        <v>0.85860051763711676</v>
      </c>
      <c r="H866">
        <v>1.1017216508500634E-2</v>
      </c>
      <c r="I866">
        <v>0.18020385360830615</v>
      </c>
      <c r="J866">
        <v>0.422247982259008</v>
      </c>
      <c r="L866">
        <v>10521.438079356605</v>
      </c>
      <c r="M866">
        <v>9.7641683650307396</v>
      </c>
      <c r="N866">
        <v>9.0789183350811147</v>
      </c>
      <c r="O866">
        <v>17966.2421856931</v>
      </c>
      <c r="P866">
        <v>11.333712214949943</v>
      </c>
      <c r="Q866">
        <v>10.646361544933592</v>
      </c>
      <c r="S866">
        <f t="shared" si="54"/>
        <v>897370.39542875485</v>
      </c>
      <c r="T866">
        <f t="shared" si="55"/>
        <v>1046669.912307666</v>
      </c>
      <c r="V866">
        <f t="shared" si="52"/>
        <v>0</v>
      </c>
      <c r="W866">
        <f t="shared" si="53"/>
        <v>1</v>
      </c>
    </row>
    <row r="867" spans="1:23" x14ac:dyDescent="0.2">
      <c r="A867">
        <v>862</v>
      </c>
      <c r="B867">
        <v>503.76357317392046</v>
      </c>
      <c r="C867">
        <v>2973.2869446310742</v>
      </c>
      <c r="D867">
        <v>979.8699757666916</v>
      </c>
      <c r="E867">
        <v>915.67350423173764</v>
      </c>
      <c r="F867">
        <v>0.91539878826775101</v>
      </c>
      <c r="G867">
        <v>0.8073835894628566</v>
      </c>
      <c r="H867">
        <v>9.6660564455210637E-3</v>
      </c>
      <c r="I867">
        <v>0.14218674738755643</v>
      </c>
      <c r="J867">
        <v>0.44230083026258143</v>
      </c>
      <c r="L867">
        <v>11944.984277295856</v>
      </c>
      <c r="M867">
        <v>10.382884922073485</v>
      </c>
      <c r="N867">
        <v>9.2255024338211129</v>
      </c>
      <c r="O867">
        <v>20135.210311250463</v>
      </c>
      <c r="P867">
        <v>11.703518394369338</v>
      </c>
      <c r="Q867">
        <v>10.528578261226148</v>
      </c>
      <c r="S867">
        <f t="shared" si="54"/>
        <v>910605.25910481543</v>
      </c>
      <c r="T867">
        <f t="shared" si="55"/>
        <v>1032722.6158113644</v>
      </c>
      <c r="V867">
        <f t="shared" si="52"/>
        <v>0</v>
      </c>
      <c r="W867">
        <f t="shared" si="53"/>
        <v>1</v>
      </c>
    </row>
    <row r="868" spans="1:23" x14ac:dyDescent="0.2">
      <c r="A868">
        <v>863</v>
      </c>
      <c r="B868">
        <v>738.07904855627953</v>
      </c>
      <c r="C868">
        <v>3076.1328570463752</v>
      </c>
      <c r="D868">
        <v>1067.2490357979793</v>
      </c>
      <c r="E868">
        <v>772.99819970523754</v>
      </c>
      <c r="F868">
        <v>0.94088526966980812</v>
      </c>
      <c r="G868">
        <v>0.78665168472353797</v>
      </c>
      <c r="H868">
        <v>1.0154435300985745E-2</v>
      </c>
      <c r="I868">
        <v>0.18326793817621512</v>
      </c>
      <c r="J868">
        <v>0.49469864623911924</v>
      </c>
      <c r="L868">
        <v>12843.717029740323</v>
      </c>
      <c r="M868">
        <v>9.8956615894683946</v>
      </c>
      <c r="N868">
        <v>8.9661092825092954</v>
      </c>
      <c r="O868">
        <v>22462.729497028122</v>
      </c>
      <c r="P868">
        <v>11.188562558841488</v>
      </c>
      <c r="Q868">
        <v>10.279970443483613</v>
      </c>
      <c r="S868">
        <f t="shared" si="54"/>
        <v>883767.21122118924</v>
      </c>
      <c r="T868">
        <f t="shared" si="55"/>
        <v>1005534.3148513332</v>
      </c>
      <c r="V868">
        <f t="shared" si="52"/>
        <v>0</v>
      </c>
      <c r="W868">
        <f t="shared" si="53"/>
        <v>1</v>
      </c>
    </row>
    <row r="869" spans="1:23" x14ac:dyDescent="0.2">
      <c r="A869">
        <v>864</v>
      </c>
      <c r="B869">
        <v>511.35876753474759</v>
      </c>
      <c r="C869">
        <v>2507.9157318403622</v>
      </c>
      <c r="D869">
        <v>985.40976654939914</v>
      </c>
      <c r="E869">
        <v>880.8884530881046</v>
      </c>
      <c r="F869">
        <v>0.94927817144434212</v>
      </c>
      <c r="G869">
        <v>0.69649002122596348</v>
      </c>
      <c r="H869">
        <v>9.7528273886186255E-3</v>
      </c>
      <c r="I869">
        <v>0.16046023935986686</v>
      </c>
      <c r="J869">
        <v>0.47446705299387032</v>
      </c>
      <c r="L869">
        <v>10339.381360960169</v>
      </c>
      <c r="M869">
        <v>10.177016074229099</v>
      </c>
      <c r="N869">
        <v>9.0536187304665674</v>
      </c>
      <c r="O869">
        <v>19075.561285069423</v>
      </c>
      <c r="P869">
        <v>11.461537629530365</v>
      </c>
      <c r="Q869">
        <v>10.458990633538905</v>
      </c>
      <c r="S869">
        <f t="shared" si="54"/>
        <v>895022.49168569653</v>
      </c>
      <c r="T869">
        <f t="shared" si="55"/>
        <v>1026823.502068821</v>
      </c>
      <c r="V869">
        <f t="shared" si="52"/>
        <v>0</v>
      </c>
      <c r="W869">
        <f t="shared" si="53"/>
        <v>1</v>
      </c>
    </row>
    <row r="870" spans="1:23" x14ac:dyDescent="0.2">
      <c r="A870">
        <v>865</v>
      </c>
      <c r="B870">
        <v>312.69611794868075</v>
      </c>
      <c r="C870">
        <v>3011.2932710997534</v>
      </c>
      <c r="D870">
        <v>880.59061606301793</v>
      </c>
      <c r="E870">
        <v>880.06114804394679</v>
      </c>
      <c r="F870">
        <v>0.94678895085558601</v>
      </c>
      <c r="G870">
        <v>0.80524346333754637</v>
      </c>
      <c r="H870">
        <v>9.249055145238428E-3</v>
      </c>
      <c r="I870">
        <v>0.14035523742274217</v>
      </c>
      <c r="J870">
        <v>0.4881432934303917</v>
      </c>
      <c r="L870">
        <v>10490.305523739797</v>
      </c>
      <c r="M870">
        <v>10.479973768982244</v>
      </c>
      <c r="N870">
        <v>9.5605369194149308</v>
      </c>
      <c r="O870">
        <v>17345.015953849175</v>
      </c>
      <c r="P870">
        <v>11.638019473085533</v>
      </c>
      <c r="Q870">
        <v>10.766680461180719</v>
      </c>
      <c r="S870">
        <f t="shared" si="54"/>
        <v>945563.3864177533</v>
      </c>
      <c r="T870">
        <f t="shared" si="55"/>
        <v>1059323.0301642229</v>
      </c>
      <c r="V870">
        <f t="shared" si="52"/>
        <v>0</v>
      </c>
      <c r="W870">
        <f t="shared" si="53"/>
        <v>1</v>
      </c>
    </row>
    <row r="871" spans="1:23" x14ac:dyDescent="0.2">
      <c r="A871">
        <v>866</v>
      </c>
      <c r="B871">
        <v>547.11344260431906</v>
      </c>
      <c r="C871">
        <v>2245.0593494340687</v>
      </c>
      <c r="D871">
        <v>1034.9840165121532</v>
      </c>
      <c r="E871">
        <v>765.43074333335142</v>
      </c>
      <c r="F871">
        <v>0.97277773000712053</v>
      </c>
      <c r="G871">
        <v>0.69284076949007178</v>
      </c>
      <c r="H871">
        <v>1.0178444411704896E-2</v>
      </c>
      <c r="I871">
        <v>0.12594447119743127</v>
      </c>
      <c r="J871">
        <v>0.45064057158355397</v>
      </c>
      <c r="L871">
        <v>10827.247093499571</v>
      </c>
      <c r="M871">
        <v>10.490391072137587</v>
      </c>
      <c r="N871">
        <v>9.4110668792011971</v>
      </c>
      <c r="O871">
        <v>20008.846848531357</v>
      </c>
      <c r="P871">
        <v>11.729389787675109</v>
      </c>
      <c r="Q871">
        <v>10.874884448642273</v>
      </c>
      <c r="S871">
        <f t="shared" si="54"/>
        <v>930279.44082662021</v>
      </c>
      <c r="T871">
        <f t="shared" si="55"/>
        <v>1067479.598015696</v>
      </c>
      <c r="V871">
        <f t="shared" si="52"/>
        <v>0</v>
      </c>
      <c r="W871">
        <f t="shared" si="53"/>
        <v>1</v>
      </c>
    </row>
    <row r="872" spans="1:23" x14ac:dyDescent="0.2">
      <c r="A872">
        <v>867</v>
      </c>
      <c r="B872">
        <v>313.76928788789536</v>
      </c>
      <c r="C872">
        <v>2531.7397592563279</v>
      </c>
      <c r="D872">
        <v>927.94820758539902</v>
      </c>
      <c r="E872">
        <v>876.49812509961316</v>
      </c>
      <c r="F872">
        <v>0.9470116206445468</v>
      </c>
      <c r="G872">
        <v>0.82637914569713877</v>
      </c>
      <c r="H872">
        <v>1.116317954412068E-2</v>
      </c>
      <c r="I872">
        <v>0.15669483384510186</v>
      </c>
      <c r="J872">
        <v>0.50200731944568189</v>
      </c>
      <c r="L872">
        <v>9183.6250506948982</v>
      </c>
      <c r="M872">
        <v>9.9667972772665987</v>
      </c>
      <c r="N872">
        <v>9.128483730216864</v>
      </c>
      <c r="O872">
        <v>16569.114694475615</v>
      </c>
      <c r="P872">
        <v>11.181298912033283</v>
      </c>
      <c r="Q872">
        <v>10.361891161948639</v>
      </c>
      <c r="S872">
        <f t="shared" si="54"/>
        <v>903664.74797099154</v>
      </c>
      <c r="T872">
        <f t="shared" si="55"/>
        <v>1019620.0015003883</v>
      </c>
      <c r="V872">
        <f t="shared" si="52"/>
        <v>0</v>
      </c>
      <c r="W872">
        <f t="shared" si="53"/>
        <v>1</v>
      </c>
    </row>
    <row r="873" spans="1:23" x14ac:dyDescent="0.2">
      <c r="A873">
        <v>868</v>
      </c>
      <c r="B873">
        <v>455.81846070581088</v>
      </c>
      <c r="C873">
        <v>2986.716920818772</v>
      </c>
      <c r="D873">
        <v>1072.7266976857529</v>
      </c>
      <c r="E873">
        <v>1507.4384928348375</v>
      </c>
      <c r="F873">
        <v>0.97696207502101329</v>
      </c>
      <c r="G873">
        <v>0.75813364622627133</v>
      </c>
      <c r="H873">
        <v>9.3705375106135271E-3</v>
      </c>
      <c r="I873">
        <v>0.14855646363864736</v>
      </c>
      <c r="J873">
        <v>0.55462972155331314</v>
      </c>
      <c r="L873">
        <v>11562.824549011024</v>
      </c>
      <c r="M873">
        <v>10.368974698274208</v>
      </c>
      <c r="N873">
        <v>9.5870465948284966</v>
      </c>
      <c r="O873">
        <v>20508.13844677827</v>
      </c>
      <c r="P873">
        <v>11.363580505822531</v>
      </c>
      <c r="Q873">
        <v>10.693508965126862</v>
      </c>
      <c r="S873">
        <f t="shared" si="54"/>
        <v>947141.83493383857</v>
      </c>
      <c r="T873">
        <f t="shared" si="55"/>
        <v>1048842.7580659078</v>
      </c>
      <c r="V873">
        <f t="shared" si="52"/>
        <v>0</v>
      </c>
      <c r="W873">
        <f t="shared" si="53"/>
        <v>1</v>
      </c>
    </row>
    <row r="874" spans="1:23" x14ac:dyDescent="0.2">
      <c r="A874">
        <v>869</v>
      </c>
      <c r="B874">
        <v>432.68528711193812</v>
      </c>
      <c r="C874">
        <v>2903.4730661655826</v>
      </c>
      <c r="D874">
        <v>1070.02214182229</v>
      </c>
      <c r="E874">
        <v>831.60884736787159</v>
      </c>
      <c r="F874">
        <v>0.94979747795602909</v>
      </c>
      <c r="G874">
        <v>0.85023176289507552</v>
      </c>
      <c r="H874">
        <v>1.0181333820140007E-2</v>
      </c>
      <c r="I874">
        <v>0.15244357643894246</v>
      </c>
      <c r="J874">
        <v>0.45765700302312734</v>
      </c>
      <c r="L874">
        <v>10964.424614554397</v>
      </c>
      <c r="M874">
        <v>10.179530440958379</v>
      </c>
      <c r="N874">
        <v>9.4170486805613329</v>
      </c>
      <c r="O874">
        <v>19925.258416877256</v>
      </c>
      <c r="P874">
        <v>11.504444878700104</v>
      </c>
      <c r="Q874">
        <v>10.754982913963223</v>
      </c>
      <c r="S874">
        <f t="shared" si="54"/>
        <v>930740.44344157889</v>
      </c>
      <c r="T874">
        <f t="shared" si="55"/>
        <v>1055573.0329794451</v>
      </c>
      <c r="V874">
        <f t="shared" si="52"/>
        <v>0</v>
      </c>
      <c r="W874">
        <f t="shared" si="53"/>
        <v>1</v>
      </c>
    </row>
    <row r="875" spans="1:23" x14ac:dyDescent="0.2">
      <c r="A875">
        <v>870</v>
      </c>
      <c r="B875">
        <v>394.17934261150145</v>
      </c>
      <c r="C875">
        <v>2866.9719022791774</v>
      </c>
      <c r="D875">
        <v>955.69558760418204</v>
      </c>
      <c r="E875">
        <v>900.40100716003042</v>
      </c>
      <c r="F875">
        <v>0.95653150387732799</v>
      </c>
      <c r="G875">
        <v>0.85640779617818641</v>
      </c>
      <c r="H875">
        <v>1.1266561150969807E-2</v>
      </c>
      <c r="I875">
        <v>0.1962142974409431</v>
      </c>
      <c r="J875">
        <v>0.43291386580038926</v>
      </c>
      <c r="L875">
        <v>9650.5253651161747</v>
      </c>
      <c r="M875">
        <v>9.5858570235603047</v>
      </c>
      <c r="N875">
        <v>8.9472711482975242</v>
      </c>
      <c r="O875">
        <v>17625.611501056974</v>
      </c>
      <c r="P875">
        <v>11.167597280795917</v>
      </c>
      <c r="Q875">
        <v>10.531376071269349</v>
      </c>
      <c r="S875">
        <f t="shared" si="54"/>
        <v>885076.58946463629</v>
      </c>
      <c r="T875">
        <f t="shared" si="55"/>
        <v>1035511.995625878</v>
      </c>
      <c r="V875">
        <f t="shared" si="52"/>
        <v>0</v>
      </c>
      <c r="W875">
        <f t="shared" si="53"/>
        <v>1</v>
      </c>
    </row>
    <row r="876" spans="1:23" x14ac:dyDescent="0.2">
      <c r="A876">
        <v>871</v>
      </c>
      <c r="B876">
        <v>556.10372526423419</v>
      </c>
      <c r="C876">
        <v>2875.0759708616406</v>
      </c>
      <c r="D876">
        <v>1006.4800487874936</v>
      </c>
      <c r="E876">
        <v>926.17880498200793</v>
      </c>
      <c r="F876">
        <v>0.93775445605256624</v>
      </c>
      <c r="G876">
        <v>0.62007756417672855</v>
      </c>
      <c r="H876">
        <v>9.1714901359543858E-3</v>
      </c>
      <c r="I876">
        <v>0.12848604721693954</v>
      </c>
      <c r="J876">
        <v>0.45802174390481981</v>
      </c>
      <c r="L876">
        <v>12456.669396608362</v>
      </c>
      <c r="M876">
        <v>10.63192729965254</v>
      </c>
      <c r="N876">
        <v>9.1174019040906114</v>
      </c>
      <c r="O876">
        <v>21052.829826170531</v>
      </c>
      <c r="P876">
        <v>11.829677270341625</v>
      </c>
      <c r="Q876">
        <v>10.523449261487858</v>
      </c>
      <c r="S876">
        <f t="shared" si="54"/>
        <v>899283.52101245278</v>
      </c>
      <c r="T876">
        <f t="shared" si="55"/>
        <v>1031292.0963226152</v>
      </c>
      <c r="V876">
        <f t="shared" si="52"/>
        <v>0</v>
      </c>
      <c r="W876">
        <f t="shared" si="53"/>
        <v>1</v>
      </c>
    </row>
    <row r="877" spans="1:23" x14ac:dyDescent="0.2">
      <c r="A877">
        <v>872</v>
      </c>
      <c r="B877">
        <v>805.40856696347134</v>
      </c>
      <c r="C877">
        <v>2675.7452811654211</v>
      </c>
      <c r="D877">
        <v>859.86004444897355</v>
      </c>
      <c r="E877">
        <v>757.90163233540545</v>
      </c>
      <c r="F877">
        <v>0.97982236195126338</v>
      </c>
      <c r="G877">
        <v>0.80815730400919517</v>
      </c>
      <c r="H877">
        <v>1.0986157900985517E-2</v>
      </c>
      <c r="I877">
        <v>0.15178099738241069</v>
      </c>
      <c r="J877">
        <v>0.53205402590733686</v>
      </c>
      <c r="L877">
        <v>13272.293533432436</v>
      </c>
      <c r="M877">
        <v>10.048837339949625</v>
      </c>
      <c r="N877">
        <v>9.3982845044713468</v>
      </c>
      <c r="O877">
        <v>20776.008204287482</v>
      </c>
      <c r="P877">
        <v>11.150071108447413</v>
      </c>
      <c r="Q877">
        <v>10.588298829112517</v>
      </c>
      <c r="S877">
        <f t="shared" si="54"/>
        <v>926556.15691370226</v>
      </c>
      <c r="T877">
        <f t="shared" si="55"/>
        <v>1038053.8747069641</v>
      </c>
      <c r="V877">
        <f t="shared" si="52"/>
        <v>0</v>
      </c>
      <c r="W877">
        <f t="shared" si="53"/>
        <v>1</v>
      </c>
    </row>
    <row r="878" spans="1:23" x14ac:dyDescent="0.2">
      <c r="A878">
        <v>873</v>
      </c>
      <c r="B878">
        <v>428.93787931663604</v>
      </c>
      <c r="C878">
        <v>2819.1555151377102</v>
      </c>
      <c r="D878">
        <v>897.18988240458589</v>
      </c>
      <c r="E878">
        <v>604.49074062128886</v>
      </c>
      <c r="F878">
        <v>0.9712991371935229</v>
      </c>
      <c r="G878">
        <v>0.83283002419266083</v>
      </c>
      <c r="H878">
        <v>9.869422787414428E-3</v>
      </c>
      <c r="I878">
        <v>0.18442987706757297</v>
      </c>
      <c r="J878">
        <v>0.49424781516363797</v>
      </c>
      <c r="L878">
        <v>9766.8736320973294</v>
      </c>
      <c r="M878">
        <v>9.9411874653841412</v>
      </c>
      <c r="N878">
        <v>9.3512915799172465</v>
      </c>
      <c r="O878">
        <v>17413.247056318458</v>
      </c>
      <c r="P878">
        <v>11.231349855953823</v>
      </c>
      <c r="Q878">
        <v>10.691607768088394</v>
      </c>
      <c r="S878">
        <f t="shared" si="54"/>
        <v>925362.28435962729</v>
      </c>
      <c r="T878">
        <f t="shared" si="55"/>
        <v>1051747.5297525211</v>
      </c>
      <c r="V878">
        <f t="shared" si="52"/>
        <v>0</v>
      </c>
      <c r="W878">
        <f t="shared" si="53"/>
        <v>1</v>
      </c>
    </row>
    <row r="879" spans="1:23" x14ac:dyDescent="0.2">
      <c r="A879">
        <v>874</v>
      </c>
      <c r="B879">
        <v>676.93466328986688</v>
      </c>
      <c r="C879">
        <v>2546.884986935047</v>
      </c>
      <c r="D879">
        <v>902.77449799876354</v>
      </c>
      <c r="E879">
        <v>578.57703882046837</v>
      </c>
      <c r="F879">
        <v>0.95259493873869194</v>
      </c>
      <c r="G879">
        <v>0.85897506320537986</v>
      </c>
      <c r="H879">
        <v>1.0520514454652123E-2</v>
      </c>
      <c r="I879">
        <v>0.11110985362822995</v>
      </c>
      <c r="J879">
        <v>0.48000032271830217</v>
      </c>
      <c r="L879">
        <v>13168.716943741112</v>
      </c>
      <c r="M879">
        <v>10.644811007500515</v>
      </c>
      <c r="N879">
        <v>9.8515811152222703</v>
      </c>
      <c r="O879">
        <v>20766.967414906267</v>
      </c>
      <c r="P879">
        <v>11.73438345015882</v>
      </c>
      <c r="Q879">
        <v>10.975704958647219</v>
      </c>
      <c r="S879">
        <f t="shared" si="54"/>
        <v>971989.39457848598</v>
      </c>
      <c r="T879">
        <f t="shared" si="55"/>
        <v>1076803.5284498157</v>
      </c>
      <c r="V879">
        <f t="shared" si="52"/>
        <v>0</v>
      </c>
      <c r="W879">
        <f t="shared" si="53"/>
        <v>1</v>
      </c>
    </row>
    <row r="880" spans="1:23" x14ac:dyDescent="0.2">
      <c r="A880">
        <v>875</v>
      </c>
      <c r="B880">
        <v>315.44592825161197</v>
      </c>
      <c r="C880">
        <v>2864.2452429346704</v>
      </c>
      <c r="D880">
        <v>1029.8555251933628</v>
      </c>
      <c r="E880">
        <v>869.1356560546418</v>
      </c>
      <c r="F880">
        <v>0.98268426239921991</v>
      </c>
      <c r="G880">
        <v>0.75981546885638618</v>
      </c>
      <c r="H880">
        <v>9.210008285949773E-3</v>
      </c>
      <c r="I880">
        <v>0.16958543843258778</v>
      </c>
      <c r="J880">
        <v>0.52586428640885274</v>
      </c>
      <c r="L880">
        <v>9318.3262270245104</v>
      </c>
      <c r="M880">
        <v>10.198761468587829</v>
      </c>
      <c r="N880">
        <v>9.5178362830419498</v>
      </c>
      <c r="O880">
        <v>17995.860573645692</v>
      </c>
      <c r="P880">
        <v>11.331176222986501</v>
      </c>
      <c r="Q880">
        <v>10.766892987651781</v>
      </c>
      <c r="S880">
        <f t="shared" si="54"/>
        <v>942465.30207717046</v>
      </c>
      <c r="T880">
        <f t="shared" si="55"/>
        <v>1058693.4381915324</v>
      </c>
      <c r="V880">
        <f t="shared" si="52"/>
        <v>0</v>
      </c>
      <c r="W880">
        <f t="shared" si="53"/>
        <v>1</v>
      </c>
    </row>
    <row r="881" spans="1:23" x14ac:dyDescent="0.2">
      <c r="A881">
        <v>876</v>
      </c>
      <c r="B881">
        <v>370.96044823414991</v>
      </c>
      <c r="C881">
        <v>3116.2052818341758</v>
      </c>
      <c r="D881">
        <v>1048.8759040413208</v>
      </c>
      <c r="E881">
        <v>1473.1089728513145</v>
      </c>
      <c r="F881">
        <v>0.95127660757725185</v>
      </c>
      <c r="G881">
        <v>0.76026713092924969</v>
      </c>
      <c r="H881">
        <v>9.478014526408245E-3</v>
      </c>
      <c r="I881">
        <v>0.11352722934604158</v>
      </c>
      <c r="J881">
        <v>0.53053004647071988</v>
      </c>
      <c r="L881">
        <v>12497.675748777727</v>
      </c>
      <c r="M881">
        <v>10.774106346515801</v>
      </c>
      <c r="N881">
        <v>9.6916399181147899</v>
      </c>
      <c r="O881">
        <v>20609.16900484066</v>
      </c>
      <c r="P881">
        <v>11.715982684469235</v>
      </c>
      <c r="Q881">
        <v>10.737787016881068</v>
      </c>
      <c r="S881">
        <f t="shared" si="54"/>
        <v>956666.31606270128</v>
      </c>
      <c r="T881">
        <f t="shared" si="55"/>
        <v>1053169.5326832663</v>
      </c>
      <c r="V881">
        <f t="shared" si="52"/>
        <v>0</v>
      </c>
      <c r="W881">
        <f t="shared" si="53"/>
        <v>1</v>
      </c>
    </row>
    <row r="882" spans="1:23" x14ac:dyDescent="0.2">
      <c r="A882">
        <v>877</v>
      </c>
      <c r="B882">
        <v>476.95405247341131</v>
      </c>
      <c r="C882">
        <v>3397.535462451533</v>
      </c>
      <c r="D882">
        <v>863.5276860188203</v>
      </c>
      <c r="E882">
        <v>800.03003729174009</v>
      </c>
      <c r="F882">
        <v>0.98558328402945838</v>
      </c>
      <c r="G882">
        <v>0.80435436371028424</v>
      </c>
      <c r="H882">
        <v>8.1676422273155944E-3</v>
      </c>
      <c r="I882">
        <v>0.13238185186518794</v>
      </c>
      <c r="J882">
        <v>0.4172703651223903</v>
      </c>
      <c r="L882">
        <v>12729.301313984484</v>
      </c>
      <c r="M882">
        <v>10.779363281745793</v>
      </c>
      <c r="N882">
        <v>10.169581772028858</v>
      </c>
      <c r="O882">
        <v>19530.460910758386</v>
      </c>
      <c r="P882">
        <v>12.075277203368822</v>
      </c>
      <c r="Q882">
        <v>11.621025589686742</v>
      </c>
      <c r="S882">
        <f t="shared" si="54"/>
        <v>1004228.8758889013</v>
      </c>
      <c r="T882">
        <f t="shared" si="55"/>
        <v>1142572.0980579157</v>
      </c>
      <c r="V882">
        <f t="shared" si="52"/>
        <v>0</v>
      </c>
      <c r="W882">
        <f t="shared" si="53"/>
        <v>1</v>
      </c>
    </row>
    <row r="883" spans="1:23" x14ac:dyDescent="0.2">
      <c r="A883">
        <v>878</v>
      </c>
      <c r="B883">
        <v>373.08752533019526</v>
      </c>
      <c r="C883">
        <v>3227.2744238767705</v>
      </c>
      <c r="D883">
        <v>958.65747883494828</v>
      </c>
      <c r="E883">
        <v>722.90779821240835</v>
      </c>
      <c r="F883">
        <v>0.90479554103093296</v>
      </c>
      <c r="G883">
        <v>0.87297769966595518</v>
      </c>
      <c r="H883">
        <v>1.0321677054510377E-2</v>
      </c>
      <c r="I883">
        <v>0.1481668348192634</v>
      </c>
      <c r="J883">
        <v>0.54617279744818725</v>
      </c>
      <c r="L883">
        <v>11461.087430019914</v>
      </c>
      <c r="M883">
        <v>10.20075989880025</v>
      </c>
      <c r="N883">
        <v>9.1473491244457339</v>
      </c>
      <c r="O883">
        <v>18877.210321153583</v>
      </c>
      <c r="P883">
        <v>11.237611498617918</v>
      </c>
      <c r="Q883">
        <v>10.105593847750987</v>
      </c>
      <c r="S883">
        <f t="shared" si="54"/>
        <v>903273.8250145535</v>
      </c>
      <c r="T883">
        <f t="shared" si="55"/>
        <v>991682.17445394502</v>
      </c>
      <c r="V883">
        <f t="shared" si="52"/>
        <v>0</v>
      </c>
      <c r="W883">
        <f t="shared" si="53"/>
        <v>1</v>
      </c>
    </row>
    <row r="884" spans="1:23" x14ac:dyDescent="0.2">
      <c r="A884">
        <v>879</v>
      </c>
      <c r="B884">
        <v>566.9548552918626</v>
      </c>
      <c r="C884">
        <v>4070.000351526794</v>
      </c>
      <c r="D884">
        <v>1176.8388373372939</v>
      </c>
      <c r="E884">
        <v>994.36863007749696</v>
      </c>
      <c r="F884">
        <v>0.95885940685178794</v>
      </c>
      <c r="G884">
        <v>0.77678237530345151</v>
      </c>
      <c r="H884">
        <v>1.1826086423856954E-2</v>
      </c>
      <c r="I884">
        <v>0.1505684177138682</v>
      </c>
      <c r="J884">
        <v>0.3969754016732519</v>
      </c>
      <c r="L884">
        <v>15473.575497866386</v>
      </c>
      <c r="M884">
        <v>9.9287406065740669</v>
      </c>
      <c r="N884">
        <v>9.0295575924184313</v>
      </c>
      <c r="O884">
        <v>24390.126979122022</v>
      </c>
      <c r="P884">
        <v>11.506059516109733</v>
      </c>
      <c r="Q884">
        <v>10.71456892687655</v>
      </c>
      <c r="S884">
        <f t="shared" si="54"/>
        <v>887482.18374397676</v>
      </c>
      <c r="T884">
        <f t="shared" si="55"/>
        <v>1047066.765708533</v>
      </c>
      <c r="V884">
        <f t="shared" si="52"/>
        <v>0</v>
      </c>
      <c r="W884">
        <f t="shared" si="53"/>
        <v>1</v>
      </c>
    </row>
    <row r="885" spans="1:23" x14ac:dyDescent="0.2">
      <c r="A885">
        <v>880</v>
      </c>
      <c r="B885">
        <v>534.20448502033162</v>
      </c>
      <c r="C885">
        <v>3699.2975433823058</v>
      </c>
      <c r="D885">
        <v>1017.1485561844905</v>
      </c>
      <c r="E885">
        <v>1102.228473008566</v>
      </c>
      <c r="F885">
        <v>0.94467336932318324</v>
      </c>
      <c r="G885">
        <v>0.53427147359241467</v>
      </c>
      <c r="H885">
        <v>9.7456796010110223E-3</v>
      </c>
      <c r="I885">
        <v>0.15555132490453094</v>
      </c>
      <c r="J885">
        <v>0.4781133488528288</v>
      </c>
      <c r="L885">
        <v>13636.948199414081</v>
      </c>
      <c r="M885">
        <v>10.226822486761579</v>
      </c>
      <c r="N885">
        <v>8.6556211453210565</v>
      </c>
      <c r="O885">
        <v>21770.05675354461</v>
      </c>
      <c r="P885">
        <v>11.483250421344728</v>
      </c>
      <c r="Q885">
        <v>10.148024902517982</v>
      </c>
      <c r="S885">
        <f t="shared" si="54"/>
        <v>851925.16633269156</v>
      </c>
      <c r="T885">
        <f t="shared" si="55"/>
        <v>993032.43349825358</v>
      </c>
      <c r="V885">
        <f t="shared" si="52"/>
        <v>0</v>
      </c>
      <c r="W885">
        <f t="shared" si="53"/>
        <v>1</v>
      </c>
    </row>
    <row r="886" spans="1:23" x14ac:dyDescent="0.2">
      <c r="A886">
        <v>881</v>
      </c>
      <c r="B886">
        <v>540.09719998313494</v>
      </c>
      <c r="C886">
        <v>2944.1025012164255</v>
      </c>
      <c r="D886">
        <v>997.88723223603495</v>
      </c>
      <c r="E886">
        <v>955.651091793511</v>
      </c>
      <c r="F886">
        <v>0.95443180899345281</v>
      </c>
      <c r="G886">
        <v>0.81888487036554591</v>
      </c>
      <c r="H886">
        <v>9.7340848695424559E-3</v>
      </c>
      <c r="I886">
        <v>0.1270695588925134</v>
      </c>
      <c r="J886">
        <v>0.45183893871802455</v>
      </c>
      <c r="L886">
        <v>12693.498809030028</v>
      </c>
      <c r="M886">
        <v>10.550339304226492</v>
      </c>
      <c r="N886">
        <v>9.6941239196565263</v>
      </c>
      <c r="O886">
        <v>20949.307267622091</v>
      </c>
      <c r="P886">
        <v>11.778161456315916</v>
      </c>
      <c r="Q886">
        <v>10.989917524072942</v>
      </c>
      <c r="S886">
        <f t="shared" si="54"/>
        <v>956718.89315662254</v>
      </c>
      <c r="T886">
        <f t="shared" si="55"/>
        <v>1078042.4451396721</v>
      </c>
      <c r="V886">
        <f t="shared" si="52"/>
        <v>0</v>
      </c>
      <c r="W886">
        <f t="shared" si="53"/>
        <v>1</v>
      </c>
    </row>
    <row r="887" spans="1:23" x14ac:dyDescent="0.2">
      <c r="A887">
        <v>882</v>
      </c>
      <c r="B887">
        <v>366.36443238142442</v>
      </c>
      <c r="C887">
        <v>3202.5594260490238</v>
      </c>
      <c r="D887">
        <v>910.39123753904084</v>
      </c>
      <c r="E887">
        <v>1071.5553020477832</v>
      </c>
      <c r="F887">
        <v>0.93244736914790882</v>
      </c>
      <c r="G887">
        <v>0.73469064197282574</v>
      </c>
      <c r="H887">
        <v>1.1324410231219731E-2</v>
      </c>
      <c r="I887">
        <v>0.15629761748496052</v>
      </c>
      <c r="J887">
        <v>0.50851946438316131</v>
      </c>
      <c r="L887">
        <v>11421.320687190402</v>
      </c>
      <c r="M887">
        <v>9.9446724654269971</v>
      </c>
      <c r="N887">
        <v>8.760797503222598</v>
      </c>
      <c r="O887">
        <v>18223.8070200117</v>
      </c>
      <c r="P887">
        <v>11.139465275256367</v>
      </c>
      <c r="Q887">
        <v>10.00894207839162</v>
      </c>
      <c r="S887">
        <f t="shared" si="54"/>
        <v>864658.42963506945</v>
      </c>
      <c r="T887">
        <f t="shared" si="55"/>
        <v>982670.40081915027</v>
      </c>
      <c r="V887">
        <f t="shared" si="52"/>
        <v>0</v>
      </c>
      <c r="W887">
        <f t="shared" si="53"/>
        <v>1</v>
      </c>
    </row>
    <row r="888" spans="1:23" x14ac:dyDescent="0.2">
      <c r="A888">
        <v>883</v>
      </c>
      <c r="B888">
        <v>553.44596016037258</v>
      </c>
      <c r="C888">
        <v>2769.9874264281812</v>
      </c>
      <c r="D888">
        <v>1118.3067739650082</v>
      </c>
      <c r="E888">
        <v>603.20116790118038</v>
      </c>
      <c r="F888">
        <v>0.96331055687491873</v>
      </c>
      <c r="G888">
        <v>0.74193820361075524</v>
      </c>
      <c r="H888">
        <v>1.0395971417906606E-2</v>
      </c>
      <c r="I888">
        <v>0.1429553084015629</v>
      </c>
      <c r="J888">
        <v>0.54200197418038731</v>
      </c>
      <c r="L888">
        <v>11775.034811975622</v>
      </c>
      <c r="M888">
        <v>10.246307807175937</v>
      </c>
      <c r="N888">
        <v>9.2835560698937947</v>
      </c>
      <c r="O888">
        <v>21222.25382499849</v>
      </c>
      <c r="P888">
        <v>11.280950158848514</v>
      </c>
      <c r="Q888">
        <v>10.425367105200092</v>
      </c>
      <c r="S888">
        <f t="shared" si="54"/>
        <v>916580.57217740384</v>
      </c>
      <c r="T888">
        <f t="shared" si="55"/>
        <v>1021314.4566950107</v>
      </c>
      <c r="V888">
        <f t="shared" si="52"/>
        <v>0</v>
      </c>
      <c r="W888">
        <f t="shared" si="53"/>
        <v>1</v>
      </c>
    </row>
    <row r="889" spans="1:23" x14ac:dyDescent="0.2">
      <c r="A889">
        <v>884</v>
      </c>
      <c r="B889">
        <v>511.62313789528321</v>
      </c>
      <c r="C889">
        <v>4005.1828818970489</v>
      </c>
      <c r="D889">
        <v>1262.0886654894948</v>
      </c>
      <c r="E889">
        <v>1222.5305587416806</v>
      </c>
      <c r="F889">
        <v>0.96900609699353424</v>
      </c>
      <c r="G889">
        <v>0.78318567472076039</v>
      </c>
      <c r="H889">
        <v>1.1400897835854322E-2</v>
      </c>
      <c r="I889">
        <v>0.12351303136347848</v>
      </c>
      <c r="J889">
        <v>0.51462183472852496</v>
      </c>
      <c r="L889">
        <v>16213.559735817802</v>
      </c>
      <c r="M889">
        <v>10.334288554524196</v>
      </c>
      <c r="N889">
        <v>9.4569034212788363</v>
      </c>
      <c r="O889">
        <v>25497.526673948072</v>
      </c>
      <c r="P889">
        <v>11.396098976767858</v>
      </c>
      <c r="Q889">
        <v>10.630754202401771</v>
      </c>
      <c r="S889">
        <f t="shared" si="54"/>
        <v>929476.78239206574</v>
      </c>
      <c r="T889">
        <f t="shared" si="55"/>
        <v>1037577.893566229</v>
      </c>
      <c r="V889">
        <f t="shared" si="52"/>
        <v>0</v>
      </c>
      <c r="W889">
        <f t="shared" si="53"/>
        <v>1</v>
      </c>
    </row>
    <row r="890" spans="1:23" x14ac:dyDescent="0.2">
      <c r="A890">
        <v>885</v>
      </c>
      <c r="B890">
        <v>391.57241010338805</v>
      </c>
      <c r="C890">
        <v>1937.3383979487478</v>
      </c>
      <c r="D890">
        <v>1006.1949220338385</v>
      </c>
      <c r="E890">
        <v>767.56240354087151</v>
      </c>
      <c r="F890">
        <v>0.96191081299989278</v>
      </c>
      <c r="G890">
        <v>0.70505033076266554</v>
      </c>
      <c r="H890">
        <v>9.0556793104919625E-3</v>
      </c>
      <c r="I890">
        <v>0.12654695438108371</v>
      </c>
      <c r="J890">
        <v>0.53478268365771287</v>
      </c>
      <c r="L890">
        <v>8605.6165160674682</v>
      </c>
      <c r="M890">
        <v>10.67666950054093</v>
      </c>
      <c r="N890">
        <v>9.5781845681789086</v>
      </c>
      <c r="O890">
        <v>17534.018331619485</v>
      </c>
      <c r="P890">
        <v>11.647850305025425</v>
      </c>
      <c r="Q890">
        <v>10.698691443118152</v>
      </c>
      <c r="S890">
        <f t="shared" si="54"/>
        <v>949212.84030182345</v>
      </c>
      <c r="T890">
        <f t="shared" si="55"/>
        <v>1052335.1259801958</v>
      </c>
      <c r="V890">
        <f t="shared" si="52"/>
        <v>0</v>
      </c>
      <c r="W890">
        <f t="shared" si="53"/>
        <v>1</v>
      </c>
    </row>
    <row r="891" spans="1:23" x14ac:dyDescent="0.2">
      <c r="A891">
        <v>886</v>
      </c>
      <c r="B891">
        <v>519.2542824617002</v>
      </c>
      <c r="C891">
        <v>3355.0338537039756</v>
      </c>
      <c r="D891">
        <v>1068.9146651079975</v>
      </c>
      <c r="E891">
        <v>1064.2273561662746</v>
      </c>
      <c r="F891">
        <v>0.93300891993691715</v>
      </c>
      <c r="G891">
        <v>0.74317185885339931</v>
      </c>
      <c r="H891">
        <v>8.6177588508492744E-3</v>
      </c>
      <c r="I891">
        <v>0.11036793896472788</v>
      </c>
      <c r="J891">
        <v>0.53224575252388906</v>
      </c>
      <c r="L891">
        <v>14092.862152501024</v>
      </c>
      <c r="M891">
        <v>10.966109847247933</v>
      </c>
      <c r="N891">
        <v>9.6916036201218656</v>
      </c>
      <c r="O891">
        <v>22716.629781696785</v>
      </c>
      <c r="P891">
        <v>11.869302231179709</v>
      </c>
      <c r="Q891">
        <v>10.684665059168541</v>
      </c>
      <c r="S891">
        <f t="shared" si="54"/>
        <v>955067.49985968554</v>
      </c>
      <c r="T891">
        <f t="shared" si="55"/>
        <v>1045749.8761351573</v>
      </c>
      <c r="V891">
        <f t="shared" si="52"/>
        <v>0</v>
      </c>
      <c r="W891">
        <f t="shared" si="53"/>
        <v>1</v>
      </c>
    </row>
    <row r="892" spans="1:23" x14ac:dyDescent="0.2">
      <c r="A892">
        <v>887</v>
      </c>
      <c r="B892">
        <v>444.88080083175066</v>
      </c>
      <c r="C892">
        <v>3149.3306602551343</v>
      </c>
      <c r="D892">
        <v>1082.8440033542572</v>
      </c>
      <c r="E892">
        <v>933.70965545548358</v>
      </c>
      <c r="F892">
        <v>0.95925160847652924</v>
      </c>
      <c r="G892">
        <v>0.69944800605346569</v>
      </c>
      <c r="H892">
        <v>8.9503493994306654E-3</v>
      </c>
      <c r="I892">
        <v>0.16844342803643342</v>
      </c>
      <c r="J892">
        <v>0.46133976416783246</v>
      </c>
      <c r="L892">
        <v>10992.601094792873</v>
      </c>
      <c r="M892">
        <v>10.262042817301625</v>
      </c>
      <c r="N892">
        <v>9.2603825083658329</v>
      </c>
      <c r="O892">
        <v>20391.534585760444</v>
      </c>
      <c r="P892">
        <v>11.588505819794072</v>
      </c>
      <c r="Q892">
        <v>10.723788838605316</v>
      </c>
      <c r="S892">
        <f t="shared" si="54"/>
        <v>915045.64974179049</v>
      </c>
      <c r="T892">
        <f t="shared" si="55"/>
        <v>1051987.3492747711</v>
      </c>
      <c r="V892">
        <f t="shared" si="52"/>
        <v>0</v>
      </c>
      <c r="W892">
        <f t="shared" si="53"/>
        <v>1</v>
      </c>
    </row>
    <row r="893" spans="1:23" x14ac:dyDescent="0.2">
      <c r="A893">
        <v>888</v>
      </c>
      <c r="B893">
        <v>382.51919024307114</v>
      </c>
      <c r="C893">
        <v>3062.4679884874208</v>
      </c>
      <c r="D893">
        <v>1013.8685567201804</v>
      </c>
      <c r="E893">
        <v>952.4957250385288</v>
      </c>
      <c r="F893">
        <v>0.96966895337505421</v>
      </c>
      <c r="G893">
        <v>0.80251616279011073</v>
      </c>
      <c r="H893">
        <v>1.074998505401758E-2</v>
      </c>
      <c r="I893">
        <v>0.14967255556737102</v>
      </c>
      <c r="J893">
        <v>0.51981403307563023</v>
      </c>
      <c r="L893">
        <v>11234.137909528277</v>
      </c>
      <c r="M893">
        <v>10.111239885652742</v>
      </c>
      <c r="N893">
        <v>9.3683079211843694</v>
      </c>
      <c r="O893">
        <v>19189.622667362339</v>
      </c>
      <c r="P893">
        <v>11.239809641324349</v>
      </c>
      <c r="Q893">
        <v>10.575937470037088</v>
      </c>
      <c r="S893">
        <f t="shared" si="54"/>
        <v>925596.65420890856</v>
      </c>
      <c r="T893">
        <f t="shared" si="55"/>
        <v>1038404.1243363464</v>
      </c>
      <c r="V893">
        <f t="shared" si="52"/>
        <v>0</v>
      </c>
      <c r="W893">
        <f t="shared" si="53"/>
        <v>1</v>
      </c>
    </row>
    <row r="894" spans="1:23" x14ac:dyDescent="0.2">
      <c r="A894">
        <v>889</v>
      </c>
      <c r="B894">
        <v>256.47378887479204</v>
      </c>
      <c r="C894">
        <v>2739.5981440514111</v>
      </c>
      <c r="D894">
        <v>990.87235004625677</v>
      </c>
      <c r="E894">
        <v>789.94733555815753</v>
      </c>
      <c r="F894">
        <v>0.98997605520519305</v>
      </c>
      <c r="G894">
        <v>0.8786891174473439</v>
      </c>
      <c r="H894">
        <v>8.650042583109193E-3</v>
      </c>
      <c r="I894">
        <v>0.10899989508037396</v>
      </c>
      <c r="J894">
        <v>0.55681754035153475</v>
      </c>
      <c r="L894">
        <v>10183.474938804007</v>
      </c>
      <c r="M894">
        <v>10.979370318161376</v>
      </c>
      <c r="N894">
        <v>10.55018579929741</v>
      </c>
      <c r="O894">
        <v>18096.038015023838</v>
      </c>
      <c r="P894">
        <v>11.818740630112082</v>
      </c>
      <c r="Q894">
        <v>11.463787554102923</v>
      </c>
      <c r="S894">
        <f t="shared" si="54"/>
        <v>1044835.1049909368</v>
      </c>
      <c r="T894">
        <f t="shared" si="55"/>
        <v>1128282.7173952686</v>
      </c>
      <c r="V894">
        <f t="shared" si="52"/>
        <v>0</v>
      </c>
      <c r="W894">
        <f t="shared" si="53"/>
        <v>1</v>
      </c>
    </row>
    <row r="895" spans="1:23" x14ac:dyDescent="0.2">
      <c r="A895">
        <v>890</v>
      </c>
      <c r="B895">
        <v>586.17849180190842</v>
      </c>
      <c r="C895">
        <v>2185.7043166966428</v>
      </c>
      <c r="D895">
        <v>956.78111777880702</v>
      </c>
      <c r="E895">
        <v>1373.0136061834271</v>
      </c>
      <c r="F895">
        <v>0.96557703744208712</v>
      </c>
      <c r="G895">
        <v>0.72528491497265601</v>
      </c>
      <c r="H895">
        <v>9.5246252343785757E-3</v>
      </c>
      <c r="I895">
        <v>0.16984151932628067</v>
      </c>
      <c r="J895">
        <v>0.47940514538209189</v>
      </c>
      <c r="L895">
        <v>10140.940571176323</v>
      </c>
      <c r="M895">
        <v>10.133656239938789</v>
      </c>
      <c r="N895">
        <v>9.2340481996039223</v>
      </c>
      <c r="O895">
        <v>19024.027781495544</v>
      </c>
      <c r="P895">
        <v>11.424006341845297</v>
      </c>
      <c r="Q895">
        <v>10.647458238010524</v>
      </c>
      <c r="S895">
        <f t="shared" si="54"/>
        <v>913263.87938921584</v>
      </c>
      <c r="T895">
        <f t="shared" si="55"/>
        <v>1045721.7960195567</v>
      </c>
      <c r="V895">
        <f t="shared" si="52"/>
        <v>0</v>
      </c>
      <c r="W895">
        <f t="shared" si="53"/>
        <v>1</v>
      </c>
    </row>
    <row r="896" spans="1:23" x14ac:dyDescent="0.2">
      <c r="A896">
        <v>891</v>
      </c>
      <c r="B896">
        <v>451.4727226803551</v>
      </c>
      <c r="C896">
        <v>3176.4191138730125</v>
      </c>
      <c r="D896">
        <v>1160.855366384382</v>
      </c>
      <c r="E896">
        <v>429.67232685089658</v>
      </c>
      <c r="F896">
        <v>0.97470599611807596</v>
      </c>
      <c r="G896">
        <v>0.72082821591335289</v>
      </c>
      <c r="H896">
        <v>9.4589293309890275E-3</v>
      </c>
      <c r="I896">
        <v>0.15209691972429495</v>
      </c>
      <c r="J896">
        <v>0.49015943390941419</v>
      </c>
      <c r="L896">
        <v>11506.687880328307</v>
      </c>
      <c r="M896">
        <v>10.31571340886217</v>
      </c>
      <c r="N896">
        <v>9.4315866843532667</v>
      </c>
      <c r="O896">
        <v>21374.224808726485</v>
      </c>
      <c r="P896">
        <v>11.514442146561906</v>
      </c>
      <c r="Q896">
        <v>10.785509447866154</v>
      </c>
      <c r="S896">
        <f t="shared" si="54"/>
        <v>931651.98055499839</v>
      </c>
      <c r="T896">
        <f t="shared" si="55"/>
        <v>1057176.719977889</v>
      </c>
      <c r="V896">
        <f t="shared" si="52"/>
        <v>0</v>
      </c>
      <c r="W896">
        <f t="shared" si="53"/>
        <v>1</v>
      </c>
    </row>
    <row r="897" spans="1:23" x14ac:dyDescent="0.2">
      <c r="A897">
        <v>892</v>
      </c>
      <c r="B897">
        <v>406.42786944695791</v>
      </c>
      <c r="C897">
        <v>2317.3611686748723</v>
      </c>
      <c r="D897">
        <v>990.38849131187669</v>
      </c>
      <c r="E897">
        <v>1000.6910979066154</v>
      </c>
      <c r="F897">
        <v>0.94357149563488696</v>
      </c>
      <c r="G897">
        <v>0.89164322429969656</v>
      </c>
      <c r="H897">
        <v>1.0140016403510053E-2</v>
      </c>
      <c r="I897">
        <v>0.13573170091861694</v>
      </c>
      <c r="J897">
        <v>0.41792766899227213</v>
      </c>
      <c r="L897">
        <v>9760.7496461059691</v>
      </c>
      <c r="M897">
        <v>10.374383300318101</v>
      </c>
      <c r="N897">
        <v>9.6483077742930252</v>
      </c>
      <c r="O897">
        <v>18277.18870140631</v>
      </c>
      <c r="P897">
        <v>11.762632435158507</v>
      </c>
      <c r="Q897">
        <v>11.008093613514124</v>
      </c>
      <c r="S897">
        <f t="shared" si="54"/>
        <v>955070.02778319665</v>
      </c>
      <c r="T897">
        <f t="shared" si="55"/>
        <v>1082532.1726500059</v>
      </c>
      <c r="V897">
        <f t="shared" si="52"/>
        <v>0</v>
      </c>
      <c r="W897">
        <f t="shared" si="53"/>
        <v>1</v>
      </c>
    </row>
    <row r="898" spans="1:23" x14ac:dyDescent="0.2">
      <c r="A898">
        <v>893</v>
      </c>
      <c r="B898">
        <v>780.97622266868029</v>
      </c>
      <c r="C898">
        <v>2212.7397957332414</v>
      </c>
      <c r="D898">
        <v>898.54681158107826</v>
      </c>
      <c r="E898">
        <v>862.56510150629174</v>
      </c>
      <c r="F898">
        <v>0.98742778225728922</v>
      </c>
      <c r="G898">
        <v>0.83540295586489821</v>
      </c>
      <c r="H898">
        <v>1.001788564440923E-2</v>
      </c>
      <c r="I898">
        <v>0.19295109698665247</v>
      </c>
      <c r="J898">
        <v>0.3934105067566897</v>
      </c>
      <c r="L898">
        <v>11115.512440882907</v>
      </c>
      <c r="M898">
        <v>9.8441890236732288</v>
      </c>
      <c r="N898">
        <v>9.3943987376064086</v>
      </c>
      <c r="O898">
        <v>20312.957245917907</v>
      </c>
      <c r="P898">
        <v>11.534512053161304</v>
      </c>
      <c r="Q898">
        <v>11.185143817540567</v>
      </c>
      <c r="S898">
        <f t="shared" si="54"/>
        <v>928324.361319758</v>
      </c>
      <c r="T898">
        <f t="shared" si="55"/>
        <v>1098201.4245081388</v>
      </c>
      <c r="V898">
        <f t="shared" si="52"/>
        <v>0</v>
      </c>
      <c r="W898">
        <f t="shared" si="53"/>
        <v>1</v>
      </c>
    </row>
    <row r="899" spans="1:23" x14ac:dyDescent="0.2">
      <c r="A899">
        <v>894</v>
      </c>
      <c r="B899">
        <v>561.68834696718409</v>
      </c>
      <c r="C899">
        <v>2591.8094212705178</v>
      </c>
      <c r="D899">
        <v>1194.9660017313211</v>
      </c>
      <c r="E899">
        <v>957.7717419857297</v>
      </c>
      <c r="F899">
        <v>0.94930687422086013</v>
      </c>
      <c r="G899">
        <v>0.62128626336105175</v>
      </c>
      <c r="H899">
        <v>1.0014605400681394E-2</v>
      </c>
      <c r="I899">
        <v>0.1588016475060533</v>
      </c>
      <c r="J899">
        <v>0.56705224417168487</v>
      </c>
      <c r="L899">
        <v>11031.672828827017</v>
      </c>
      <c r="M899">
        <v>10.144640982034009</v>
      </c>
      <c r="N899">
        <v>8.8286637320206598</v>
      </c>
      <c r="O899">
        <v>21430.501360399427</v>
      </c>
      <c r="P899">
        <v>11.14375040275621</v>
      </c>
      <c r="Q899">
        <v>9.9625746884766073</v>
      </c>
      <c r="S899">
        <f t="shared" si="54"/>
        <v>871834.70037323888</v>
      </c>
      <c r="T899">
        <f t="shared" si="55"/>
        <v>974826.96748726128</v>
      </c>
      <c r="V899">
        <f t="shared" si="52"/>
        <v>0</v>
      </c>
      <c r="W899">
        <f t="shared" si="53"/>
        <v>1</v>
      </c>
    </row>
    <row r="900" spans="1:23" x14ac:dyDescent="0.2">
      <c r="A900">
        <v>895</v>
      </c>
      <c r="B900">
        <v>541.86540235890095</v>
      </c>
      <c r="C900">
        <v>3407.4220041688873</v>
      </c>
      <c r="D900">
        <v>1015.9836241345616</v>
      </c>
      <c r="E900">
        <v>1190.2636426553663</v>
      </c>
      <c r="F900">
        <v>0.95067096151428931</v>
      </c>
      <c r="G900">
        <v>0.77320407452107098</v>
      </c>
      <c r="H900">
        <v>1.060208082775228E-2</v>
      </c>
      <c r="I900">
        <v>0.16263148686477091</v>
      </c>
      <c r="J900">
        <v>0.480225787851497</v>
      </c>
      <c r="L900">
        <v>12948.113735870291</v>
      </c>
      <c r="M900">
        <v>10.001363427211965</v>
      </c>
      <c r="N900">
        <v>9.0712481944426191</v>
      </c>
      <c r="O900">
        <v>21160.388894865227</v>
      </c>
      <c r="P900">
        <v>11.295442296198084</v>
      </c>
      <c r="Q900">
        <v>10.428699296800719</v>
      </c>
      <c r="S900">
        <f t="shared" si="54"/>
        <v>894176.70570839162</v>
      </c>
      <c r="T900">
        <f t="shared" si="55"/>
        <v>1021709.5407852067</v>
      </c>
      <c r="V900">
        <f t="shared" si="52"/>
        <v>0</v>
      </c>
      <c r="W900">
        <f t="shared" si="53"/>
        <v>1</v>
      </c>
    </row>
    <row r="901" spans="1:23" x14ac:dyDescent="0.2">
      <c r="A901">
        <v>896</v>
      </c>
      <c r="B901">
        <v>569.74474647666545</v>
      </c>
      <c r="C901">
        <v>2459.5820022638318</v>
      </c>
      <c r="D901">
        <v>958.72371576414253</v>
      </c>
      <c r="E901">
        <v>1344.8334150773387</v>
      </c>
      <c r="F901">
        <v>0.90866211158914256</v>
      </c>
      <c r="G901">
        <v>0.69664637562879561</v>
      </c>
      <c r="H901">
        <v>1.2002364003531595E-2</v>
      </c>
      <c r="I901">
        <v>0.14657511521018032</v>
      </c>
      <c r="J901">
        <v>0.50157499167570108</v>
      </c>
      <c r="L901">
        <v>11419.937263836611</v>
      </c>
      <c r="M901">
        <v>9.9483760588694228</v>
      </c>
      <c r="N901">
        <v>8.4553715780239695</v>
      </c>
      <c r="O901">
        <v>19330.256131881797</v>
      </c>
      <c r="P901">
        <v>11.144523074776121</v>
      </c>
      <c r="Q901">
        <v>9.6951067477884916</v>
      </c>
      <c r="S901">
        <f t="shared" si="54"/>
        <v>834117.2205385603</v>
      </c>
      <c r="T901">
        <f t="shared" si="55"/>
        <v>950180.41864696727</v>
      </c>
      <c r="V901">
        <f t="shared" si="52"/>
        <v>0</v>
      </c>
      <c r="W901">
        <f t="shared" si="53"/>
        <v>1</v>
      </c>
    </row>
    <row r="902" spans="1:23" x14ac:dyDescent="0.2">
      <c r="A902">
        <v>897</v>
      </c>
      <c r="B902">
        <v>475.4894693900485</v>
      </c>
      <c r="C902">
        <v>3809.3297065297124</v>
      </c>
      <c r="D902">
        <v>1001.9915597455449</v>
      </c>
      <c r="E902">
        <v>1007.0636882667667</v>
      </c>
      <c r="F902">
        <v>0.91462459738821744</v>
      </c>
      <c r="G902">
        <v>0.8808479749439404</v>
      </c>
      <c r="H902">
        <v>9.6217238536489089E-3</v>
      </c>
      <c r="I902">
        <v>0.13882300144105053</v>
      </c>
      <c r="J902">
        <v>0.47018012158651912</v>
      </c>
      <c r="L902">
        <v>14045.021574282964</v>
      </c>
      <c r="M902">
        <v>10.42880374318748</v>
      </c>
      <c r="N902">
        <v>9.4500887254906552</v>
      </c>
      <c r="O902">
        <v>21642.655920531055</v>
      </c>
      <c r="P902">
        <v>11.646549624327049</v>
      </c>
      <c r="Q902">
        <v>10.591612441552265</v>
      </c>
      <c r="S902">
        <f t="shared" si="54"/>
        <v>930963.85097478249</v>
      </c>
      <c r="T902">
        <f t="shared" si="55"/>
        <v>1037518.5882346955</v>
      </c>
      <c r="V902">
        <f t="shared" ref="V902:V965" si="56">IF(S902=MAX($S902:$T902),1,0)</f>
        <v>0</v>
      </c>
      <c r="W902">
        <f t="shared" ref="W902:W965" si="57">IF(T902=MAX($S902:$T902),1,0)</f>
        <v>1</v>
      </c>
    </row>
    <row r="903" spans="1:23" x14ac:dyDescent="0.2">
      <c r="A903">
        <v>898</v>
      </c>
      <c r="B903">
        <v>662.49717045464672</v>
      </c>
      <c r="C903">
        <v>3895.0505679064536</v>
      </c>
      <c r="D903">
        <v>1159.0213478538437</v>
      </c>
      <c r="E903">
        <v>990.62509553930761</v>
      </c>
      <c r="F903">
        <v>0.93100645351550182</v>
      </c>
      <c r="G903">
        <v>0.82246986042205195</v>
      </c>
      <c r="H903">
        <v>9.4567182330310053E-3</v>
      </c>
      <c r="I903">
        <v>0.15054444054952898</v>
      </c>
      <c r="J903">
        <v>0.52433751860837963</v>
      </c>
      <c r="L903">
        <v>15199.087511682774</v>
      </c>
      <c r="M903">
        <v>10.332046791218383</v>
      </c>
      <c r="N903">
        <v>9.3510728818975668</v>
      </c>
      <c r="O903">
        <v>24812.578050620119</v>
      </c>
      <c r="P903">
        <v>11.42213463750663</v>
      </c>
      <c r="Q903">
        <v>10.438414827947268</v>
      </c>
      <c r="S903">
        <f t="shared" ref="S903:S966" si="58">$T$1*N903-L903</f>
        <v>919908.20067807392</v>
      </c>
      <c r="T903">
        <f t="shared" ref="T903:T966" si="59">$T$1*Q903-O903</f>
        <v>1019028.9047441067</v>
      </c>
      <c r="V903">
        <f t="shared" si="56"/>
        <v>0</v>
      </c>
      <c r="W903">
        <f t="shared" si="57"/>
        <v>1</v>
      </c>
    </row>
    <row r="904" spans="1:23" x14ac:dyDescent="0.2">
      <c r="A904">
        <v>899</v>
      </c>
      <c r="B904">
        <v>490.31616330786875</v>
      </c>
      <c r="C904">
        <v>3087.1958428542971</v>
      </c>
      <c r="D904">
        <v>1041.1654272384678</v>
      </c>
      <c r="E904">
        <v>800.13050051219636</v>
      </c>
      <c r="F904">
        <v>0.93745962855508624</v>
      </c>
      <c r="G904">
        <v>0.77145684892214361</v>
      </c>
      <c r="H904">
        <v>8.7848528015838246E-3</v>
      </c>
      <c r="I904">
        <v>0.12273230262488334</v>
      </c>
      <c r="J904">
        <v>0.43569887155961717</v>
      </c>
      <c r="L904">
        <v>12572.983015647438</v>
      </c>
      <c r="M904">
        <v>10.773564115972299</v>
      </c>
      <c r="N904">
        <v>9.6507232715776681</v>
      </c>
      <c r="O904">
        <v>21244.881244635744</v>
      </c>
      <c r="P904">
        <v>11.996645389337099</v>
      </c>
      <c r="Q904">
        <v>10.958085388978061</v>
      </c>
      <c r="S904">
        <f t="shared" si="58"/>
        <v>952499.3441421194</v>
      </c>
      <c r="T904">
        <f t="shared" si="59"/>
        <v>1074563.6576531704</v>
      </c>
      <c r="V904">
        <f t="shared" si="56"/>
        <v>0</v>
      </c>
      <c r="W904">
        <f t="shared" si="57"/>
        <v>1</v>
      </c>
    </row>
    <row r="905" spans="1:23" x14ac:dyDescent="0.2">
      <c r="A905">
        <v>900</v>
      </c>
      <c r="B905">
        <v>398.25597694321095</v>
      </c>
      <c r="C905">
        <v>3042.3067493861668</v>
      </c>
      <c r="D905">
        <v>1025.2791165338938</v>
      </c>
      <c r="E905">
        <v>881.23281442017969</v>
      </c>
      <c r="F905">
        <v>0.93014341155329994</v>
      </c>
      <c r="G905">
        <v>0.64574469114328903</v>
      </c>
      <c r="H905">
        <v>1.0220193624957701E-2</v>
      </c>
      <c r="I905">
        <v>0.16084778303214375</v>
      </c>
      <c r="J905">
        <v>0.45124070891336587</v>
      </c>
      <c r="L905">
        <v>10824.441479075202</v>
      </c>
      <c r="M905">
        <v>10.08697204888689</v>
      </c>
      <c r="N905">
        <v>8.687386578058824</v>
      </c>
      <c r="O905">
        <v>19243.071559250162</v>
      </c>
      <c r="P905">
        <v>11.464301939844098</v>
      </c>
      <c r="Q905">
        <v>10.191217221485783</v>
      </c>
      <c r="S905">
        <f t="shared" si="58"/>
        <v>857914.21632680716</v>
      </c>
      <c r="T905">
        <f t="shared" si="59"/>
        <v>999878.65058932814</v>
      </c>
      <c r="V905">
        <f t="shared" si="56"/>
        <v>0</v>
      </c>
      <c r="W905">
        <f t="shared" si="57"/>
        <v>1</v>
      </c>
    </row>
    <row r="906" spans="1:23" x14ac:dyDescent="0.2">
      <c r="A906">
        <v>901</v>
      </c>
      <c r="B906">
        <v>595.62264262873759</v>
      </c>
      <c r="C906">
        <v>3699.9462909210033</v>
      </c>
      <c r="D906">
        <v>1025.7198669785453</v>
      </c>
      <c r="E906">
        <v>937.83891339526861</v>
      </c>
      <c r="F906">
        <v>0.97500824512005058</v>
      </c>
      <c r="G906">
        <v>0.71927372364822395</v>
      </c>
      <c r="H906">
        <v>1.0049932976222824E-2</v>
      </c>
      <c r="I906">
        <v>0.13908717773662682</v>
      </c>
      <c r="J906">
        <v>0.51694729258117422</v>
      </c>
      <c r="L906">
        <v>14767.881841467524</v>
      </c>
      <c r="M906">
        <v>10.35020925785607</v>
      </c>
      <c r="N906">
        <v>9.4113971752936489</v>
      </c>
      <c r="O906">
        <v>22831.890086221352</v>
      </c>
      <c r="P906">
        <v>11.438823468946145</v>
      </c>
      <c r="Q906">
        <v>10.656811603746357</v>
      </c>
      <c r="S906">
        <f t="shared" si="58"/>
        <v>926371.83568789728</v>
      </c>
      <c r="T906">
        <f t="shared" si="59"/>
        <v>1042849.2702884144</v>
      </c>
      <c r="V906">
        <f t="shared" si="56"/>
        <v>0</v>
      </c>
      <c r="W906">
        <f t="shared" si="57"/>
        <v>1</v>
      </c>
    </row>
    <row r="907" spans="1:23" x14ac:dyDescent="0.2">
      <c r="A907">
        <v>902</v>
      </c>
      <c r="B907">
        <v>397.98790903413436</v>
      </c>
      <c r="C907">
        <v>3198.6445758219129</v>
      </c>
      <c r="D907">
        <v>913.66355335753258</v>
      </c>
      <c r="E907">
        <v>1471.6017059568792</v>
      </c>
      <c r="F907">
        <v>0.96161825985189608</v>
      </c>
      <c r="G907">
        <v>0.90443420892033033</v>
      </c>
      <c r="H907">
        <v>8.4904677268611908E-3</v>
      </c>
      <c r="I907">
        <v>0.17504216505046621</v>
      </c>
      <c r="J907">
        <v>0.510596889768964</v>
      </c>
      <c r="L907">
        <v>10647.793889391425</v>
      </c>
      <c r="M907">
        <v>10.304538771839287</v>
      </c>
      <c r="N907">
        <v>9.7866202706303831</v>
      </c>
      <c r="O907">
        <v>18307.14535010657</v>
      </c>
      <c r="P907">
        <v>11.475902676823893</v>
      </c>
      <c r="Q907">
        <v>10.948651368952737</v>
      </c>
      <c r="S907">
        <f t="shared" si="58"/>
        <v>968014.23317364685</v>
      </c>
      <c r="T907">
        <f t="shared" si="59"/>
        <v>1076557.9915451671</v>
      </c>
      <c r="V907">
        <f t="shared" si="56"/>
        <v>0</v>
      </c>
      <c r="W907">
        <f t="shared" si="57"/>
        <v>1</v>
      </c>
    </row>
    <row r="908" spans="1:23" x14ac:dyDescent="0.2">
      <c r="A908">
        <v>903</v>
      </c>
      <c r="B908">
        <v>266.21457126101114</v>
      </c>
      <c r="C908">
        <v>2891.2990040430491</v>
      </c>
      <c r="D908">
        <v>806.7432243405807</v>
      </c>
      <c r="E908">
        <v>799.51863901345985</v>
      </c>
      <c r="F908">
        <v>0.97679651017382085</v>
      </c>
      <c r="G908">
        <v>0.71394801355666304</v>
      </c>
      <c r="H908">
        <v>9.7425429022721926E-3</v>
      </c>
      <c r="I908">
        <v>0.15880953891167793</v>
      </c>
      <c r="J908">
        <v>0.47504701099644892</v>
      </c>
      <c r="L908">
        <v>9366.0008055322851</v>
      </c>
      <c r="M908">
        <v>10.19504561068622</v>
      </c>
      <c r="N908">
        <v>9.3231598444361197</v>
      </c>
      <c r="O908">
        <v>15571.526951646058</v>
      </c>
      <c r="P908">
        <v>11.472032020442516</v>
      </c>
      <c r="Q908">
        <v>10.765012582273993</v>
      </c>
      <c r="S908">
        <f t="shared" si="58"/>
        <v>922949.9836380796</v>
      </c>
      <c r="T908">
        <f t="shared" si="59"/>
        <v>1060929.7312757534</v>
      </c>
      <c r="V908">
        <f t="shared" si="56"/>
        <v>0</v>
      </c>
      <c r="W908">
        <f t="shared" si="57"/>
        <v>1</v>
      </c>
    </row>
    <row r="909" spans="1:23" x14ac:dyDescent="0.2">
      <c r="A909">
        <v>904</v>
      </c>
      <c r="B909">
        <v>599.83416793520371</v>
      </c>
      <c r="C909">
        <v>1675.0427476664327</v>
      </c>
      <c r="D909">
        <v>1170.6987294970961</v>
      </c>
      <c r="E909">
        <v>1048.4135512341829</v>
      </c>
      <c r="F909">
        <v>0.96079463965192691</v>
      </c>
      <c r="G909">
        <v>0.64231102748296343</v>
      </c>
      <c r="H909">
        <v>1.1048109243644372E-2</v>
      </c>
      <c r="I909">
        <v>0.14767315443443993</v>
      </c>
      <c r="J909">
        <v>0.45619522594897394</v>
      </c>
      <c r="L909">
        <v>9320.6280577088</v>
      </c>
      <c r="M909">
        <v>10.084366338171328</v>
      </c>
      <c r="N909">
        <v>8.8418910685393435</v>
      </c>
      <c r="O909">
        <v>20325.276592127571</v>
      </c>
      <c r="P909">
        <v>11.418066285036094</v>
      </c>
      <c r="Q909">
        <v>10.384176122634692</v>
      </c>
      <c r="S909">
        <f t="shared" si="58"/>
        <v>874868.47879622551</v>
      </c>
      <c r="T909">
        <f t="shared" si="59"/>
        <v>1018092.3356713415</v>
      </c>
      <c r="V909">
        <f t="shared" si="56"/>
        <v>0</v>
      </c>
      <c r="W909">
        <f t="shared" si="57"/>
        <v>1</v>
      </c>
    </row>
    <row r="910" spans="1:23" x14ac:dyDescent="0.2">
      <c r="A910">
        <v>905</v>
      </c>
      <c r="B910">
        <v>359.92935096934332</v>
      </c>
      <c r="C910">
        <v>2818.1855557603067</v>
      </c>
      <c r="D910">
        <v>806.21823494773673</v>
      </c>
      <c r="E910">
        <v>827.13126686895964</v>
      </c>
      <c r="F910">
        <v>0.98117667394751662</v>
      </c>
      <c r="G910">
        <v>0.69893230914961935</v>
      </c>
      <c r="H910">
        <v>1.1191171454743819E-2</v>
      </c>
      <c r="I910">
        <v>0.16400120802394913</v>
      </c>
      <c r="J910">
        <v>0.5892886513412775</v>
      </c>
      <c r="L910">
        <v>10039.371794949588</v>
      </c>
      <c r="M910">
        <v>9.8868792492957009</v>
      </c>
      <c r="N910">
        <v>8.995596696936742</v>
      </c>
      <c r="O910">
        <v>16205.134736462718</v>
      </c>
      <c r="P910">
        <v>10.849916746610283</v>
      </c>
      <c r="Q910">
        <v>10.084803550953627</v>
      </c>
      <c r="S910">
        <f t="shared" si="58"/>
        <v>889520.29789872456</v>
      </c>
      <c r="T910">
        <f t="shared" si="59"/>
        <v>992275.22035889991</v>
      </c>
      <c r="V910">
        <f t="shared" si="56"/>
        <v>0</v>
      </c>
      <c r="W910">
        <f t="shared" si="57"/>
        <v>1</v>
      </c>
    </row>
    <row r="911" spans="1:23" x14ac:dyDescent="0.2">
      <c r="A911">
        <v>906</v>
      </c>
      <c r="B911">
        <v>772.76829063488276</v>
      </c>
      <c r="C911">
        <v>2936.2835659832167</v>
      </c>
      <c r="D911">
        <v>1073.5628214033302</v>
      </c>
      <c r="E911">
        <v>887.10216483975717</v>
      </c>
      <c r="F911">
        <v>0.96297109282553583</v>
      </c>
      <c r="G911">
        <v>0.82190958599785124</v>
      </c>
      <c r="H911">
        <v>9.9560108661405425E-3</v>
      </c>
      <c r="I911">
        <v>0.10195733090447802</v>
      </c>
      <c r="J911">
        <v>0.55423962279969496</v>
      </c>
      <c r="L911">
        <v>15511.574507558113</v>
      </c>
      <c r="M911">
        <v>10.871631016204311</v>
      </c>
      <c r="N911">
        <v>10.024075350854845</v>
      </c>
      <c r="O911">
        <v>24430.976812108707</v>
      </c>
      <c r="P911">
        <v>11.714639204477352</v>
      </c>
      <c r="Q911">
        <v>10.9460258999461</v>
      </c>
      <c r="S911">
        <f t="shared" si="58"/>
        <v>986895.96057792637</v>
      </c>
      <c r="T911">
        <f t="shared" si="59"/>
        <v>1070171.6131825014</v>
      </c>
      <c r="V911">
        <f t="shared" si="56"/>
        <v>0</v>
      </c>
      <c r="W911">
        <f t="shared" si="57"/>
        <v>1</v>
      </c>
    </row>
    <row r="912" spans="1:23" x14ac:dyDescent="0.2">
      <c r="A912">
        <v>907</v>
      </c>
      <c r="B912">
        <v>403.89111673161977</v>
      </c>
      <c r="C912">
        <v>2956.6395568746716</v>
      </c>
      <c r="D912">
        <v>899.97111296021865</v>
      </c>
      <c r="E912">
        <v>639.53399749286348</v>
      </c>
      <c r="F912">
        <v>0.91956529189778224</v>
      </c>
      <c r="G912">
        <v>0.82041002501309079</v>
      </c>
      <c r="H912">
        <v>9.2691910165654829E-3</v>
      </c>
      <c r="I912">
        <v>0.17899884678921707</v>
      </c>
      <c r="J912">
        <v>0.51431804210969256</v>
      </c>
      <c r="L912">
        <v>9918.9805562868933</v>
      </c>
      <c r="M912">
        <v>10.10635478366796</v>
      </c>
      <c r="N912">
        <v>9.0764557523806975</v>
      </c>
      <c r="O912">
        <v>17527.469166915136</v>
      </c>
      <c r="P912">
        <v>11.300450319140184</v>
      </c>
      <c r="Q912">
        <v>10.234781657066485</v>
      </c>
      <c r="S912">
        <f t="shared" si="58"/>
        <v>897726.59468178288</v>
      </c>
      <c r="T912">
        <f t="shared" si="59"/>
        <v>1005950.6965397333</v>
      </c>
      <c r="V912">
        <f t="shared" si="56"/>
        <v>0</v>
      </c>
      <c r="W912">
        <f t="shared" si="57"/>
        <v>1</v>
      </c>
    </row>
    <row r="913" spans="1:23" x14ac:dyDescent="0.2">
      <c r="A913">
        <v>908</v>
      </c>
      <c r="B913">
        <v>348.90286761382242</v>
      </c>
      <c r="C913">
        <v>3091.1025365728283</v>
      </c>
      <c r="D913">
        <v>907.52662433963746</v>
      </c>
      <c r="E913">
        <v>1166.3746059612686</v>
      </c>
      <c r="F913">
        <v>0.93030946904378586</v>
      </c>
      <c r="G913">
        <v>0.79815851496745005</v>
      </c>
      <c r="H913">
        <v>9.3684384961494407E-3</v>
      </c>
      <c r="I913">
        <v>0.12437578659861027</v>
      </c>
      <c r="J913">
        <v>0.51101634901512816</v>
      </c>
      <c r="L913">
        <v>11683.608235503125</v>
      </c>
      <c r="M913">
        <v>10.647873489883997</v>
      </c>
      <c r="N913">
        <v>9.5410958307579783</v>
      </c>
      <c r="O913">
        <v>18586.571763683361</v>
      </c>
      <c r="P913">
        <v>11.683018715108586</v>
      </c>
      <c r="Q913">
        <v>10.607978837217125</v>
      </c>
      <c r="S913">
        <f t="shared" si="58"/>
        <v>942425.9748402948</v>
      </c>
      <c r="T913">
        <f t="shared" si="59"/>
        <v>1042211.3119580292</v>
      </c>
      <c r="V913">
        <f t="shared" si="56"/>
        <v>0</v>
      </c>
      <c r="W913">
        <f t="shared" si="57"/>
        <v>1</v>
      </c>
    </row>
    <row r="914" spans="1:23" x14ac:dyDescent="0.2">
      <c r="A914">
        <v>909</v>
      </c>
      <c r="B914">
        <v>704.69024288088326</v>
      </c>
      <c r="C914">
        <v>3028.712399491701</v>
      </c>
      <c r="D914">
        <v>1082.8974566285683</v>
      </c>
      <c r="E914">
        <v>962.22114638298683</v>
      </c>
      <c r="F914">
        <v>0.96818430360215813</v>
      </c>
      <c r="G914">
        <v>0.72288847437088821</v>
      </c>
      <c r="H914">
        <v>1.0251520471209063E-2</v>
      </c>
      <c r="I914">
        <v>0.12775219563277021</v>
      </c>
      <c r="J914">
        <v>0.48337430273093529</v>
      </c>
      <c r="L914">
        <v>14268.362657611935</v>
      </c>
      <c r="M914">
        <v>10.454991931927301</v>
      </c>
      <c r="N914">
        <v>9.4305808931289636</v>
      </c>
      <c r="O914">
        <v>23449.692721413234</v>
      </c>
      <c r="P914">
        <v>11.604520913957439</v>
      </c>
      <c r="Q914">
        <v>10.748770797425598</v>
      </c>
      <c r="S914">
        <f t="shared" si="58"/>
        <v>928789.72665528441</v>
      </c>
      <c r="T914">
        <f t="shared" si="59"/>
        <v>1051427.3870211465</v>
      </c>
      <c r="V914">
        <f t="shared" si="56"/>
        <v>0</v>
      </c>
      <c r="W914">
        <f t="shared" si="57"/>
        <v>1</v>
      </c>
    </row>
    <row r="915" spans="1:23" x14ac:dyDescent="0.2">
      <c r="A915">
        <v>910</v>
      </c>
      <c r="B915">
        <v>554.55565954503163</v>
      </c>
      <c r="C915">
        <v>2555.0574405572183</v>
      </c>
      <c r="D915">
        <v>902.15277655861246</v>
      </c>
      <c r="E915">
        <v>802.10381294718422</v>
      </c>
      <c r="F915">
        <v>0.98258707781872545</v>
      </c>
      <c r="G915">
        <v>0.78731867620910823</v>
      </c>
      <c r="H915">
        <v>1.1974530147787833E-2</v>
      </c>
      <c r="I915">
        <v>0.16956740298769646</v>
      </c>
      <c r="J915">
        <v>0.44573784567717295</v>
      </c>
      <c r="L915">
        <v>10733.877656333299</v>
      </c>
      <c r="M915">
        <v>9.7039926927363265</v>
      </c>
      <c r="N915">
        <v>9.0458238722962001</v>
      </c>
      <c r="O915">
        <v>18425.224721246141</v>
      </c>
      <c r="P915">
        <v>11.171469020076684</v>
      </c>
      <c r="Q915">
        <v>10.636562543517817</v>
      </c>
      <c r="S915">
        <f t="shared" si="58"/>
        <v>893848.50957328675</v>
      </c>
      <c r="T915">
        <f t="shared" si="59"/>
        <v>1045231.0296305355</v>
      </c>
      <c r="V915">
        <f t="shared" si="56"/>
        <v>0</v>
      </c>
      <c r="W915">
        <f t="shared" si="57"/>
        <v>1</v>
      </c>
    </row>
    <row r="916" spans="1:23" x14ac:dyDescent="0.2">
      <c r="A916">
        <v>911</v>
      </c>
      <c r="B916">
        <v>373.26463916935336</v>
      </c>
      <c r="C916">
        <v>3787.7140945574724</v>
      </c>
      <c r="D916">
        <v>920.57086417332323</v>
      </c>
      <c r="E916">
        <v>924.03878413210191</v>
      </c>
      <c r="F916">
        <v>0.95523037485278206</v>
      </c>
      <c r="G916">
        <v>0.71124600309751362</v>
      </c>
      <c r="H916">
        <v>8.808210468462226E-3</v>
      </c>
      <c r="I916">
        <v>0.12398460167424841</v>
      </c>
      <c r="J916">
        <v>0.52202470852465965</v>
      </c>
      <c r="L916">
        <v>13516.478363056251</v>
      </c>
      <c r="M916">
        <v>10.753678811005537</v>
      </c>
      <c r="N916">
        <v>9.6152688434933449</v>
      </c>
      <c r="O916">
        <v>20230.661804050123</v>
      </c>
      <c r="P916">
        <v>11.742615726976773</v>
      </c>
      <c r="Q916">
        <v>10.745700085901131</v>
      </c>
      <c r="S916">
        <f t="shared" si="58"/>
        <v>948010.40598627832</v>
      </c>
      <c r="T916">
        <f t="shared" si="59"/>
        <v>1054339.3467860629</v>
      </c>
      <c r="V916">
        <f t="shared" si="56"/>
        <v>0</v>
      </c>
      <c r="W916">
        <f t="shared" si="57"/>
        <v>1</v>
      </c>
    </row>
    <row r="917" spans="1:23" x14ac:dyDescent="0.2">
      <c r="A917">
        <v>912</v>
      </c>
      <c r="B917">
        <v>307.49793504936002</v>
      </c>
      <c r="C917">
        <v>3026.6410859556072</v>
      </c>
      <c r="D917">
        <v>1118.5800121944094</v>
      </c>
      <c r="E917">
        <v>884.08873977973792</v>
      </c>
      <c r="F917">
        <v>0.92399616434978304</v>
      </c>
      <c r="G917">
        <v>0.74036128833805392</v>
      </c>
      <c r="H917">
        <v>9.049552032293089E-3</v>
      </c>
      <c r="I917">
        <v>0.12811694675884192</v>
      </c>
      <c r="J917">
        <v>0.48108664758857628</v>
      </c>
      <c r="L917">
        <v>10849.798154079719</v>
      </c>
      <c r="M917">
        <v>10.658645629166307</v>
      </c>
      <c r="N917">
        <v>9.3576102910708912</v>
      </c>
      <c r="O917">
        <v>19951.132824886216</v>
      </c>
      <c r="P917">
        <v>11.783748878316858</v>
      </c>
      <c r="Q917">
        <v>10.550985482390267</v>
      </c>
      <c r="S917">
        <f t="shared" si="58"/>
        <v>924911.23095300945</v>
      </c>
      <c r="T917">
        <f t="shared" si="59"/>
        <v>1035147.4154141404</v>
      </c>
      <c r="V917">
        <f t="shared" si="56"/>
        <v>0</v>
      </c>
      <c r="W917">
        <f t="shared" si="57"/>
        <v>1</v>
      </c>
    </row>
    <row r="918" spans="1:23" x14ac:dyDescent="0.2">
      <c r="A918">
        <v>913</v>
      </c>
      <c r="B918">
        <v>518.86029272468704</v>
      </c>
      <c r="C918">
        <v>3038.1699315418118</v>
      </c>
      <c r="D918">
        <v>931.4110700065977</v>
      </c>
      <c r="E918">
        <v>633.31683914584949</v>
      </c>
      <c r="F918">
        <v>0.88997633838309909</v>
      </c>
      <c r="G918">
        <v>0.72731911580820929</v>
      </c>
      <c r="H918">
        <v>9.6871725426723402E-3</v>
      </c>
      <c r="I918">
        <v>0.14687581632420332</v>
      </c>
      <c r="J918">
        <v>0.5099984147284603</v>
      </c>
      <c r="L918">
        <v>11977.776482317669</v>
      </c>
      <c r="M918">
        <v>10.327780861701576</v>
      </c>
      <c r="N918">
        <v>8.7793407854046546</v>
      </c>
      <c r="O918">
        <v>19682.050030108603</v>
      </c>
      <c r="P918">
        <v>11.454810670044742</v>
      </c>
      <c r="Q918">
        <v>9.8974876466913262</v>
      </c>
      <c r="S918">
        <f t="shared" si="58"/>
        <v>865956.30205814773</v>
      </c>
      <c r="T918">
        <f t="shared" si="59"/>
        <v>970066.71463902399</v>
      </c>
      <c r="V918">
        <f t="shared" si="56"/>
        <v>0</v>
      </c>
      <c r="W918">
        <f t="shared" si="57"/>
        <v>1</v>
      </c>
    </row>
    <row r="919" spans="1:23" x14ac:dyDescent="0.2">
      <c r="A919">
        <v>914</v>
      </c>
      <c r="B919">
        <v>409.73277161132648</v>
      </c>
      <c r="C919">
        <v>3803.3664059865455</v>
      </c>
      <c r="D919">
        <v>967.73690184349539</v>
      </c>
      <c r="E919">
        <v>700.53896125742347</v>
      </c>
      <c r="F919">
        <v>0.9477511714273209</v>
      </c>
      <c r="G919">
        <v>0.731064363795766</v>
      </c>
      <c r="H919">
        <v>9.9756461698978279E-3</v>
      </c>
      <c r="I919">
        <v>0.1178133115971509</v>
      </c>
      <c r="J919">
        <v>0.43714502195896426</v>
      </c>
      <c r="L919">
        <v>14511.172506584086</v>
      </c>
      <c r="M919">
        <v>10.632710571583411</v>
      </c>
      <c r="N919">
        <v>9.4441768324395561</v>
      </c>
      <c r="O919">
        <v>21172.86267664365</v>
      </c>
      <c r="P919">
        <v>11.867484548022723</v>
      </c>
      <c r="Q919">
        <v>10.830556341241516</v>
      </c>
      <c r="S919">
        <f t="shared" si="58"/>
        <v>929906.51073737151</v>
      </c>
      <c r="T919">
        <f t="shared" si="59"/>
        <v>1061882.7714475081</v>
      </c>
      <c r="V919">
        <f t="shared" si="56"/>
        <v>0</v>
      </c>
      <c r="W919">
        <f t="shared" si="57"/>
        <v>1</v>
      </c>
    </row>
    <row r="920" spans="1:23" x14ac:dyDescent="0.2">
      <c r="A920">
        <v>915</v>
      </c>
      <c r="B920">
        <v>239.98114213362018</v>
      </c>
      <c r="C920">
        <v>3085.1121344833041</v>
      </c>
      <c r="D920">
        <v>759.55300324544703</v>
      </c>
      <c r="E920">
        <v>784.83173389715489</v>
      </c>
      <c r="F920">
        <v>0.91659975731742704</v>
      </c>
      <c r="G920">
        <v>0.67145007017762803</v>
      </c>
      <c r="H920">
        <v>1.0481316627011667E-2</v>
      </c>
      <c r="I920">
        <v>0.15496614763436345</v>
      </c>
      <c r="J920">
        <v>0.52269891285050585</v>
      </c>
      <c r="L920">
        <v>9923.4885706221503</v>
      </c>
      <c r="M920">
        <v>10.100373876042763</v>
      </c>
      <c r="N920">
        <v>8.6382918414766863</v>
      </c>
      <c r="O920">
        <v>15356.222122515914</v>
      </c>
      <c r="P920">
        <v>11.23115469819118</v>
      </c>
      <c r="Q920">
        <v>9.8357288914605849</v>
      </c>
      <c r="S920">
        <f t="shared" si="58"/>
        <v>853905.69557704648</v>
      </c>
      <c r="T920">
        <f t="shared" si="59"/>
        <v>968216.66702354257</v>
      </c>
      <c r="V920">
        <f t="shared" si="56"/>
        <v>0</v>
      </c>
      <c r="W920">
        <f t="shared" si="57"/>
        <v>1</v>
      </c>
    </row>
    <row r="921" spans="1:23" x14ac:dyDescent="0.2">
      <c r="A921">
        <v>916</v>
      </c>
      <c r="B921">
        <v>513.96469196179748</v>
      </c>
      <c r="C921">
        <v>2585.6307118299642</v>
      </c>
      <c r="D921">
        <v>1270.5163880230318</v>
      </c>
      <c r="E921">
        <v>611.80558854507842</v>
      </c>
      <c r="F921">
        <v>0.97294614593671735</v>
      </c>
      <c r="G921">
        <v>0.77892568459793332</v>
      </c>
      <c r="H921">
        <v>1.0269874143038529E-2</v>
      </c>
      <c r="I921">
        <v>0.14590327341854248</v>
      </c>
      <c r="J921">
        <v>0.47968419575930338</v>
      </c>
      <c r="L921">
        <v>10889.275750939199</v>
      </c>
      <c r="M921">
        <v>10.234684799908081</v>
      </c>
      <c r="N921">
        <v>9.4523931072518845</v>
      </c>
      <c r="O921">
        <v>22091.517248769029</v>
      </c>
      <c r="P921">
        <v>11.466483007828083</v>
      </c>
      <c r="Q921">
        <v>10.801139460478243</v>
      </c>
      <c r="S921">
        <f t="shared" si="58"/>
        <v>934350.03497424931</v>
      </c>
      <c r="T921">
        <f t="shared" si="59"/>
        <v>1058022.4287990553</v>
      </c>
      <c r="V921">
        <f t="shared" si="56"/>
        <v>0</v>
      </c>
      <c r="W921">
        <f t="shared" si="57"/>
        <v>1</v>
      </c>
    </row>
    <row r="922" spans="1:23" x14ac:dyDescent="0.2">
      <c r="A922">
        <v>917</v>
      </c>
      <c r="B922">
        <v>552.88221026154417</v>
      </c>
      <c r="C922">
        <v>3568.0764519409968</v>
      </c>
      <c r="D922">
        <v>962.02203936475496</v>
      </c>
      <c r="E922">
        <v>1737.7416348741503</v>
      </c>
      <c r="F922">
        <v>0.96407887595730213</v>
      </c>
      <c r="G922">
        <v>0.8153050524340576</v>
      </c>
      <c r="H922">
        <v>1.0262917027531248E-2</v>
      </c>
      <c r="I922">
        <v>0.1293247093962108</v>
      </c>
      <c r="J922">
        <v>0.53982961953069553</v>
      </c>
      <c r="L922">
        <v>14844.219315426859</v>
      </c>
      <c r="M922">
        <v>10.432988485775269</v>
      </c>
      <c r="N922">
        <v>9.6414638110553952</v>
      </c>
      <c r="O922">
        <v>22084.06514569787</v>
      </c>
      <c r="P922">
        <v>11.426300302725855</v>
      </c>
      <c r="Q922">
        <v>10.704036241228932</v>
      </c>
      <c r="S922">
        <f t="shared" si="58"/>
        <v>949302.16179011262</v>
      </c>
      <c r="T922">
        <f t="shared" si="59"/>
        <v>1048319.5589771953</v>
      </c>
      <c r="V922">
        <f t="shared" si="56"/>
        <v>0</v>
      </c>
      <c r="W922">
        <f t="shared" si="57"/>
        <v>1</v>
      </c>
    </row>
    <row r="923" spans="1:23" x14ac:dyDescent="0.2">
      <c r="A923">
        <v>918</v>
      </c>
      <c r="B923">
        <v>718.88343202282067</v>
      </c>
      <c r="C923">
        <v>3465.8061173523201</v>
      </c>
      <c r="D923">
        <v>1058.6520744314685</v>
      </c>
      <c r="E923">
        <v>991.57266204548637</v>
      </c>
      <c r="F923">
        <v>0.96566377422090643</v>
      </c>
      <c r="G923">
        <v>0.64311301165227752</v>
      </c>
      <c r="H923">
        <v>1.0373807602004591E-2</v>
      </c>
      <c r="I923">
        <v>0.12271362580690758</v>
      </c>
      <c r="J923">
        <v>0.48247175036061202</v>
      </c>
      <c r="L923">
        <v>15869.34811756495</v>
      </c>
      <c r="M923">
        <v>10.501774022790727</v>
      </c>
      <c r="N923">
        <v>9.2056898961093179</v>
      </c>
      <c r="O923">
        <v>24373.905817079893</v>
      </c>
      <c r="P923">
        <v>11.635157305412116</v>
      </c>
      <c r="Q923">
        <v>10.577699395888409</v>
      </c>
      <c r="S923">
        <f t="shared" si="58"/>
        <v>904699.64149336691</v>
      </c>
      <c r="T923">
        <f t="shared" si="59"/>
        <v>1033396.0337717609</v>
      </c>
      <c r="V923">
        <f t="shared" si="56"/>
        <v>0</v>
      </c>
      <c r="W923">
        <f t="shared" si="57"/>
        <v>1</v>
      </c>
    </row>
    <row r="924" spans="1:23" x14ac:dyDescent="0.2">
      <c r="A924">
        <v>919</v>
      </c>
      <c r="B924">
        <v>301.89002592483877</v>
      </c>
      <c r="C924">
        <v>2886.5644291401113</v>
      </c>
      <c r="D924">
        <v>890.05248424267165</v>
      </c>
      <c r="E924">
        <v>976.07060336696213</v>
      </c>
      <c r="F924">
        <v>0.96646024606883441</v>
      </c>
      <c r="G924">
        <v>0.72823660237914312</v>
      </c>
      <c r="H924">
        <v>9.2607960904769072E-3</v>
      </c>
      <c r="I924">
        <v>0.15299323400638509</v>
      </c>
      <c r="J924">
        <v>0.5276389789995396</v>
      </c>
      <c r="L924">
        <v>9750.7606413504072</v>
      </c>
      <c r="M924">
        <v>10.344651571094765</v>
      </c>
      <c r="N924">
        <v>9.4201897217074855</v>
      </c>
      <c r="O924">
        <v>16885.216566180366</v>
      </c>
      <c r="P924">
        <v>11.427338352556747</v>
      </c>
      <c r="Q924">
        <v>10.622323578031438</v>
      </c>
      <c r="S924">
        <f t="shared" si="58"/>
        <v>932268.2115293981</v>
      </c>
      <c r="T924">
        <f t="shared" si="59"/>
        <v>1045347.1412369634</v>
      </c>
      <c r="V924">
        <f t="shared" si="56"/>
        <v>0</v>
      </c>
      <c r="W924">
        <f t="shared" si="57"/>
        <v>1</v>
      </c>
    </row>
    <row r="925" spans="1:23" x14ac:dyDescent="0.2">
      <c r="A925">
        <v>920</v>
      </c>
      <c r="B925">
        <v>528.13131122225002</v>
      </c>
      <c r="C925">
        <v>3181.0364731047853</v>
      </c>
      <c r="D925">
        <v>940.8615278865318</v>
      </c>
      <c r="E925">
        <v>1595.5298922594325</v>
      </c>
      <c r="F925">
        <v>0.91206266332428665</v>
      </c>
      <c r="G925">
        <v>0.90757991327941157</v>
      </c>
      <c r="H925">
        <v>1.0446530958865673E-2</v>
      </c>
      <c r="I925">
        <v>0.14713811784560965</v>
      </c>
      <c r="J925">
        <v>0.44653352889720771</v>
      </c>
      <c r="L925">
        <v>12915.187956444783</v>
      </c>
      <c r="M925">
        <v>10.190594306331365</v>
      </c>
      <c r="N925">
        <v>9.282766192612673</v>
      </c>
      <c r="O925">
        <v>20388.674168780752</v>
      </c>
      <c r="P925">
        <v>11.540138943837643</v>
      </c>
      <c r="Q925">
        <v>10.517417395354981</v>
      </c>
      <c r="S925">
        <f t="shared" si="58"/>
        <v>915361.43130482244</v>
      </c>
      <c r="T925">
        <f t="shared" si="59"/>
        <v>1031353.0653667172</v>
      </c>
      <c r="V925">
        <f t="shared" si="56"/>
        <v>0</v>
      </c>
      <c r="W925">
        <f t="shared" si="57"/>
        <v>1</v>
      </c>
    </row>
    <row r="926" spans="1:23" x14ac:dyDescent="0.2">
      <c r="A926">
        <v>921</v>
      </c>
      <c r="B926">
        <v>621.85293079958751</v>
      </c>
      <c r="C926">
        <v>3076.0795807937075</v>
      </c>
      <c r="D926">
        <v>853.01715121743757</v>
      </c>
      <c r="E926">
        <v>729.3745773601446</v>
      </c>
      <c r="F926">
        <v>0.95595824529630313</v>
      </c>
      <c r="G926">
        <v>0.7993554873370361</v>
      </c>
      <c r="H926">
        <v>8.8860824541608409E-3</v>
      </c>
      <c r="I926">
        <v>0.10496232616685373</v>
      </c>
      <c r="J926">
        <v>0.5017798861559154</v>
      </c>
      <c r="L926">
        <v>14329.572039671519</v>
      </c>
      <c r="M926">
        <v>10.99643962520137</v>
      </c>
      <c r="N926">
        <v>10.048575350308541</v>
      </c>
      <c r="O926">
        <v>21108.796504496262</v>
      </c>
      <c r="P926">
        <v>11.957992261478937</v>
      </c>
      <c r="Q926">
        <v>11.107235649526274</v>
      </c>
      <c r="S926">
        <f t="shared" si="58"/>
        <v>990527.96299118258</v>
      </c>
      <c r="T926">
        <f t="shared" si="59"/>
        <v>1089614.7684481309</v>
      </c>
      <c r="V926">
        <f t="shared" si="56"/>
        <v>0</v>
      </c>
      <c r="W926">
        <f t="shared" si="57"/>
        <v>1</v>
      </c>
    </row>
    <row r="927" spans="1:23" x14ac:dyDescent="0.2">
      <c r="A927">
        <v>922</v>
      </c>
      <c r="B927">
        <v>421.63751442407988</v>
      </c>
      <c r="C927">
        <v>2564.502081047101</v>
      </c>
      <c r="D927">
        <v>983.15875491990653</v>
      </c>
      <c r="E927">
        <v>749.18534869280256</v>
      </c>
      <c r="F927">
        <v>0.97882374875815592</v>
      </c>
      <c r="G927">
        <v>0.7976829683981338</v>
      </c>
      <c r="H927">
        <v>1.1128058973125146E-2</v>
      </c>
      <c r="I927">
        <v>0.17820120471579215</v>
      </c>
      <c r="J927">
        <v>0.57063874879948417</v>
      </c>
      <c r="L927">
        <v>9484.966565071938</v>
      </c>
      <c r="M927">
        <v>9.7627086336537694</v>
      </c>
      <c r="N927">
        <v>9.1287646158883682</v>
      </c>
      <c r="O927">
        <v>17579.330904925762</v>
      </c>
      <c r="P927">
        <v>10.812984618072864</v>
      </c>
      <c r="Q927">
        <v>10.249337043903381</v>
      </c>
      <c r="S927">
        <f t="shared" si="58"/>
        <v>903391.4950237649</v>
      </c>
      <c r="T927">
        <f t="shared" si="59"/>
        <v>1007354.3734854124</v>
      </c>
      <c r="V927">
        <f t="shared" si="56"/>
        <v>0</v>
      </c>
      <c r="W927">
        <f t="shared" si="57"/>
        <v>1</v>
      </c>
    </row>
    <row r="928" spans="1:23" x14ac:dyDescent="0.2">
      <c r="A928">
        <v>923</v>
      </c>
      <c r="B928">
        <v>643.45078836065727</v>
      </c>
      <c r="C928">
        <v>2202.5096258085182</v>
      </c>
      <c r="D928">
        <v>1033.1919609537756</v>
      </c>
      <c r="E928">
        <v>1445.866183463062</v>
      </c>
      <c r="F928">
        <v>0.89571425453375064</v>
      </c>
      <c r="G928">
        <v>0.70214742720715573</v>
      </c>
      <c r="H928">
        <v>1.1754276155816807E-2</v>
      </c>
      <c r="I928">
        <v>0.17041626431728185</v>
      </c>
      <c r="J928">
        <v>0.53875174006192561</v>
      </c>
      <c r="L928">
        <v>10739.184413048844</v>
      </c>
      <c r="M928">
        <v>9.7309019431525261</v>
      </c>
      <c r="N928">
        <v>8.2360305243141383</v>
      </c>
      <c r="O928">
        <v>19696.922803950994</v>
      </c>
      <c r="P928">
        <v>10.872749630118745</v>
      </c>
      <c r="Q928">
        <v>9.3711247746196893</v>
      </c>
      <c r="S928">
        <f t="shared" si="58"/>
        <v>812863.868018365</v>
      </c>
      <c r="T928">
        <f t="shared" si="59"/>
        <v>917415.55465801794</v>
      </c>
      <c r="V928">
        <f t="shared" si="56"/>
        <v>0</v>
      </c>
      <c r="W928">
        <f t="shared" si="57"/>
        <v>1</v>
      </c>
    </row>
    <row r="929" spans="1:23" x14ac:dyDescent="0.2">
      <c r="A929">
        <v>924</v>
      </c>
      <c r="B929">
        <v>557.73452818015915</v>
      </c>
      <c r="C929">
        <v>3341.4304868345894</v>
      </c>
      <c r="D929">
        <v>885.8670320009229</v>
      </c>
      <c r="E929">
        <v>1255.1018710979049</v>
      </c>
      <c r="F929">
        <v>0.91465849140187216</v>
      </c>
      <c r="G929">
        <v>0.76520127010639549</v>
      </c>
      <c r="H929">
        <v>1.165647396161208E-2</v>
      </c>
      <c r="I929">
        <v>0.13268489484751353</v>
      </c>
      <c r="J929">
        <v>0.44776088909489759</v>
      </c>
      <c r="L929">
        <v>14224.580029660388</v>
      </c>
      <c r="M929">
        <v>10.172567163331886</v>
      </c>
      <c r="N929">
        <v>8.8712358811113212</v>
      </c>
      <c r="O929">
        <v>20707.182319781768</v>
      </c>
      <c r="P929">
        <v>11.485674071260597</v>
      </c>
      <c r="Q929">
        <v>10.206719848443409</v>
      </c>
      <c r="S929">
        <f t="shared" si="58"/>
        <v>872899.00808147178</v>
      </c>
      <c r="T929">
        <f t="shared" si="59"/>
        <v>999964.8025245592</v>
      </c>
      <c r="V929">
        <f t="shared" si="56"/>
        <v>0</v>
      </c>
      <c r="W929">
        <f t="shared" si="57"/>
        <v>1</v>
      </c>
    </row>
    <row r="930" spans="1:23" x14ac:dyDescent="0.2">
      <c r="A930">
        <v>925</v>
      </c>
      <c r="B930">
        <v>391.62796701835697</v>
      </c>
      <c r="C930">
        <v>1794.7082773787258</v>
      </c>
      <c r="D930">
        <v>927.02254043741664</v>
      </c>
      <c r="E930">
        <v>1012.6430039156078</v>
      </c>
      <c r="F930">
        <v>0.96665435081563844</v>
      </c>
      <c r="G930">
        <v>0.81167260909980332</v>
      </c>
      <c r="H930">
        <v>1.1636890411546204E-2</v>
      </c>
      <c r="I930">
        <v>0.15041724951272861</v>
      </c>
      <c r="J930">
        <v>0.53009151128086029</v>
      </c>
      <c r="L930">
        <v>8070.2409533773189</v>
      </c>
      <c r="M930">
        <v>9.9596869736837927</v>
      </c>
      <c r="N930">
        <v>9.2120962464433376</v>
      </c>
      <c r="O930">
        <v>15875.445039972556</v>
      </c>
      <c r="P930">
        <v>11.072435251870095</v>
      </c>
      <c r="Q930">
        <v>10.388810006458799</v>
      </c>
      <c r="S930">
        <f t="shared" si="58"/>
        <v>913139.3836909564</v>
      </c>
      <c r="T930">
        <f t="shared" si="59"/>
        <v>1023005.5556059073</v>
      </c>
      <c r="V930">
        <f t="shared" si="56"/>
        <v>0</v>
      </c>
      <c r="W930">
        <f t="shared" si="57"/>
        <v>1</v>
      </c>
    </row>
    <row r="931" spans="1:23" x14ac:dyDescent="0.2">
      <c r="A931">
        <v>926</v>
      </c>
      <c r="B931">
        <v>689.56942927466343</v>
      </c>
      <c r="C931">
        <v>3374.0731701066461</v>
      </c>
      <c r="D931">
        <v>1094.7298468950403</v>
      </c>
      <c r="E931">
        <v>697.10010684800284</v>
      </c>
      <c r="F931">
        <v>0.96664904976234234</v>
      </c>
      <c r="G931">
        <v>0.82075478358040965</v>
      </c>
      <c r="H931">
        <v>1.0710860917943038E-2</v>
      </c>
      <c r="I931">
        <v>0.13562118184336755</v>
      </c>
      <c r="J931">
        <v>0.51224996068628614</v>
      </c>
      <c r="L931">
        <v>14786.452644575775</v>
      </c>
      <c r="M931">
        <v>10.281211982784598</v>
      </c>
      <c r="N931">
        <v>9.5342550678295535</v>
      </c>
      <c r="O931">
        <v>23730.866403208427</v>
      </c>
      <c r="P931">
        <v>11.384751734354737</v>
      </c>
      <c r="Q931">
        <v>10.709075830752294</v>
      </c>
      <c r="S931">
        <f t="shared" si="58"/>
        <v>938639.05413837964</v>
      </c>
      <c r="T931">
        <f t="shared" si="59"/>
        <v>1047176.7166720208</v>
      </c>
      <c r="V931">
        <f t="shared" si="56"/>
        <v>0</v>
      </c>
      <c r="W931">
        <f t="shared" si="57"/>
        <v>1</v>
      </c>
    </row>
    <row r="932" spans="1:23" x14ac:dyDescent="0.2">
      <c r="A932">
        <v>927</v>
      </c>
      <c r="B932">
        <v>669.5089532955476</v>
      </c>
      <c r="C932">
        <v>3079.7836649544229</v>
      </c>
      <c r="D932">
        <v>970.20207621714076</v>
      </c>
      <c r="E932">
        <v>833.39349683495016</v>
      </c>
      <c r="F932">
        <v>0.97701163547738035</v>
      </c>
      <c r="G932">
        <v>0.83623257693036346</v>
      </c>
      <c r="H932">
        <v>9.0014376120485153E-3</v>
      </c>
      <c r="I932">
        <v>0.16020010343756741</v>
      </c>
      <c r="J932">
        <v>0.57077736519641575</v>
      </c>
      <c r="L932">
        <v>12830.598594018937</v>
      </c>
      <c r="M932">
        <v>10.326251177647888</v>
      </c>
      <c r="N932">
        <v>9.7614022688214881</v>
      </c>
      <c r="O932">
        <v>21309.310775079488</v>
      </c>
      <c r="P932">
        <v>11.297404681143238</v>
      </c>
      <c r="Q932">
        <v>10.78855348692403</v>
      </c>
      <c r="S932">
        <f t="shared" si="58"/>
        <v>963309.62828812981</v>
      </c>
      <c r="T932">
        <f t="shared" si="59"/>
        <v>1057546.0379173234</v>
      </c>
      <c r="V932">
        <f t="shared" si="56"/>
        <v>0</v>
      </c>
      <c r="W932">
        <f t="shared" si="57"/>
        <v>1</v>
      </c>
    </row>
    <row r="933" spans="1:23" x14ac:dyDescent="0.2">
      <c r="A933">
        <v>928</v>
      </c>
      <c r="B933">
        <v>769.45778485500068</v>
      </c>
      <c r="C933">
        <v>2951.3138329779158</v>
      </c>
      <c r="D933">
        <v>874.97360527873718</v>
      </c>
      <c r="E933">
        <v>892.6866585310953</v>
      </c>
      <c r="F933">
        <v>0.96016969747645009</v>
      </c>
      <c r="G933">
        <v>0.80568452996898121</v>
      </c>
      <c r="H933">
        <v>1.0736180753014996E-2</v>
      </c>
      <c r="I933">
        <v>0.16489356312218217</v>
      </c>
      <c r="J933">
        <v>0.42085645073814787</v>
      </c>
      <c r="L933">
        <v>13368.267671888925</v>
      </c>
      <c r="M933">
        <v>9.9556714425824584</v>
      </c>
      <c r="N933">
        <v>9.1805382105417923</v>
      </c>
      <c r="O933">
        <v>21211.706357799387</v>
      </c>
      <c r="P933">
        <v>11.470673056223925</v>
      </c>
      <c r="Q933">
        <v>10.764232078350386</v>
      </c>
      <c r="S933">
        <f t="shared" si="58"/>
        <v>904685.55338229029</v>
      </c>
      <c r="T933">
        <f t="shared" si="59"/>
        <v>1055211.5014772392</v>
      </c>
      <c r="V933">
        <f t="shared" si="56"/>
        <v>0</v>
      </c>
      <c r="W933">
        <f t="shared" si="57"/>
        <v>1</v>
      </c>
    </row>
    <row r="934" spans="1:23" x14ac:dyDescent="0.2">
      <c r="A934">
        <v>929</v>
      </c>
      <c r="B934">
        <v>414.15289112520486</v>
      </c>
      <c r="C934">
        <v>2342.6904486695134</v>
      </c>
      <c r="D934">
        <v>1029.1778971522117</v>
      </c>
      <c r="E934">
        <v>800.7177454089715</v>
      </c>
      <c r="F934">
        <v>0.96189793829649295</v>
      </c>
      <c r="G934">
        <v>0.77591322882959379</v>
      </c>
      <c r="H934">
        <v>1.0407214989051568E-2</v>
      </c>
      <c r="I934">
        <v>0.13780563233077298</v>
      </c>
      <c r="J934">
        <v>0.52075183043863815</v>
      </c>
      <c r="L934">
        <v>9797.4009089320643</v>
      </c>
      <c r="M934">
        <v>10.304579087086591</v>
      </c>
      <c r="N934">
        <v>9.4075368959071426</v>
      </c>
      <c r="O934">
        <v>18448.01977588531</v>
      </c>
      <c r="P934">
        <v>11.384861560184699</v>
      </c>
      <c r="Q934">
        <v>10.579751531814786</v>
      </c>
      <c r="S934">
        <f t="shared" si="58"/>
        <v>930956.2886817822</v>
      </c>
      <c r="T934">
        <f t="shared" si="59"/>
        <v>1039527.1334055933</v>
      </c>
      <c r="V934">
        <f t="shared" si="56"/>
        <v>0</v>
      </c>
      <c r="W934">
        <f t="shared" si="57"/>
        <v>1</v>
      </c>
    </row>
    <row r="935" spans="1:23" x14ac:dyDescent="0.2">
      <c r="A935">
        <v>930</v>
      </c>
      <c r="B935">
        <v>417.6029258994306</v>
      </c>
      <c r="C935">
        <v>2843.1573620450017</v>
      </c>
      <c r="D935">
        <v>1229.6693200280752</v>
      </c>
      <c r="E935">
        <v>982.06463119107764</v>
      </c>
      <c r="F935">
        <v>0.97194254252493351</v>
      </c>
      <c r="G935">
        <v>0.74593364194808964</v>
      </c>
      <c r="H935">
        <v>9.3172268704871126E-3</v>
      </c>
      <c r="I935">
        <v>0.17532563249841826</v>
      </c>
      <c r="J935">
        <v>0.60918255208849148</v>
      </c>
      <c r="L935">
        <v>10006.393172203288</v>
      </c>
      <c r="M935">
        <v>10.127315984149089</v>
      </c>
      <c r="N935">
        <v>9.3405400204523374</v>
      </c>
      <c r="O935">
        <v>20579.792013424842</v>
      </c>
      <c r="P935">
        <v>11.029211791817737</v>
      </c>
      <c r="Q935">
        <v>10.321343334160128</v>
      </c>
      <c r="S935">
        <f t="shared" si="58"/>
        <v>924047.6088730304</v>
      </c>
      <c r="T935">
        <f t="shared" si="59"/>
        <v>1011554.541402588</v>
      </c>
      <c r="V935">
        <f t="shared" si="56"/>
        <v>0</v>
      </c>
      <c r="W935">
        <f t="shared" si="57"/>
        <v>1</v>
      </c>
    </row>
    <row r="936" spans="1:23" x14ac:dyDescent="0.2">
      <c r="A936">
        <v>931</v>
      </c>
      <c r="B936">
        <v>644.69838446272377</v>
      </c>
      <c r="C936">
        <v>2525.7199674748572</v>
      </c>
      <c r="D936">
        <v>1029.3768916179683</v>
      </c>
      <c r="E936">
        <v>1136.5798133483486</v>
      </c>
      <c r="F936">
        <v>0.90621666511617716</v>
      </c>
      <c r="G936">
        <v>0.87748693060171479</v>
      </c>
      <c r="H936">
        <v>1.1110793599345695E-2</v>
      </c>
      <c r="I936">
        <v>0.18558149767889864</v>
      </c>
      <c r="J936">
        <v>0.51119987037369807</v>
      </c>
      <c r="L936">
        <v>11049.781537933255</v>
      </c>
      <c r="M936">
        <v>9.7010263348699386</v>
      </c>
      <c r="N936">
        <v>8.7253722408890688</v>
      </c>
      <c r="O936">
        <v>20157.388606180593</v>
      </c>
      <c r="P936">
        <v>10.962910733498545</v>
      </c>
      <c r="Q936">
        <v>9.8859784450603705</v>
      </c>
      <c r="S936">
        <f t="shared" si="58"/>
        <v>861487.44255097362</v>
      </c>
      <c r="T936">
        <f t="shared" si="59"/>
        <v>968440.45589985652</v>
      </c>
      <c r="V936">
        <f t="shared" si="56"/>
        <v>0</v>
      </c>
      <c r="W936">
        <f t="shared" si="57"/>
        <v>1</v>
      </c>
    </row>
    <row r="937" spans="1:23" x14ac:dyDescent="0.2">
      <c r="A937">
        <v>932</v>
      </c>
      <c r="B937">
        <v>547.76499761592288</v>
      </c>
      <c r="C937">
        <v>3162.2700907731364</v>
      </c>
      <c r="D937">
        <v>955.34919432759216</v>
      </c>
      <c r="E937">
        <v>723.58426669721871</v>
      </c>
      <c r="F937">
        <v>0.97667662151277201</v>
      </c>
      <c r="G937">
        <v>0.57837535224101688</v>
      </c>
      <c r="H937">
        <v>8.9670143590538671E-3</v>
      </c>
      <c r="I937">
        <v>0.16868141678336912</v>
      </c>
      <c r="J937">
        <v>0.4836349837554515</v>
      </c>
      <c r="L937">
        <v>11763.366033932933</v>
      </c>
      <c r="M937">
        <v>10.256501765290231</v>
      </c>
      <c r="N937">
        <v>9.1228611038885958</v>
      </c>
      <c r="O937">
        <v>20072.205162723429</v>
      </c>
      <c r="P937">
        <v>11.511755466983507</v>
      </c>
      <c r="Q937">
        <v>10.624141248308099</v>
      </c>
      <c r="S937">
        <f t="shared" si="58"/>
        <v>900522.74435492675</v>
      </c>
      <c r="T937">
        <f t="shared" si="59"/>
        <v>1042341.9196680865</v>
      </c>
      <c r="V937">
        <f t="shared" si="56"/>
        <v>0</v>
      </c>
      <c r="W937">
        <f t="shared" si="57"/>
        <v>1</v>
      </c>
    </row>
    <row r="938" spans="1:23" x14ac:dyDescent="0.2">
      <c r="A938">
        <v>933</v>
      </c>
      <c r="B938">
        <v>621.72986345763059</v>
      </c>
      <c r="C938">
        <v>2232.6351247336729</v>
      </c>
      <c r="D938">
        <v>1111.8140530263493</v>
      </c>
      <c r="E938">
        <v>1042.4516524438436</v>
      </c>
      <c r="F938">
        <v>0.9861281487159439</v>
      </c>
      <c r="G938">
        <v>0.69173541940763339</v>
      </c>
      <c r="H938">
        <v>1.0916773145383609E-2</v>
      </c>
      <c r="I938">
        <v>0.11123048297041546</v>
      </c>
      <c r="J938">
        <v>0.49163260389628033</v>
      </c>
      <c r="L938">
        <v>11979.843545548139</v>
      </c>
      <c r="M938">
        <v>10.584637545331651</v>
      </c>
      <c r="N938">
        <v>9.5173837135316308</v>
      </c>
      <c r="O938">
        <v>21570.915473370773</v>
      </c>
      <c r="P938">
        <v>11.649923756441602</v>
      </c>
      <c r="Q938">
        <v>10.830044351650518</v>
      </c>
      <c r="S938">
        <f t="shared" si="58"/>
        <v>939758.52780761488</v>
      </c>
      <c r="T938">
        <f t="shared" si="59"/>
        <v>1061433.519691681</v>
      </c>
      <c r="V938">
        <f t="shared" si="56"/>
        <v>0</v>
      </c>
      <c r="W938">
        <f t="shared" si="57"/>
        <v>1</v>
      </c>
    </row>
    <row r="939" spans="1:23" x14ac:dyDescent="0.2">
      <c r="A939">
        <v>934</v>
      </c>
      <c r="B939">
        <v>564.26395612657961</v>
      </c>
      <c r="C939">
        <v>3991.1316509454605</v>
      </c>
      <c r="D939">
        <v>850.779201632845</v>
      </c>
      <c r="E939">
        <v>1333.9783072108053</v>
      </c>
      <c r="F939">
        <v>0.9869037237507422</v>
      </c>
      <c r="G939">
        <v>0.81610691463605334</v>
      </c>
      <c r="H939">
        <v>1.1495376952674623E-2</v>
      </c>
      <c r="I939">
        <v>0.13903125012723522</v>
      </c>
      <c r="J939">
        <v>0.37481346599204202</v>
      </c>
      <c r="L939">
        <v>15833.217928769165</v>
      </c>
      <c r="M939">
        <v>10.116085366164828</v>
      </c>
      <c r="N939">
        <v>9.5048726699941675</v>
      </c>
      <c r="O939">
        <v>21386.880051358658</v>
      </c>
      <c r="P939">
        <v>11.715053849555474</v>
      </c>
      <c r="Q939">
        <v>11.264167312710072</v>
      </c>
      <c r="S939">
        <f t="shared" si="58"/>
        <v>934654.04907064757</v>
      </c>
      <c r="T939">
        <f t="shared" si="59"/>
        <v>1105029.8512196485</v>
      </c>
      <c r="V939">
        <f t="shared" si="56"/>
        <v>0</v>
      </c>
      <c r="W939">
        <f t="shared" si="57"/>
        <v>1</v>
      </c>
    </row>
    <row r="940" spans="1:23" x14ac:dyDescent="0.2">
      <c r="A940">
        <v>935</v>
      </c>
      <c r="B940">
        <v>422.92844899702862</v>
      </c>
      <c r="C940">
        <v>3051.1345677470099</v>
      </c>
      <c r="D940">
        <v>1140.3807466363189</v>
      </c>
      <c r="E940">
        <v>882.78144370898269</v>
      </c>
      <c r="F940">
        <v>0.91511541182170641</v>
      </c>
      <c r="G940">
        <v>0.74626694304621755</v>
      </c>
      <c r="H940">
        <v>9.3947865996622821E-3</v>
      </c>
      <c r="I940">
        <v>0.17572924706925708</v>
      </c>
      <c r="J940">
        <v>0.55218923705399126</v>
      </c>
      <c r="L940">
        <v>10476.555546137301</v>
      </c>
      <c r="M940">
        <v>10.108185354147619</v>
      </c>
      <c r="N940">
        <v>8.8739471118875635</v>
      </c>
      <c r="O940">
        <v>20232.505004367915</v>
      </c>
      <c r="P940">
        <v>11.179620061862868</v>
      </c>
      <c r="Q940">
        <v>9.9474770413486215</v>
      </c>
      <c r="S940">
        <f t="shared" si="58"/>
        <v>876918.15564261912</v>
      </c>
      <c r="T940">
        <f t="shared" si="59"/>
        <v>974515.19913049426</v>
      </c>
      <c r="V940">
        <f t="shared" si="56"/>
        <v>0</v>
      </c>
      <c r="W940">
        <f t="shared" si="57"/>
        <v>1</v>
      </c>
    </row>
    <row r="941" spans="1:23" x14ac:dyDescent="0.2">
      <c r="A941">
        <v>936</v>
      </c>
      <c r="B941">
        <v>505.91577283724922</v>
      </c>
      <c r="C941">
        <v>3117.7670706592489</v>
      </c>
      <c r="D941">
        <v>937.5630869880946</v>
      </c>
      <c r="E941">
        <v>1190.8355427522813</v>
      </c>
      <c r="F941">
        <v>0.97691058619143378</v>
      </c>
      <c r="G941">
        <v>0.71078880888183849</v>
      </c>
      <c r="H941">
        <v>9.8597453758295425E-3</v>
      </c>
      <c r="I941">
        <v>0.14574919331397085</v>
      </c>
      <c r="J941">
        <v>0.54707118463276483</v>
      </c>
      <c r="L941">
        <v>12358.053543805821</v>
      </c>
      <c r="M941">
        <v>10.308686938091276</v>
      </c>
      <c r="N941">
        <v>9.3882409641593103</v>
      </c>
      <c r="O941">
        <v>19909.801845725317</v>
      </c>
      <c r="P941">
        <v>11.327033153622615</v>
      </c>
      <c r="Q941">
        <v>10.552875053235717</v>
      </c>
      <c r="S941">
        <f t="shared" si="58"/>
        <v>926466.04287212517</v>
      </c>
      <c r="T941">
        <f t="shared" si="59"/>
        <v>1035377.7034778463</v>
      </c>
      <c r="V941">
        <f t="shared" si="56"/>
        <v>0</v>
      </c>
      <c r="W941">
        <f t="shared" si="57"/>
        <v>1</v>
      </c>
    </row>
    <row r="942" spans="1:23" x14ac:dyDescent="0.2">
      <c r="A942">
        <v>937</v>
      </c>
      <c r="B942">
        <v>549.82160211372491</v>
      </c>
      <c r="C942">
        <v>3561.7774586699393</v>
      </c>
      <c r="D942">
        <v>1045.3152485963544</v>
      </c>
      <c r="E942">
        <v>883.52106198998933</v>
      </c>
      <c r="F942">
        <v>0.97186276366315294</v>
      </c>
      <c r="G942">
        <v>0.78679127918880298</v>
      </c>
      <c r="H942">
        <v>1.0006911597597094E-2</v>
      </c>
      <c r="I942">
        <v>0.16056526900126256</v>
      </c>
      <c r="J942">
        <v>0.59341202453081066</v>
      </c>
      <c r="L942">
        <v>13219.962332891251</v>
      </c>
      <c r="M942">
        <v>10.128656683051199</v>
      </c>
      <c r="N942">
        <v>9.3946900071640549</v>
      </c>
      <c r="O942">
        <v>21662.978897927474</v>
      </c>
      <c r="P942">
        <v>11.055968933183415</v>
      </c>
      <c r="Q942">
        <v>10.39140203087404</v>
      </c>
      <c r="S942">
        <f t="shared" si="58"/>
        <v>926249.03838351415</v>
      </c>
      <c r="T942">
        <f t="shared" si="59"/>
        <v>1017477.2241894766</v>
      </c>
      <c r="V942">
        <f t="shared" si="56"/>
        <v>0</v>
      </c>
      <c r="W942">
        <f t="shared" si="57"/>
        <v>1</v>
      </c>
    </row>
    <row r="943" spans="1:23" x14ac:dyDescent="0.2">
      <c r="A943">
        <v>938</v>
      </c>
      <c r="B943">
        <v>416.62082067488967</v>
      </c>
      <c r="C943">
        <v>3264.3565660741097</v>
      </c>
      <c r="D943">
        <v>929.36835387744873</v>
      </c>
      <c r="E943">
        <v>844.9327856820853</v>
      </c>
      <c r="F943">
        <v>0.90817101622657936</v>
      </c>
      <c r="G943">
        <v>0.71054477263564397</v>
      </c>
      <c r="H943">
        <v>8.1206935567900585E-3</v>
      </c>
      <c r="I943">
        <v>0.1351850366436162</v>
      </c>
      <c r="J943">
        <v>0.53206738520308683</v>
      </c>
      <c r="L943">
        <v>11798.121551823609</v>
      </c>
      <c r="M943">
        <v>10.758229768795683</v>
      </c>
      <c r="N943">
        <v>9.2821767919024261</v>
      </c>
      <c r="O943">
        <v>19405.093218581227</v>
      </c>
      <c r="P943">
        <v>11.739515648989361</v>
      </c>
      <c r="Q943">
        <v>10.311091590622127</v>
      </c>
      <c r="S943">
        <f t="shared" si="58"/>
        <v>916419.55763841909</v>
      </c>
      <c r="T943">
        <f t="shared" si="59"/>
        <v>1011704.0658436315</v>
      </c>
      <c r="V943">
        <f t="shared" si="56"/>
        <v>0</v>
      </c>
      <c r="W943">
        <f t="shared" si="57"/>
        <v>1</v>
      </c>
    </row>
    <row r="944" spans="1:23" x14ac:dyDescent="0.2">
      <c r="A944">
        <v>939</v>
      </c>
      <c r="B944">
        <v>590.49582164038372</v>
      </c>
      <c r="C944">
        <v>3928.7788068418654</v>
      </c>
      <c r="D944">
        <v>879.64846944203362</v>
      </c>
      <c r="E944">
        <v>1307.3145501657689</v>
      </c>
      <c r="F944">
        <v>0.96648303651067557</v>
      </c>
      <c r="G944">
        <v>0.67834915274901342</v>
      </c>
      <c r="H944">
        <v>9.7825897751917246E-3</v>
      </c>
      <c r="I944">
        <v>0.19094552166786494</v>
      </c>
      <c r="J944">
        <v>0.42726977316229486</v>
      </c>
      <c r="L944">
        <v>13527.806755909822</v>
      </c>
      <c r="M944">
        <v>9.9064315416052722</v>
      </c>
      <c r="N944">
        <v>8.9577935018458756</v>
      </c>
      <c r="O944">
        <v>20632.767232348739</v>
      </c>
      <c r="P944">
        <v>11.450624946503474</v>
      </c>
      <c r="Q944">
        <v>10.662688571896478</v>
      </c>
      <c r="S944">
        <f t="shared" si="58"/>
        <v>882251.54342867772</v>
      </c>
      <c r="T944">
        <f t="shared" si="59"/>
        <v>1045636.0899572991</v>
      </c>
      <c r="V944">
        <f t="shared" si="56"/>
        <v>0</v>
      </c>
      <c r="W944">
        <f t="shared" si="57"/>
        <v>1</v>
      </c>
    </row>
    <row r="945" spans="1:23" x14ac:dyDescent="0.2">
      <c r="A945">
        <v>940</v>
      </c>
      <c r="B945">
        <v>469.80041027218022</v>
      </c>
      <c r="C945">
        <v>2516.5835644162476</v>
      </c>
      <c r="D945">
        <v>988.76197752407074</v>
      </c>
      <c r="E945">
        <v>938.34844803709848</v>
      </c>
      <c r="F945">
        <v>0.93137802442240025</v>
      </c>
      <c r="G945">
        <v>0.88869564773643783</v>
      </c>
      <c r="H945">
        <v>8.8628737743597103E-3</v>
      </c>
      <c r="I945">
        <v>0.16576254682851943</v>
      </c>
      <c r="J945">
        <v>0.48747590058020268</v>
      </c>
      <c r="L945">
        <v>9818.5790778875325</v>
      </c>
      <c r="M945">
        <v>10.303905141659655</v>
      </c>
      <c r="N945">
        <v>9.5003581188907607</v>
      </c>
      <c r="O945">
        <v>18727.336022619824</v>
      </c>
      <c r="P945">
        <v>11.534832834490427</v>
      </c>
      <c r="Q945">
        <v>10.67635702664575</v>
      </c>
      <c r="S945">
        <f t="shared" si="58"/>
        <v>940217.23281118844</v>
      </c>
      <c r="T945">
        <f t="shared" si="59"/>
        <v>1048908.3666419552</v>
      </c>
      <c r="V945">
        <f t="shared" si="56"/>
        <v>0</v>
      </c>
      <c r="W945">
        <f t="shared" si="57"/>
        <v>1</v>
      </c>
    </row>
    <row r="946" spans="1:23" x14ac:dyDescent="0.2">
      <c r="A946">
        <v>941</v>
      </c>
      <c r="B946">
        <v>317.56153514735388</v>
      </c>
      <c r="C946">
        <v>3470.674916860713</v>
      </c>
      <c r="D946">
        <v>1079.1630724460661</v>
      </c>
      <c r="E946">
        <v>797.78497465336011</v>
      </c>
      <c r="F946">
        <v>0.97846660008426523</v>
      </c>
      <c r="G946">
        <v>0.73254276707501009</v>
      </c>
      <c r="H946">
        <v>9.1897959414260714E-3</v>
      </c>
      <c r="I946">
        <v>0.16108888616079609</v>
      </c>
      <c r="J946">
        <v>0.49692249893255608</v>
      </c>
      <c r="L946">
        <v>10937.203651920385</v>
      </c>
      <c r="M946">
        <v>10.280104045372429</v>
      </c>
      <c r="N946">
        <v>9.4837541043625642</v>
      </c>
      <c r="O946">
        <v>19664.504377214034</v>
      </c>
      <c r="P946">
        <v>11.478049317782666</v>
      </c>
      <c r="Q946">
        <v>10.825251593254899</v>
      </c>
      <c r="S946">
        <f t="shared" si="58"/>
        <v>937438.20678433601</v>
      </c>
      <c r="T946">
        <f t="shared" si="59"/>
        <v>1062860.654948276</v>
      </c>
      <c r="V946">
        <f t="shared" si="56"/>
        <v>0</v>
      </c>
      <c r="W946">
        <f t="shared" si="57"/>
        <v>1</v>
      </c>
    </row>
    <row r="947" spans="1:23" x14ac:dyDescent="0.2">
      <c r="A947">
        <v>942</v>
      </c>
      <c r="B947">
        <v>280.08727861575289</v>
      </c>
      <c r="C947">
        <v>1822.4085597126291</v>
      </c>
      <c r="D947">
        <v>914.01000210805489</v>
      </c>
      <c r="E947">
        <v>795.77773064906762</v>
      </c>
      <c r="F947">
        <v>0.92073133906784921</v>
      </c>
      <c r="G947">
        <v>0.73853085041556787</v>
      </c>
      <c r="H947">
        <v>9.7506463117125516E-3</v>
      </c>
      <c r="I947">
        <v>0.15142604897942058</v>
      </c>
      <c r="J947">
        <v>0.48814951074383095</v>
      </c>
      <c r="L947">
        <v>7020.4421010014148</v>
      </c>
      <c r="M947">
        <v>10.268071466525337</v>
      </c>
      <c r="N947">
        <v>9.0000114104969668</v>
      </c>
      <c r="O947">
        <v>15021.195859476495</v>
      </c>
      <c r="P947">
        <v>11.478962416945814</v>
      </c>
      <c r="Q947">
        <v>10.249270875215231</v>
      </c>
      <c r="S947">
        <f t="shared" si="58"/>
        <v>892980.69894869532</v>
      </c>
      <c r="T947">
        <f t="shared" si="59"/>
        <v>1009905.8916620467</v>
      </c>
      <c r="V947">
        <f t="shared" si="56"/>
        <v>0</v>
      </c>
      <c r="W947">
        <f t="shared" si="57"/>
        <v>1</v>
      </c>
    </row>
    <row r="948" spans="1:23" x14ac:dyDescent="0.2">
      <c r="A948">
        <v>943</v>
      </c>
      <c r="B948">
        <v>302.79047735666285</v>
      </c>
      <c r="C948">
        <v>3847.5132620253025</v>
      </c>
      <c r="D948">
        <v>982.67956200900687</v>
      </c>
      <c r="E948">
        <v>894.24875056815245</v>
      </c>
      <c r="F948">
        <v>0.97507751637414453</v>
      </c>
      <c r="G948">
        <v>0.77278137149956549</v>
      </c>
      <c r="H948">
        <v>8.9359107843100961E-3</v>
      </c>
      <c r="I948">
        <v>0.14330567695962468</v>
      </c>
      <c r="J948">
        <v>0.46523475638536593</v>
      </c>
      <c r="L948">
        <v>12316.505368281287</v>
      </c>
      <c r="M948">
        <v>10.507762356024742</v>
      </c>
      <c r="N948">
        <v>9.7427492813406662</v>
      </c>
      <c r="O948">
        <v>19590.668635194153</v>
      </c>
      <c r="P948">
        <v>11.735697221145921</v>
      </c>
      <c r="Q948">
        <v>11.104465741808935</v>
      </c>
      <c r="S948">
        <f t="shared" si="58"/>
        <v>961958.42276578536</v>
      </c>
      <c r="T948">
        <f t="shared" si="59"/>
        <v>1090855.9055456994</v>
      </c>
      <c r="V948">
        <f t="shared" si="56"/>
        <v>0</v>
      </c>
      <c r="W948">
        <f t="shared" si="57"/>
        <v>1</v>
      </c>
    </row>
    <row r="949" spans="1:23" x14ac:dyDescent="0.2">
      <c r="A949">
        <v>944</v>
      </c>
      <c r="B949">
        <v>657.63497058630742</v>
      </c>
      <c r="C949">
        <v>2520.6430968283717</v>
      </c>
      <c r="D949">
        <v>1113.7061522991723</v>
      </c>
      <c r="E949">
        <v>669.54810383014524</v>
      </c>
      <c r="F949">
        <v>0.97868086997881365</v>
      </c>
      <c r="G949">
        <v>0.84330274337736455</v>
      </c>
      <c r="H949">
        <v>8.5285788780046778E-3</v>
      </c>
      <c r="I949">
        <v>0.13855246080996148</v>
      </c>
      <c r="J949">
        <v>0.49591369017094539</v>
      </c>
      <c r="L949">
        <v>11861.995787395472</v>
      </c>
      <c r="M949">
        <v>10.639040711826235</v>
      </c>
      <c r="N949">
        <v>10.075444938819329</v>
      </c>
      <c r="O949">
        <v>22257.242285863074</v>
      </c>
      <c r="P949">
        <v>11.744807894097926</v>
      </c>
      <c r="Q949">
        <v>11.260793281455015</v>
      </c>
      <c r="S949">
        <f t="shared" si="58"/>
        <v>995682.49809453741</v>
      </c>
      <c r="T949">
        <f t="shared" si="59"/>
        <v>1103822.0858596384</v>
      </c>
      <c r="V949">
        <f t="shared" si="56"/>
        <v>0</v>
      </c>
      <c r="W949">
        <f t="shared" si="57"/>
        <v>1</v>
      </c>
    </row>
    <row r="950" spans="1:23" x14ac:dyDescent="0.2">
      <c r="A950">
        <v>945</v>
      </c>
      <c r="B950">
        <v>374.4169065694503</v>
      </c>
      <c r="C950">
        <v>2946.0671088553713</v>
      </c>
      <c r="D950">
        <v>1031.6669107421644</v>
      </c>
      <c r="E950">
        <v>826.51732104786799</v>
      </c>
      <c r="F950">
        <v>0.95556360829119569</v>
      </c>
      <c r="G950">
        <v>0.60775427924904413</v>
      </c>
      <c r="H950">
        <v>8.5778466873057679E-3</v>
      </c>
      <c r="I950">
        <v>0.15592375227943989</v>
      </c>
      <c r="J950">
        <v>0.61096195483655336</v>
      </c>
      <c r="L950">
        <v>10174.704176479183</v>
      </c>
      <c r="M950">
        <v>10.453553052838439</v>
      </c>
      <c r="N950">
        <v>9.1826965732864281</v>
      </c>
      <c r="O950">
        <v>18919.441271915242</v>
      </c>
      <c r="P950">
        <v>11.295733807405911</v>
      </c>
      <c r="Q950">
        <v>10.160909836251546</v>
      </c>
      <c r="S950">
        <f t="shared" si="58"/>
        <v>908094.95315216365</v>
      </c>
      <c r="T950">
        <f t="shared" si="59"/>
        <v>997171.54235323938</v>
      </c>
      <c r="V950">
        <f t="shared" si="56"/>
        <v>0</v>
      </c>
      <c r="W950">
        <f t="shared" si="57"/>
        <v>1</v>
      </c>
    </row>
    <row r="951" spans="1:23" x14ac:dyDescent="0.2">
      <c r="A951">
        <v>946</v>
      </c>
      <c r="B951">
        <v>425.44503347782029</v>
      </c>
      <c r="C951">
        <v>2030.2714949672452</v>
      </c>
      <c r="D951">
        <v>974.26354159563266</v>
      </c>
      <c r="E951">
        <v>964.85284959650505</v>
      </c>
      <c r="F951">
        <v>0.92134176695554049</v>
      </c>
      <c r="G951">
        <v>0.75849632130495148</v>
      </c>
      <c r="H951">
        <v>1.1012588059137574E-2</v>
      </c>
      <c r="I951">
        <v>0.17511963043136891</v>
      </c>
      <c r="J951">
        <v>0.51741233058715941</v>
      </c>
      <c r="L951">
        <v>8390.518225313308</v>
      </c>
      <c r="M951">
        <v>9.8107358207912245</v>
      </c>
      <c r="N951">
        <v>8.6519306240455354</v>
      </c>
      <c r="O951">
        <v>16843.603256346647</v>
      </c>
      <c r="P951">
        <v>11.023854903474003</v>
      </c>
      <c r="Q951">
        <v>9.8688568973623969</v>
      </c>
      <c r="S951">
        <f t="shared" si="58"/>
        <v>856802.54417924024</v>
      </c>
      <c r="T951">
        <f t="shared" si="59"/>
        <v>970042.08647989307</v>
      </c>
      <c r="V951">
        <f t="shared" si="56"/>
        <v>0</v>
      </c>
      <c r="W951">
        <f t="shared" si="57"/>
        <v>1</v>
      </c>
    </row>
    <row r="952" spans="1:23" x14ac:dyDescent="0.2">
      <c r="A952">
        <v>947</v>
      </c>
      <c r="B952">
        <v>523.0503028300833</v>
      </c>
      <c r="C952">
        <v>3936.7027726697916</v>
      </c>
      <c r="D952">
        <v>1146.7148361193797</v>
      </c>
      <c r="E952">
        <v>1340.5197384395706</v>
      </c>
      <c r="F952">
        <v>0.96973344710034703</v>
      </c>
      <c r="G952">
        <v>0.73143359062040003</v>
      </c>
      <c r="H952">
        <v>1.1190577818937338E-2</v>
      </c>
      <c r="I952">
        <v>0.13993055150026304</v>
      </c>
      <c r="J952">
        <v>0.45953894088777147</v>
      </c>
      <c r="L952">
        <v>15262.831784293485</v>
      </c>
      <c r="M952">
        <v>10.152251093803793</v>
      </c>
      <c r="N952">
        <v>9.1863902187140791</v>
      </c>
      <c r="O952">
        <v>23832.741265336295</v>
      </c>
      <c r="P952">
        <v>11.447506908192951</v>
      </c>
      <c r="Q952">
        <v>10.642968394561874</v>
      </c>
      <c r="S952">
        <f t="shared" si="58"/>
        <v>903376.19008711434</v>
      </c>
      <c r="T952">
        <f t="shared" si="59"/>
        <v>1040464.0981908513</v>
      </c>
      <c r="V952">
        <f t="shared" si="56"/>
        <v>0</v>
      </c>
      <c r="W952">
        <f t="shared" si="57"/>
        <v>1</v>
      </c>
    </row>
    <row r="953" spans="1:23" x14ac:dyDescent="0.2">
      <c r="A953">
        <v>948</v>
      </c>
      <c r="B953">
        <v>461.38070267803522</v>
      </c>
      <c r="C953">
        <v>2876.7146857770858</v>
      </c>
      <c r="D953">
        <v>1164.9972123513332</v>
      </c>
      <c r="E953">
        <v>1369.3314236798569</v>
      </c>
      <c r="F953">
        <v>0.93880976620164991</v>
      </c>
      <c r="G953">
        <v>0.81567687968825453</v>
      </c>
      <c r="H953">
        <v>1.0341866990732937E-2</v>
      </c>
      <c r="I953">
        <v>0.1456590266999819</v>
      </c>
      <c r="J953">
        <v>0.53106871458088822</v>
      </c>
      <c r="L953">
        <v>11554.878640094281</v>
      </c>
      <c r="M953">
        <v>10.224989832066472</v>
      </c>
      <c r="N953">
        <v>9.2773470664717301</v>
      </c>
      <c r="O953">
        <v>21198.170708297406</v>
      </c>
      <c r="P953">
        <v>11.299285779694527</v>
      </c>
      <c r="Q953">
        <v>10.36826612004544</v>
      </c>
      <c r="S953">
        <f t="shared" si="58"/>
        <v>916179.82800707873</v>
      </c>
      <c r="T953">
        <f t="shared" si="59"/>
        <v>1015628.4412962466</v>
      </c>
      <c r="V953">
        <f t="shared" si="56"/>
        <v>0</v>
      </c>
      <c r="W953">
        <f t="shared" si="57"/>
        <v>1</v>
      </c>
    </row>
    <row r="954" spans="1:23" x14ac:dyDescent="0.2">
      <c r="A954">
        <v>949</v>
      </c>
      <c r="B954">
        <v>499.22658068342713</v>
      </c>
      <c r="C954">
        <v>1988.4715347844337</v>
      </c>
      <c r="D954">
        <v>1023.8836040548201</v>
      </c>
      <c r="E954">
        <v>781.7075104290418</v>
      </c>
      <c r="F954">
        <v>0.97981836275775003</v>
      </c>
      <c r="G954">
        <v>0.77756066188818496</v>
      </c>
      <c r="H954">
        <v>1.0089228460063479E-2</v>
      </c>
      <c r="I954">
        <v>0.17752643323261408</v>
      </c>
      <c r="J954">
        <v>0.50851283050908069</v>
      </c>
      <c r="L954">
        <v>8678.1395020387554</v>
      </c>
      <c r="M954">
        <v>9.9569118761573101</v>
      </c>
      <c r="N954">
        <v>9.2953763712957613</v>
      </c>
      <c r="O954">
        <v>18039.610746529746</v>
      </c>
      <c r="P954">
        <v>11.187162596089593</v>
      </c>
      <c r="Q954">
        <v>10.626488178701255</v>
      </c>
      <c r="S954">
        <f t="shared" si="58"/>
        <v>920859.49762753746</v>
      </c>
      <c r="T954">
        <f t="shared" si="59"/>
        <v>1044609.2071235956</v>
      </c>
      <c r="V954">
        <f t="shared" si="56"/>
        <v>0</v>
      </c>
      <c r="W954">
        <f t="shared" si="57"/>
        <v>1</v>
      </c>
    </row>
    <row r="955" spans="1:23" x14ac:dyDescent="0.2">
      <c r="A955">
        <v>950</v>
      </c>
      <c r="B955">
        <v>555.73316105514516</v>
      </c>
      <c r="C955">
        <v>2895.5460968795815</v>
      </c>
      <c r="D955">
        <v>1026.7902597374896</v>
      </c>
      <c r="E955">
        <v>1163.0087872103888</v>
      </c>
      <c r="F955">
        <v>0.95396665553714544</v>
      </c>
      <c r="G955">
        <v>0.73334475538210864</v>
      </c>
      <c r="H955">
        <v>1.0780933964207418E-2</v>
      </c>
      <c r="I955">
        <v>0.14635070968465533</v>
      </c>
      <c r="J955">
        <v>0.54221072489747546</v>
      </c>
      <c r="L955">
        <v>12288.077276250551</v>
      </c>
      <c r="M955">
        <v>10.14314702272344</v>
      </c>
      <c r="N955">
        <v>9.0916075735558231</v>
      </c>
      <c r="O955">
        <v>20690.290370443112</v>
      </c>
      <c r="P955">
        <v>11.194066784532522</v>
      </c>
      <c r="Q955">
        <v>10.236190225588089</v>
      </c>
      <c r="S955">
        <f t="shared" si="58"/>
        <v>896872.68007933174</v>
      </c>
      <c r="T955">
        <f t="shared" si="59"/>
        <v>1002928.7321883658</v>
      </c>
      <c r="V955">
        <f t="shared" si="56"/>
        <v>0</v>
      </c>
      <c r="W955">
        <f t="shared" si="57"/>
        <v>1</v>
      </c>
    </row>
    <row r="956" spans="1:23" x14ac:dyDescent="0.2">
      <c r="A956">
        <v>951</v>
      </c>
      <c r="B956">
        <v>543.89858692204928</v>
      </c>
      <c r="C956">
        <v>1711.4888621334305</v>
      </c>
      <c r="D956">
        <v>975.15998547791196</v>
      </c>
      <c r="E956">
        <v>1090.1442616754312</v>
      </c>
      <c r="F956">
        <v>0.96940990943233851</v>
      </c>
      <c r="G956">
        <v>0.79581800542028525</v>
      </c>
      <c r="H956">
        <v>1.0734331287784027E-2</v>
      </c>
      <c r="I956">
        <v>0.1443735095099169</v>
      </c>
      <c r="J956">
        <v>0.43579596293646067</v>
      </c>
      <c r="L956">
        <v>9068.2255795234414</v>
      </c>
      <c r="M956">
        <v>10.173382707850518</v>
      </c>
      <c r="N956">
        <v>9.3990485414915117</v>
      </c>
      <c r="O956">
        <v>18179.749648894755</v>
      </c>
      <c r="P956">
        <v>11.555994515376161</v>
      </c>
      <c r="Q956">
        <v>10.892092380790412</v>
      </c>
      <c r="S956">
        <f t="shared" si="58"/>
        <v>930836.62856962765</v>
      </c>
      <c r="T956">
        <f t="shared" si="59"/>
        <v>1071029.4884301466</v>
      </c>
      <c r="V956">
        <f t="shared" si="56"/>
        <v>0</v>
      </c>
      <c r="W956">
        <f t="shared" si="57"/>
        <v>1</v>
      </c>
    </row>
    <row r="957" spans="1:23" x14ac:dyDescent="0.2">
      <c r="A957">
        <v>952</v>
      </c>
      <c r="B957">
        <v>572.11457479824992</v>
      </c>
      <c r="C957">
        <v>1572.9130216863709</v>
      </c>
      <c r="D957">
        <v>953.08098533839757</v>
      </c>
      <c r="E957">
        <v>921.89215727686849</v>
      </c>
      <c r="F957">
        <v>0.95445954750589967</v>
      </c>
      <c r="G957">
        <v>0.72126685260814716</v>
      </c>
      <c r="H957">
        <v>9.8263650036979049E-3</v>
      </c>
      <c r="I957">
        <v>0.17410535154237095</v>
      </c>
      <c r="J957">
        <v>0.55544181041136254</v>
      </c>
      <c r="L957">
        <v>8393.8229199691796</v>
      </c>
      <c r="M957">
        <v>10.03706943462098</v>
      </c>
      <c r="N957">
        <v>9.0475555919819293</v>
      </c>
      <c r="O957">
        <v>17297.155221618919</v>
      </c>
      <c r="P957">
        <v>11.104160486834903</v>
      </c>
      <c r="Q957">
        <v>10.194027561451525</v>
      </c>
      <c r="S957">
        <f t="shared" si="58"/>
        <v>896361.73627822369</v>
      </c>
      <c r="T957">
        <f t="shared" si="59"/>
        <v>1002105.6009235336</v>
      </c>
      <c r="V957">
        <f t="shared" si="56"/>
        <v>0</v>
      </c>
      <c r="W957">
        <f t="shared" si="57"/>
        <v>1</v>
      </c>
    </row>
    <row r="958" spans="1:23" x14ac:dyDescent="0.2">
      <c r="A958">
        <v>953</v>
      </c>
      <c r="B958">
        <v>654.59430414795668</v>
      </c>
      <c r="C958">
        <v>3845.0246763620876</v>
      </c>
      <c r="D958">
        <v>952.93964689423433</v>
      </c>
      <c r="E958">
        <v>880.02166251993629</v>
      </c>
      <c r="F958">
        <v>0.95971198786443024</v>
      </c>
      <c r="G958">
        <v>0.57759587721340833</v>
      </c>
      <c r="H958">
        <v>1.1209410472885926E-2</v>
      </c>
      <c r="I958">
        <v>0.124486730868139</v>
      </c>
      <c r="J958">
        <v>0.49781905942718863</v>
      </c>
      <c r="L958">
        <v>16559.313559193495</v>
      </c>
      <c r="M958">
        <v>10.348986120345222</v>
      </c>
      <c r="N958">
        <v>8.7990160351221292</v>
      </c>
      <c r="O958">
        <v>23469.452512679527</v>
      </c>
      <c r="P958">
        <v>11.461056035794337</v>
      </c>
      <c r="Q958">
        <v>10.177881094798161</v>
      </c>
      <c r="S958">
        <f t="shared" si="58"/>
        <v>863342.28995301935</v>
      </c>
      <c r="T958">
        <f t="shared" si="59"/>
        <v>994318.65696713666</v>
      </c>
      <c r="V958">
        <f t="shared" si="56"/>
        <v>0</v>
      </c>
      <c r="W958">
        <f t="shared" si="57"/>
        <v>1</v>
      </c>
    </row>
    <row r="959" spans="1:23" x14ac:dyDescent="0.2">
      <c r="A959">
        <v>954</v>
      </c>
      <c r="B959">
        <v>533.48379908857373</v>
      </c>
      <c r="C959">
        <v>4287.2675308630469</v>
      </c>
      <c r="D959">
        <v>801.75794855104175</v>
      </c>
      <c r="E959">
        <v>1291.8506300255319</v>
      </c>
      <c r="F959">
        <v>0.94594164134738812</v>
      </c>
      <c r="G959">
        <v>0.74411070946247959</v>
      </c>
      <c r="H959">
        <v>1.0630576019916817E-2</v>
      </c>
      <c r="I959">
        <v>0.11883872726701472</v>
      </c>
      <c r="J959">
        <v>0.47166056132014111</v>
      </c>
      <c r="L959">
        <v>17263.428897223876</v>
      </c>
      <c r="M959">
        <v>10.515293670087713</v>
      </c>
      <c r="N959">
        <v>9.3448855951607896</v>
      </c>
      <c r="O959">
        <v>22033.40671614659</v>
      </c>
      <c r="P959">
        <v>11.668608410400211</v>
      </c>
      <c r="Q959">
        <v>10.618439649895745</v>
      </c>
      <c r="S959">
        <f t="shared" si="58"/>
        <v>917225.13061885501</v>
      </c>
      <c r="T959">
        <f t="shared" si="59"/>
        <v>1039810.5582734278</v>
      </c>
      <c r="V959">
        <f t="shared" si="56"/>
        <v>0</v>
      </c>
      <c r="W959">
        <f t="shared" si="57"/>
        <v>1</v>
      </c>
    </row>
    <row r="960" spans="1:23" x14ac:dyDescent="0.2">
      <c r="A960">
        <v>955</v>
      </c>
      <c r="B960">
        <v>359.30508370188414</v>
      </c>
      <c r="C960">
        <v>3787.3060041382587</v>
      </c>
      <c r="D960">
        <v>1170.6265481723972</v>
      </c>
      <c r="E960">
        <v>603.6370722656053</v>
      </c>
      <c r="F960">
        <v>0.96944071059014292</v>
      </c>
      <c r="G960">
        <v>0.63795933138248284</v>
      </c>
      <c r="H960">
        <v>1.0829498520773273E-2</v>
      </c>
      <c r="I960">
        <v>0.175757041508942</v>
      </c>
      <c r="J960">
        <v>0.55342011908472377</v>
      </c>
      <c r="L960">
        <v>11862.106903943693</v>
      </c>
      <c r="M960">
        <v>9.8370270457908813</v>
      </c>
      <c r="N960">
        <v>8.7553236732340114</v>
      </c>
      <c r="O960">
        <v>21004.238225259822</v>
      </c>
      <c r="P960">
        <v>10.931856601017621</v>
      </c>
      <c r="Q960">
        <v>9.9976136379664826</v>
      </c>
      <c r="S960">
        <f t="shared" si="58"/>
        <v>863670.26041945745</v>
      </c>
      <c r="T960">
        <f t="shared" si="59"/>
        <v>978757.1255713884</v>
      </c>
      <c r="V960">
        <f t="shared" si="56"/>
        <v>0</v>
      </c>
      <c r="W960">
        <f t="shared" si="57"/>
        <v>1</v>
      </c>
    </row>
    <row r="961" spans="1:23" x14ac:dyDescent="0.2">
      <c r="A961">
        <v>956</v>
      </c>
      <c r="B961">
        <v>666.11509429053694</v>
      </c>
      <c r="C961">
        <v>2145.6900748170801</v>
      </c>
      <c r="D961">
        <v>886.67476102821502</v>
      </c>
      <c r="E961">
        <v>1033.5241228091511</v>
      </c>
      <c r="F961">
        <v>0.90288845308687915</v>
      </c>
      <c r="G961">
        <v>0.81279766374428708</v>
      </c>
      <c r="H961">
        <v>1.1735035251837386E-2</v>
      </c>
      <c r="I961">
        <v>0.12470922102541719</v>
      </c>
      <c r="J961">
        <v>0.47975077938018429</v>
      </c>
      <c r="L961">
        <v>11688.376406490326</v>
      </c>
      <c r="M961">
        <v>10.269289164735795</v>
      </c>
      <c r="N961">
        <v>9.0004926395181606</v>
      </c>
      <c r="O961">
        <v>19330.456992864518</v>
      </c>
      <c r="P961">
        <v>11.445805418051837</v>
      </c>
      <c r="Q961">
        <v>10.139881708823687</v>
      </c>
      <c r="S961">
        <f t="shared" si="58"/>
        <v>888360.88754532568</v>
      </c>
      <c r="T961">
        <f t="shared" si="59"/>
        <v>994657.7138895042</v>
      </c>
      <c r="V961">
        <f t="shared" si="56"/>
        <v>0</v>
      </c>
      <c r="W961">
        <f t="shared" si="57"/>
        <v>1</v>
      </c>
    </row>
    <row r="962" spans="1:23" x14ac:dyDescent="0.2">
      <c r="A962">
        <v>957</v>
      </c>
      <c r="B962">
        <v>477.77566022769173</v>
      </c>
      <c r="C962">
        <v>3390.8479528473868</v>
      </c>
      <c r="D962">
        <v>1011.964296070833</v>
      </c>
      <c r="E962">
        <v>1054.7321621125718</v>
      </c>
      <c r="F962">
        <v>0.96497481075353786</v>
      </c>
      <c r="G962">
        <v>0.66871624756423054</v>
      </c>
      <c r="H962">
        <v>9.2792562175710008E-3</v>
      </c>
      <c r="I962">
        <v>0.14595445441503591</v>
      </c>
      <c r="J962">
        <v>0.46774597338328605</v>
      </c>
      <c r="L962">
        <v>12639.229525148399</v>
      </c>
      <c r="M962">
        <v>10.413643186549647</v>
      </c>
      <c r="N962">
        <v>9.30861373864429</v>
      </c>
      <c r="O962">
        <v>20856.990555316235</v>
      </c>
      <c r="P962">
        <v>11.65531895303382</v>
      </c>
      <c r="Q962">
        <v>10.743448237106442</v>
      </c>
      <c r="S962">
        <f t="shared" si="58"/>
        <v>918222.14433928055</v>
      </c>
      <c r="T962">
        <f t="shared" si="59"/>
        <v>1053487.8331553279</v>
      </c>
      <c r="V962">
        <f t="shared" si="56"/>
        <v>0</v>
      </c>
      <c r="W962">
        <f t="shared" si="57"/>
        <v>1</v>
      </c>
    </row>
    <row r="963" spans="1:23" x14ac:dyDescent="0.2">
      <c r="A963">
        <v>958</v>
      </c>
      <c r="B963">
        <v>505.32553348239759</v>
      </c>
      <c r="C963">
        <v>2766.4621682021952</v>
      </c>
      <c r="D963">
        <v>925.13468037598079</v>
      </c>
      <c r="E963">
        <v>911.14728372764296</v>
      </c>
      <c r="F963">
        <v>0.96481127180570181</v>
      </c>
      <c r="G963">
        <v>0.5233069858674293</v>
      </c>
      <c r="H963">
        <v>1.0067924598844773E-2</v>
      </c>
      <c r="I963">
        <v>0.11380424563854613</v>
      </c>
      <c r="J963">
        <v>0.58216642981078892</v>
      </c>
      <c r="L963">
        <v>12462.697273348715</v>
      </c>
      <c r="M963">
        <v>10.674640557756367</v>
      </c>
      <c r="N963">
        <v>8.9793469972488786</v>
      </c>
      <c r="O963">
        <v>19784.857932653169</v>
      </c>
      <c r="P963">
        <v>11.498517680838193</v>
      </c>
      <c r="Q963">
        <v>10.070653749545967</v>
      </c>
      <c r="S963">
        <f t="shared" si="58"/>
        <v>885472.00245153916</v>
      </c>
      <c r="T963">
        <f t="shared" si="59"/>
        <v>987280.51702194347</v>
      </c>
      <c r="V963">
        <f t="shared" si="56"/>
        <v>0</v>
      </c>
      <c r="W963">
        <f t="shared" si="57"/>
        <v>1</v>
      </c>
    </row>
    <row r="964" spans="1:23" x14ac:dyDescent="0.2">
      <c r="A964">
        <v>959</v>
      </c>
      <c r="B964">
        <v>596.72771521052061</v>
      </c>
      <c r="C964">
        <v>2881.2428786858973</v>
      </c>
      <c r="D964">
        <v>967.37394641587639</v>
      </c>
      <c r="E964">
        <v>1091.7164187677697</v>
      </c>
      <c r="F964">
        <v>0.94322765626826188</v>
      </c>
      <c r="G964">
        <v>0.74460660970198944</v>
      </c>
      <c r="H964">
        <v>9.5365845792005893E-3</v>
      </c>
      <c r="I964">
        <v>0.15975021342174256</v>
      </c>
      <c r="J964">
        <v>0.52001188269742593</v>
      </c>
      <c r="L964">
        <v>11971.003521207351</v>
      </c>
      <c r="M964">
        <v>10.225020201883304</v>
      </c>
      <c r="N964">
        <v>9.1704121522476765</v>
      </c>
      <c r="O964">
        <v>20356.381400464779</v>
      </c>
      <c r="P964">
        <v>11.357209894624965</v>
      </c>
      <c r="Q964">
        <v>10.367197994715784</v>
      </c>
      <c r="S964">
        <f t="shared" si="58"/>
        <v>905070.21170356032</v>
      </c>
      <c r="T964">
        <f t="shared" si="59"/>
        <v>1016363.4180711136</v>
      </c>
      <c r="V964">
        <f t="shared" si="56"/>
        <v>0</v>
      </c>
      <c r="W964">
        <f t="shared" si="57"/>
        <v>1</v>
      </c>
    </row>
    <row r="965" spans="1:23" x14ac:dyDescent="0.2">
      <c r="A965">
        <v>960</v>
      </c>
      <c r="B965">
        <v>497.68602731613629</v>
      </c>
      <c r="C965">
        <v>3256.2850132643762</v>
      </c>
      <c r="D965">
        <v>1090.9080656006076</v>
      </c>
      <c r="E965">
        <v>1068.1076813127961</v>
      </c>
      <c r="F965">
        <v>0.95419281463086758</v>
      </c>
      <c r="G965">
        <v>0.86402834800343964</v>
      </c>
      <c r="H965">
        <v>9.5397498895795334E-3</v>
      </c>
      <c r="I965">
        <v>0.18229536415779202</v>
      </c>
      <c r="J965">
        <v>0.48304102139784783</v>
      </c>
      <c r="L965">
        <v>11448.131208614002</v>
      </c>
      <c r="M965">
        <v>10.024196462960145</v>
      </c>
      <c r="N965">
        <v>9.3678161814475107</v>
      </c>
      <c r="O965">
        <v>20863.322924415796</v>
      </c>
      <c r="P965">
        <v>11.337535981323866</v>
      </c>
      <c r="Q965">
        <v>10.680093404093755</v>
      </c>
      <c r="S965">
        <f t="shared" si="58"/>
        <v>925333.48693613708</v>
      </c>
      <c r="T965">
        <f t="shared" si="59"/>
        <v>1047146.0174849597</v>
      </c>
      <c r="V965">
        <f t="shared" si="56"/>
        <v>0</v>
      </c>
      <c r="W965">
        <f t="shared" si="57"/>
        <v>1</v>
      </c>
    </row>
    <row r="966" spans="1:23" x14ac:dyDescent="0.2">
      <c r="A966">
        <v>961</v>
      </c>
      <c r="B966">
        <v>343.45142108399762</v>
      </c>
      <c r="C966">
        <v>3407.3881307911929</v>
      </c>
      <c r="D966">
        <v>1023.7090106561469</v>
      </c>
      <c r="E966">
        <v>1164.0376680731997</v>
      </c>
      <c r="F966">
        <v>0.94700257901570473</v>
      </c>
      <c r="G966">
        <v>0.7990191210332297</v>
      </c>
      <c r="H966">
        <v>7.9696393864716521E-3</v>
      </c>
      <c r="I966">
        <v>0.15305003945394591</v>
      </c>
      <c r="J966">
        <v>0.45188805270305343</v>
      </c>
      <c r="L966">
        <v>11005.703620173334</v>
      </c>
      <c r="M966">
        <v>10.611101622232693</v>
      </c>
      <c r="N966">
        <v>9.7127380371579157</v>
      </c>
      <c r="O966">
        <v>19501.611244397274</v>
      </c>
      <c r="P966">
        <v>11.875217284639843</v>
      </c>
      <c r="Q966">
        <v>11.027974828708375</v>
      </c>
      <c r="S966">
        <f t="shared" si="58"/>
        <v>960268.10009561817</v>
      </c>
      <c r="T966">
        <f t="shared" si="59"/>
        <v>1083295.8716264402</v>
      </c>
      <c r="V966">
        <f t="shared" ref="V966:V1004" si="60">IF(S966=MAX($S966:$T966),1,0)</f>
        <v>0</v>
      </c>
      <c r="W966">
        <f t="shared" ref="W966:W1004" si="61">IF(T966=MAX($S966:$T966),1,0)</f>
        <v>1</v>
      </c>
    </row>
    <row r="967" spans="1:23" x14ac:dyDescent="0.2">
      <c r="A967">
        <v>962</v>
      </c>
      <c r="B967">
        <v>538.79376897829957</v>
      </c>
      <c r="C967">
        <v>2435.5453471221658</v>
      </c>
      <c r="D967">
        <v>820.21689723120187</v>
      </c>
      <c r="E967">
        <v>766.69428289856762</v>
      </c>
      <c r="F967">
        <v>0.96249002811690554</v>
      </c>
      <c r="G967">
        <v>0.74928769169520615</v>
      </c>
      <c r="H967">
        <v>9.3547295764875513E-3</v>
      </c>
      <c r="I967">
        <v>0.10343909899866954</v>
      </c>
      <c r="J967">
        <v>0.49239500715017459</v>
      </c>
      <c r="L967">
        <v>11922.347745190851</v>
      </c>
      <c r="M967">
        <v>10.942034338407987</v>
      </c>
      <c r="N967">
        <v>9.8813456540911453</v>
      </c>
      <c r="O967">
        <v>18673.100659510324</v>
      </c>
      <c r="P967">
        <v>11.932436018253687</v>
      </c>
      <c r="Q967">
        <v>11.031679314856548</v>
      </c>
      <c r="S967">
        <f t="shared" ref="S967:S1005" si="62">$T$1*N967-L967</f>
        <v>976212.21766392374</v>
      </c>
      <c r="T967">
        <f t="shared" ref="T967:T1005" si="63">$T$1*Q967-O967</f>
        <v>1084494.8308261444</v>
      </c>
      <c r="V967">
        <f t="shared" si="60"/>
        <v>0</v>
      </c>
      <c r="W967">
        <f t="shared" si="61"/>
        <v>1</v>
      </c>
    </row>
    <row r="968" spans="1:23" x14ac:dyDescent="0.2">
      <c r="A968">
        <v>963</v>
      </c>
      <c r="B968">
        <v>490.6737548110595</v>
      </c>
      <c r="C968">
        <v>2149.254999415954</v>
      </c>
      <c r="D968">
        <v>1048.9162993945433</v>
      </c>
      <c r="E968">
        <v>958.01405619139018</v>
      </c>
      <c r="F968">
        <v>0.98501609984199578</v>
      </c>
      <c r="G968">
        <v>0.67048352982718062</v>
      </c>
      <c r="H968">
        <v>1.0624596159957211E-2</v>
      </c>
      <c r="I968">
        <v>0.17502482703550115</v>
      </c>
      <c r="J968">
        <v>0.58382429492692445</v>
      </c>
      <c r="L968">
        <v>9132.0796517563758</v>
      </c>
      <c r="M968">
        <v>9.8801886120458935</v>
      </c>
      <c r="N968">
        <v>8.9942978864444232</v>
      </c>
      <c r="O968">
        <v>18181.60248258727</v>
      </c>
      <c r="P968">
        <v>10.876487622424573</v>
      </c>
      <c r="Q968">
        <v>10.132362895326994</v>
      </c>
      <c r="S968">
        <f t="shared" si="62"/>
        <v>890297.70899268601</v>
      </c>
      <c r="T968">
        <f t="shared" si="63"/>
        <v>995054.68705011217</v>
      </c>
      <c r="V968">
        <f t="shared" si="60"/>
        <v>0</v>
      </c>
      <c r="W968">
        <f t="shared" si="61"/>
        <v>1</v>
      </c>
    </row>
    <row r="969" spans="1:23" x14ac:dyDescent="0.2">
      <c r="A969">
        <v>964</v>
      </c>
      <c r="B969">
        <v>514.25939910548072</v>
      </c>
      <c r="C969">
        <v>2520.5861181411233</v>
      </c>
      <c r="D969">
        <v>1027.6841477432904</v>
      </c>
      <c r="E969">
        <v>701.68302793135729</v>
      </c>
      <c r="F969">
        <v>0.93105076571404521</v>
      </c>
      <c r="G969">
        <v>0.64421714378610739</v>
      </c>
      <c r="H969">
        <v>9.0470861238186387E-3</v>
      </c>
      <c r="I969">
        <v>0.14678015612161599</v>
      </c>
      <c r="J969">
        <v>0.49686732550183771</v>
      </c>
      <c r="L969">
        <v>10570.357636607056</v>
      </c>
      <c r="M969">
        <v>10.449585860482234</v>
      </c>
      <c r="N969">
        <v>9.0224462377722254</v>
      </c>
      <c r="O969">
        <v>19754.511548974282</v>
      </c>
      <c r="P969">
        <v>11.597978893675302</v>
      </c>
      <c r="Q969">
        <v>10.302123932896611</v>
      </c>
      <c r="S969">
        <f t="shared" si="62"/>
        <v>891674.26614061557</v>
      </c>
      <c r="T969">
        <f t="shared" si="63"/>
        <v>1010457.8817406868</v>
      </c>
      <c r="V969">
        <f t="shared" si="60"/>
        <v>0</v>
      </c>
      <c r="W969">
        <f t="shared" si="61"/>
        <v>1</v>
      </c>
    </row>
    <row r="970" spans="1:23" x14ac:dyDescent="0.2">
      <c r="A970">
        <v>965</v>
      </c>
      <c r="B970">
        <v>584.85408933865597</v>
      </c>
      <c r="C970">
        <v>2402.8930224021701</v>
      </c>
      <c r="D970">
        <v>1062.4858536906568</v>
      </c>
      <c r="E970">
        <v>1085.9858422087798</v>
      </c>
      <c r="F970">
        <v>0.93774472055004643</v>
      </c>
      <c r="G970">
        <v>0.73130902271508302</v>
      </c>
      <c r="H970">
        <v>8.7552280464185499E-3</v>
      </c>
      <c r="I970">
        <v>0.14709108155949113</v>
      </c>
      <c r="J970">
        <v>0.44680053423133986</v>
      </c>
      <c r="L970">
        <v>10941.606682743135</v>
      </c>
      <c r="M970">
        <v>10.504008357061444</v>
      </c>
      <c r="N970">
        <v>9.3492439203017366</v>
      </c>
      <c r="O970">
        <v>20886.808894526275</v>
      </c>
      <c r="P970">
        <v>11.796564507472777</v>
      </c>
      <c r="Q970">
        <v>10.734261974408712</v>
      </c>
      <c r="S970">
        <f t="shared" si="62"/>
        <v>923982.7853474305</v>
      </c>
      <c r="T970">
        <f t="shared" si="63"/>
        <v>1052539.3885463451</v>
      </c>
      <c r="V970">
        <f t="shared" si="60"/>
        <v>0</v>
      </c>
      <c r="W970">
        <f t="shared" si="61"/>
        <v>1</v>
      </c>
    </row>
    <row r="971" spans="1:23" x14ac:dyDescent="0.2">
      <c r="A971">
        <v>966</v>
      </c>
      <c r="B971">
        <v>913.04733932362694</v>
      </c>
      <c r="C971">
        <v>2768.3402887043185</v>
      </c>
      <c r="D971">
        <v>1139.4757412398194</v>
      </c>
      <c r="E971">
        <v>1067.7880613467205</v>
      </c>
      <c r="F971">
        <v>0.97200608208052897</v>
      </c>
      <c r="G971">
        <v>0.84010237615526884</v>
      </c>
      <c r="H971">
        <v>9.4689007741478089E-3</v>
      </c>
      <c r="I971">
        <v>0.14086412223377504</v>
      </c>
      <c r="J971">
        <v>0.46394640597905634</v>
      </c>
      <c r="L971">
        <v>14692.095101392595</v>
      </c>
      <c r="M971">
        <v>10.433558238201343</v>
      </c>
      <c r="N971">
        <v>9.8017596797430517</v>
      </c>
      <c r="O971">
        <v>25475.606253277005</v>
      </c>
      <c r="P971">
        <v>11.673914234780039</v>
      </c>
      <c r="Q971">
        <v>11.116478311193228</v>
      </c>
      <c r="S971">
        <f t="shared" si="62"/>
        <v>965483.87287291256</v>
      </c>
      <c r="T971">
        <f t="shared" si="63"/>
        <v>1086172.2248660459</v>
      </c>
      <c r="V971">
        <f t="shared" si="60"/>
        <v>0</v>
      </c>
      <c r="W971">
        <f t="shared" si="61"/>
        <v>1</v>
      </c>
    </row>
    <row r="972" spans="1:23" x14ac:dyDescent="0.2">
      <c r="A972">
        <v>967</v>
      </c>
      <c r="B972">
        <v>477.08983494803215</v>
      </c>
      <c r="C972">
        <v>3542.1266088286634</v>
      </c>
      <c r="D972">
        <v>1080.3689289044858</v>
      </c>
      <c r="E972">
        <v>863.4268870488761</v>
      </c>
      <c r="F972">
        <v>0.96870001295741814</v>
      </c>
      <c r="G972">
        <v>0.81215682808217093</v>
      </c>
      <c r="H972">
        <v>1.1193273299375469E-2</v>
      </c>
      <c r="I972">
        <v>0.14943435394031956</v>
      </c>
      <c r="J972">
        <v>0.59167239663457516</v>
      </c>
      <c r="L972">
        <v>13264.805931862289</v>
      </c>
      <c r="M972">
        <v>10.041034936644465</v>
      </c>
      <c r="N972">
        <v>9.3114179487647526</v>
      </c>
      <c r="O972">
        <v>21535.503363020911</v>
      </c>
      <c r="P972">
        <v>10.96227780200284</v>
      </c>
      <c r="Q972">
        <v>10.288681115237821</v>
      </c>
      <c r="S972">
        <f t="shared" si="62"/>
        <v>917876.98894461291</v>
      </c>
      <c r="T972">
        <f t="shared" si="63"/>
        <v>1007332.6081607612</v>
      </c>
      <c r="V972">
        <f t="shared" si="60"/>
        <v>0</v>
      </c>
      <c r="W972">
        <f t="shared" si="61"/>
        <v>1</v>
      </c>
    </row>
    <row r="973" spans="1:23" x14ac:dyDescent="0.2">
      <c r="A973">
        <v>968</v>
      </c>
      <c r="B973">
        <v>325.10439160811467</v>
      </c>
      <c r="C973">
        <v>3105.8332566072709</v>
      </c>
      <c r="D973">
        <v>969.99991342239343</v>
      </c>
      <c r="E973">
        <v>740.87156133975839</v>
      </c>
      <c r="F973">
        <v>0.96356964941030709</v>
      </c>
      <c r="G973">
        <v>0.70994800023430005</v>
      </c>
      <c r="H973">
        <v>9.3531776058019198E-3</v>
      </c>
      <c r="I973">
        <v>0.18245229818486575</v>
      </c>
      <c r="J973">
        <v>0.51009802706074414</v>
      </c>
      <c r="L973">
        <v>9593.405150474433</v>
      </c>
      <c r="M973">
        <v>10.060872057748398</v>
      </c>
      <c r="N973">
        <v>9.1444214096911498</v>
      </c>
      <c r="O973">
        <v>17646.638089819699</v>
      </c>
      <c r="P973">
        <v>11.279440385461351</v>
      </c>
      <c r="Q973">
        <v>10.472488487789928</v>
      </c>
      <c r="S973">
        <f t="shared" si="62"/>
        <v>904848.73581864056</v>
      </c>
      <c r="T973">
        <f t="shared" si="63"/>
        <v>1029602.2106891731</v>
      </c>
      <c r="V973">
        <f t="shared" si="60"/>
        <v>0</v>
      </c>
      <c r="W973">
        <f t="shared" si="61"/>
        <v>1</v>
      </c>
    </row>
    <row r="974" spans="1:23" x14ac:dyDescent="0.2">
      <c r="A974">
        <v>969</v>
      </c>
      <c r="B974">
        <v>428.86341417843062</v>
      </c>
      <c r="C974">
        <v>3728.6281742935048</v>
      </c>
      <c r="D974">
        <v>904.38246811213753</v>
      </c>
      <c r="E974">
        <v>962.10581757790385</v>
      </c>
      <c r="F974">
        <v>0.94955433950394486</v>
      </c>
      <c r="G974">
        <v>0.72652828235901135</v>
      </c>
      <c r="H974">
        <v>1.0071463665455286E-2</v>
      </c>
      <c r="I974">
        <v>0.12446200251882181</v>
      </c>
      <c r="J974">
        <v>0.51398355909706928</v>
      </c>
      <c r="L974">
        <v>14235.526882606482</v>
      </c>
      <c r="M974">
        <v>10.527354889256497</v>
      </c>
      <c r="N974">
        <v>9.3622936472453713</v>
      </c>
      <c r="O974">
        <v>20615.163547867909</v>
      </c>
      <c r="P974">
        <v>11.57096794510584</v>
      </c>
      <c r="Q974">
        <v>10.527203580430673</v>
      </c>
      <c r="S974">
        <f t="shared" si="62"/>
        <v>921993.83784193068</v>
      </c>
      <c r="T974">
        <f t="shared" si="63"/>
        <v>1032105.1944951992</v>
      </c>
      <c r="V974">
        <f t="shared" si="60"/>
        <v>0</v>
      </c>
      <c r="W974">
        <f t="shared" si="61"/>
        <v>1</v>
      </c>
    </row>
    <row r="975" spans="1:23" x14ac:dyDescent="0.2">
      <c r="A975">
        <v>970</v>
      </c>
      <c r="B975">
        <v>672.99640790312185</v>
      </c>
      <c r="C975">
        <v>3929.5985519736505</v>
      </c>
      <c r="D975">
        <v>1029.3480553495876</v>
      </c>
      <c r="E975">
        <v>914.60439279489901</v>
      </c>
      <c r="F975">
        <v>0.95506433938979163</v>
      </c>
      <c r="G975">
        <v>0.81512224541571221</v>
      </c>
      <c r="H975">
        <v>1.0966893160762783E-2</v>
      </c>
      <c r="I975">
        <v>0.14547388651993473</v>
      </c>
      <c r="J975">
        <v>0.60753441328575675</v>
      </c>
      <c r="L975">
        <v>15887.864496180657</v>
      </c>
      <c r="M975">
        <v>10.12262573805835</v>
      </c>
      <c r="N975">
        <v>9.2930813582565293</v>
      </c>
      <c r="O975">
        <v>23784.378795711964</v>
      </c>
      <c r="P975">
        <v>10.987187571726526</v>
      </c>
      <c r="Q975">
        <v>10.192254929327149</v>
      </c>
      <c r="S975">
        <f t="shared" si="62"/>
        <v>913420.27132947231</v>
      </c>
      <c r="T975">
        <f t="shared" si="63"/>
        <v>995441.11413700297</v>
      </c>
      <c r="V975">
        <f t="shared" si="60"/>
        <v>0</v>
      </c>
      <c r="W975">
        <f t="shared" si="61"/>
        <v>1</v>
      </c>
    </row>
    <row r="976" spans="1:23" x14ac:dyDescent="0.2">
      <c r="A976">
        <v>971</v>
      </c>
      <c r="B976">
        <v>433.19133772893798</v>
      </c>
      <c r="C976">
        <v>2788.5121767418955</v>
      </c>
      <c r="D976">
        <v>985.90928474027476</v>
      </c>
      <c r="E976">
        <v>1316.1863041251452</v>
      </c>
      <c r="F976">
        <v>0.9430953237223122</v>
      </c>
      <c r="G976">
        <v>0.69369803376156225</v>
      </c>
      <c r="H976">
        <v>1.2193974782522399E-2</v>
      </c>
      <c r="I976">
        <v>0.15895303377872261</v>
      </c>
      <c r="J976">
        <v>0.48187403558800745</v>
      </c>
      <c r="L976">
        <v>10985.462735009949</v>
      </c>
      <c r="M976">
        <v>9.7796238169298864</v>
      </c>
      <c r="N976">
        <v>8.5667850745917562</v>
      </c>
      <c r="O976">
        <v>18749.626808047084</v>
      </c>
      <c r="P976">
        <v>11.085806155502016</v>
      </c>
      <c r="Q976">
        <v>9.9782152420491279</v>
      </c>
      <c r="S976">
        <f t="shared" si="62"/>
        <v>845693.04472416569</v>
      </c>
      <c r="T976">
        <f t="shared" si="63"/>
        <v>979071.89739686577</v>
      </c>
      <c r="V976">
        <f t="shared" si="60"/>
        <v>0</v>
      </c>
      <c r="W976">
        <f t="shared" si="61"/>
        <v>1</v>
      </c>
    </row>
    <row r="977" spans="1:23" x14ac:dyDescent="0.2">
      <c r="A977">
        <v>972</v>
      </c>
      <c r="B977">
        <v>440.4398019907668</v>
      </c>
      <c r="C977">
        <v>2318.7265233793655</v>
      </c>
      <c r="D977">
        <v>1028.3650619211749</v>
      </c>
      <c r="E977">
        <v>1145.0392395839742</v>
      </c>
      <c r="F977">
        <v>0.96651161606783975</v>
      </c>
      <c r="G977">
        <v>0.78577464963993682</v>
      </c>
      <c r="H977">
        <v>9.5822818349894871E-3</v>
      </c>
      <c r="I977">
        <v>0.14167038255877032</v>
      </c>
      <c r="J977">
        <v>0.4642108274408332</v>
      </c>
      <c r="L977">
        <v>9845.2608415550148</v>
      </c>
      <c r="M977">
        <v>10.403842762765743</v>
      </c>
      <c r="N977">
        <v>9.5892670937812365</v>
      </c>
      <c r="O977">
        <v>18888.510318405082</v>
      </c>
      <c r="P977">
        <v>11.649990542501385</v>
      </c>
      <c r="Q977">
        <v>10.942543135973883</v>
      </c>
      <c r="S977">
        <f t="shared" si="62"/>
        <v>949081.44853656867</v>
      </c>
      <c r="T977">
        <f t="shared" si="63"/>
        <v>1075365.8032789833</v>
      </c>
      <c r="V977">
        <f t="shared" si="60"/>
        <v>0</v>
      </c>
      <c r="W977">
        <f t="shared" si="61"/>
        <v>1</v>
      </c>
    </row>
    <row r="978" spans="1:23" x14ac:dyDescent="0.2">
      <c r="A978">
        <v>973</v>
      </c>
      <c r="B978">
        <v>433.68889737426952</v>
      </c>
      <c r="C978">
        <v>4104.3143097385664</v>
      </c>
      <c r="D978">
        <v>1062.0567695995501</v>
      </c>
      <c r="E978">
        <v>860.4057204357506</v>
      </c>
      <c r="F978">
        <v>0.88124329321676098</v>
      </c>
      <c r="G978">
        <v>0.64733919755556713</v>
      </c>
      <c r="H978">
        <v>9.5555786107946513E-3</v>
      </c>
      <c r="I978">
        <v>0.14532775934925768</v>
      </c>
      <c r="J978">
        <v>0.53133731371786563</v>
      </c>
      <c r="L978">
        <v>14123.378011856243</v>
      </c>
      <c r="M978">
        <v>10.368635651971914</v>
      </c>
      <c r="N978">
        <v>8.5440601575316357</v>
      </c>
      <c r="O978">
        <v>22189.598076864142</v>
      </c>
      <c r="P978">
        <v>11.424547023771176</v>
      </c>
      <c r="Q978">
        <v>9.6313005194065138</v>
      </c>
      <c r="S978">
        <f t="shared" si="62"/>
        <v>840282.63774130738</v>
      </c>
      <c r="T978">
        <f t="shared" si="63"/>
        <v>940940.45386378723</v>
      </c>
      <c r="V978">
        <f t="shared" si="60"/>
        <v>0</v>
      </c>
      <c r="W978">
        <f t="shared" si="61"/>
        <v>1</v>
      </c>
    </row>
    <row r="979" spans="1:23" x14ac:dyDescent="0.2">
      <c r="A979">
        <v>974</v>
      </c>
      <c r="B979">
        <v>520.01409738103007</v>
      </c>
      <c r="C979">
        <v>3049.782568584114</v>
      </c>
      <c r="D979">
        <v>1010.0574934082084</v>
      </c>
      <c r="E979">
        <v>767.14859183011777</v>
      </c>
      <c r="F979">
        <v>0.95829695787931279</v>
      </c>
      <c r="G979">
        <v>0.7751011290144979</v>
      </c>
      <c r="H979">
        <v>8.7385374868751229E-3</v>
      </c>
      <c r="I979">
        <v>0.10923119127672683</v>
      </c>
      <c r="J979">
        <v>0.37337549318041657</v>
      </c>
      <c r="L979">
        <v>13219.73820092381</v>
      </c>
      <c r="M979">
        <v>10.960577904793228</v>
      </c>
      <c r="N979">
        <v>9.9763740206928269</v>
      </c>
      <c r="O979">
        <v>21474.064171359412</v>
      </c>
      <c r="P979">
        <v>12.291090790996561</v>
      </c>
      <c r="Q979">
        <v>11.473725175794911</v>
      </c>
      <c r="S979">
        <f t="shared" si="62"/>
        <v>984417.66386835894</v>
      </c>
      <c r="T979">
        <f t="shared" si="63"/>
        <v>1125898.4534081316</v>
      </c>
      <c r="V979">
        <f t="shared" si="60"/>
        <v>0</v>
      </c>
      <c r="W979">
        <f t="shared" si="61"/>
        <v>1</v>
      </c>
    </row>
    <row r="980" spans="1:23" x14ac:dyDescent="0.2">
      <c r="A980">
        <v>975</v>
      </c>
      <c r="B980">
        <v>322.43065845223975</v>
      </c>
      <c r="C980">
        <v>3879.3261588875889</v>
      </c>
      <c r="D980">
        <v>926.22691336850505</v>
      </c>
      <c r="E980">
        <v>759.21067027719289</v>
      </c>
      <c r="F980">
        <v>0.93790881164201212</v>
      </c>
      <c r="G980">
        <v>0.78724362299558848</v>
      </c>
      <c r="H980">
        <v>1.0212190892382669E-2</v>
      </c>
      <c r="I980">
        <v>0.16450319065243635</v>
      </c>
      <c r="J980">
        <v>0.51783812067729906</v>
      </c>
      <c r="L980">
        <v>12104.268554343436</v>
      </c>
      <c r="M980">
        <v>10.0528516796592</v>
      </c>
      <c r="N980">
        <v>9.0659719908561041</v>
      </c>
      <c r="O980">
        <v>18883.560066402133</v>
      </c>
      <c r="P980">
        <v>11.220834686044029</v>
      </c>
      <c r="Q980">
        <v>10.257702788793113</v>
      </c>
      <c r="S980">
        <f t="shared" si="62"/>
        <v>894492.93053126696</v>
      </c>
      <c r="T980">
        <f t="shared" si="63"/>
        <v>1006886.7188129092</v>
      </c>
      <c r="V980">
        <f t="shared" si="60"/>
        <v>0</v>
      </c>
      <c r="W980">
        <f t="shared" si="61"/>
        <v>1</v>
      </c>
    </row>
    <row r="981" spans="1:23" x14ac:dyDescent="0.2">
      <c r="A981">
        <v>976</v>
      </c>
      <c r="B981">
        <v>512.70289852985718</v>
      </c>
      <c r="C981">
        <v>2711.3619012883196</v>
      </c>
      <c r="D981">
        <v>1116.7861428504521</v>
      </c>
      <c r="E981">
        <v>1205.7584876736471</v>
      </c>
      <c r="F981">
        <v>0.97306312647573856</v>
      </c>
      <c r="G981">
        <v>0.75613671770401325</v>
      </c>
      <c r="H981">
        <v>1.1413798204305256E-2</v>
      </c>
      <c r="I981">
        <v>0.11606606789956894</v>
      </c>
      <c r="J981">
        <v>0.484323329465363</v>
      </c>
      <c r="L981">
        <v>12619.069008637636</v>
      </c>
      <c r="M981">
        <v>10.440255282304475</v>
      </c>
      <c r="N981">
        <v>9.4850121415843933</v>
      </c>
      <c r="O981">
        <v>21549.164242064067</v>
      </c>
      <c r="P981">
        <v>11.558320544396514</v>
      </c>
      <c r="Q981">
        <v>10.764943311809565</v>
      </c>
      <c r="S981">
        <f t="shared" si="62"/>
        <v>935882.14514980162</v>
      </c>
      <c r="T981">
        <f t="shared" si="63"/>
        <v>1054945.1669388923</v>
      </c>
      <c r="V981">
        <f t="shared" si="60"/>
        <v>0</v>
      </c>
      <c r="W981">
        <f t="shared" si="61"/>
        <v>1</v>
      </c>
    </row>
    <row r="982" spans="1:23" x14ac:dyDescent="0.2">
      <c r="A982">
        <v>977</v>
      </c>
      <c r="B982">
        <v>360.51926986350264</v>
      </c>
      <c r="C982">
        <v>2830.6265265644315</v>
      </c>
      <c r="D982">
        <v>1077.4527977113073</v>
      </c>
      <c r="E982">
        <v>873.68655974174692</v>
      </c>
      <c r="F982">
        <v>0.86870323335609434</v>
      </c>
      <c r="G982">
        <v>0.64910746078379078</v>
      </c>
      <c r="H982">
        <v>8.7763156382972482E-3</v>
      </c>
      <c r="I982">
        <v>0.14407295136416395</v>
      </c>
      <c r="J982">
        <v>0.55373706043801041</v>
      </c>
      <c r="L982">
        <v>10182.384562143219</v>
      </c>
      <c r="M982">
        <v>10.531022681092617</v>
      </c>
      <c r="N982">
        <v>8.6081589330617607</v>
      </c>
      <c r="O982">
        <v>19316.951559858368</v>
      </c>
      <c r="P982">
        <v>11.500934974821023</v>
      </c>
      <c r="Q982">
        <v>9.5890362237171587</v>
      </c>
      <c r="S982">
        <f t="shared" si="62"/>
        <v>850633.50874403282</v>
      </c>
      <c r="T982">
        <f t="shared" si="63"/>
        <v>939586.67081185745</v>
      </c>
      <c r="V982">
        <f t="shared" si="60"/>
        <v>0</v>
      </c>
      <c r="W982">
        <f t="shared" si="61"/>
        <v>1</v>
      </c>
    </row>
    <row r="983" spans="1:23" x14ac:dyDescent="0.2">
      <c r="A983">
        <v>978</v>
      </c>
      <c r="B983">
        <v>627.66718293155498</v>
      </c>
      <c r="C983">
        <v>3119.2484530676529</v>
      </c>
      <c r="D983">
        <v>1014.8223597829726</v>
      </c>
      <c r="E983">
        <v>825.25433608581955</v>
      </c>
      <c r="F983">
        <v>0.91375272827564913</v>
      </c>
      <c r="G983">
        <v>0.8005129172249329</v>
      </c>
      <c r="H983">
        <v>9.4218279261740721E-3</v>
      </c>
      <c r="I983">
        <v>0.11304018580749597</v>
      </c>
      <c r="J983">
        <v>0.40962913740774765</v>
      </c>
      <c r="L983">
        <v>14316.100718198606</v>
      </c>
      <c r="M983">
        <v>10.790308471307648</v>
      </c>
      <c r="N983">
        <v>9.5292079299950796</v>
      </c>
      <c r="O983">
        <v>22677.707069697448</v>
      </c>
      <c r="P983">
        <v>12.063820072237267</v>
      </c>
      <c r="Q983">
        <v>10.816853529769872</v>
      </c>
      <c r="S983">
        <f t="shared" si="62"/>
        <v>938604.6922813094</v>
      </c>
      <c r="T983">
        <f t="shared" si="63"/>
        <v>1059007.6459072896</v>
      </c>
      <c r="V983">
        <f t="shared" si="60"/>
        <v>0</v>
      </c>
      <c r="W983">
        <f t="shared" si="61"/>
        <v>1</v>
      </c>
    </row>
    <row r="984" spans="1:23" x14ac:dyDescent="0.2">
      <c r="A984">
        <v>979</v>
      </c>
      <c r="B984">
        <v>543.95181910397298</v>
      </c>
      <c r="C984">
        <v>2777.6435718997514</v>
      </c>
      <c r="D984">
        <v>953.14143480724158</v>
      </c>
      <c r="E984">
        <v>768.99601171207053</v>
      </c>
      <c r="F984">
        <v>0.94583192803222371</v>
      </c>
      <c r="G984">
        <v>0.85702941837388857</v>
      </c>
      <c r="H984">
        <v>1.0819434073824777E-2</v>
      </c>
      <c r="I984">
        <v>0.15602317540799004</v>
      </c>
      <c r="J984">
        <v>0.56200406857335317</v>
      </c>
      <c r="L984">
        <v>11453.680951415588</v>
      </c>
      <c r="M984">
        <v>10.031272264868464</v>
      </c>
      <c r="N984">
        <v>9.261629038574954</v>
      </c>
      <c r="O984">
        <v>19301.689207934389</v>
      </c>
      <c r="P984">
        <v>11.051104315305203</v>
      </c>
      <c r="Q984">
        <v>10.277666296774459</v>
      </c>
      <c r="S984">
        <f t="shared" si="62"/>
        <v>914709.22290607984</v>
      </c>
      <c r="T984">
        <f t="shared" si="63"/>
        <v>1008464.9404695116</v>
      </c>
      <c r="V984">
        <f t="shared" si="60"/>
        <v>0</v>
      </c>
      <c r="W984">
        <f t="shared" si="61"/>
        <v>1</v>
      </c>
    </row>
    <row r="985" spans="1:23" x14ac:dyDescent="0.2">
      <c r="A985">
        <v>980</v>
      </c>
      <c r="B985">
        <v>575.5832551854578</v>
      </c>
      <c r="C985">
        <v>2396.7786413136268</v>
      </c>
      <c r="D985">
        <v>770.85831188349255</v>
      </c>
      <c r="E985">
        <v>806.79240872793332</v>
      </c>
      <c r="F985">
        <v>0.98183577147623824</v>
      </c>
      <c r="G985">
        <v>0.83742525404520662</v>
      </c>
      <c r="H985">
        <v>9.2693321791298272E-3</v>
      </c>
      <c r="I985">
        <v>0.12876281793921424</v>
      </c>
      <c r="J985">
        <v>0.51215153818683068</v>
      </c>
      <c r="L985">
        <v>11291.74214683617</v>
      </c>
      <c r="M985">
        <v>10.610880938275606</v>
      </c>
      <c r="N985">
        <v>10.029240774607752</v>
      </c>
      <c r="O985">
        <v>17919.706995787921</v>
      </c>
      <c r="P985">
        <v>11.657291255599008</v>
      </c>
      <c r="Q985">
        <v>11.167309048464405</v>
      </c>
      <c r="S985">
        <f t="shared" si="62"/>
        <v>991632.33531393902</v>
      </c>
      <c r="T985">
        <f t="shared" si="63"/>
        <v>1098811.1978506525</v>
      </c>
      <c r="V985">
        <f t="shared" si="60"/>
        <v>0</v>
      </c>
      <c r="W985">
        <f t="shared" si="61"/>
        <v>1</v>
      </c>
    </row>
    <row r="986" spans="1:23" x14ac:dyDescent="0.2">
      <c r="A986">
        <v>981</v>
      </c>
      <c r="B986">
        <v>442.70956858298723</v>
      </c>
      <c r="C986">
        <v>2950.3583871346746</v>
      </c>
      <c r="D986">
        <v>978.54784641894867</v>
      </c>
      <c r="E986">
        <v>1726.7517243264701</v>
      </c>
      <c r="F986">
        <v>0.91481829371245027</v>
      </c>
      <c r="G986">
        <v>0.74097046733321648</v>
      </c>
      <c r="H986">
        <v>1.0250289843828668E-2</v>
      </c>
      <c r="I986">
        <v>0.15095228973093056</v>
      </c>
      <c r="J986">
        <v>0.46467124734949317</v>
      </c>
      <c r="L986">
        <v>11561.778539103232</v>
      </c>
      <c r="M986">
        <v>10.183136838884051</v>
      </c>
      <c r="N986">
        <v>8.8727579374544447</v>
      </c>
      <c r="O986">
        <v>19466.14932764243</v>
      </c>
      <c r="P986">
        <v>11.481263909829774</v>
      </c>
      <c r="Q986">
        <v>10.197458978515243</v>
      </c>
      <c r="S986">
        <f t="shared" si="62"/>
        <v>875714.01520634128</v>
      </c>
      <c r="T986">
        <f t="shared" si="63"/>
        <v>1000279.7485238819</v>
      </c>
      <c r="V986">
        <f t="shared" si="60"/>
        <v>0</v>
      </c>
      <c r="W986">
        <f t="shared" si="61"/>
        <v>1</v>
      </c>
    </row>
    <row r="987" spans="1:23" x14ac:dyDescent="0.2">
      <c r="A987">
        <v>982</v>
      </c>
      <c r="B987">
        <v>315.94872183586648</v>
      </c>
      <c r="C987">
        <v>2612.389401963856</v>
      </c>
      <c r="D987">
        <v>977.09962651115097</v>
      </c>
      <c r="E987">
        <v>1133.2647275762577</v>
      </c>
      <c r="F987">
        <v>0.88253606000089968</v>
      </c>
      <c r="G987">
        <v>0.82849039950110059</v>
      </c>
      <c r="H987">
        <v>8.6434174001709368E-3</v>
      </c>
      <c r="I987">
        <v>0.1634185477110941</v>
      </c>
      <c r="J987">
        <v>0.47918094811252465</v>
      </c>
      <c r="L987">
        <v>8877.5801836204591</v>
      </c>
      <c r="M987">
        <v>10.370849209129014</v>
      </c>
      <c r="N987">
        <v>9.0306702064446185</v>
      </c>
      <c r="O987">
        <v>17337.208536361388</v>
      </c>
      <c r="P987">
        <v>11.61299969321</v>
      </c>
      <c r="Q987">
        <v>10.165515169672036</v>
      </c>
      <c r="S987">
        <f t="shared" si="62"/>
        <v>894189.4404608414</v>
      </c>
      <c r="T987">
        <f t="shared" si="63"/>
        <v>999214.30843084224</v>
      </c>
      <c r="V987">
        <f t="shared" si="60"/>
        <v>0</v>
      </c>
      <c r="W987">
        <f t="shared" si="61"/>
        <v>1</v>
      </c>
    </row>
    <row r="988" spans="1:23" x14ac:dyDescent="0.2">
      <c r="A988">
        <v>983</v>
      </c>
      <c r="B988">
        <v>453.21804070757599</v>
      </c>
      <c r="C988">
        <v>2571.8507925956014</v>
      </c>
      <c r="D988">
        <v>995.10721899911198</v>
      </c>
      <c r="E988">
        <v>866.18450407517093</v>
      </c>
      <c r="F988">
        <v>0.93544213389838593</v>
      </c>
      <c r="G988">
        <v>0.70502766592275246</v>
      </c>
      <c r="H988">
        <v>9.9176786777690398E-3</v>
      </c>
      <c r="I988">
        <v>0.13599128686991693</v>
      </c>
      <c r="J988">
        <v>0.55456724589454842</v>
      </c>
      <c r="L988">
        <v>10714.882027407388</v>
      </c>
      <c r="M988">
        <v>10.409454684491083</v>
      </c>
      <c r="N988">
        <v>9.1195704204447079</v>
      </c>
      <c r="O988">
        <v>18996.436556396868</v>
      </c>
      <c r="P988">
        <v>11.377805622952392</v>
      </c>
      <c r="Q988">
        <v>10.175946593648982</v>
      </c>
      <c r="S988">
        <f t="shared" si="62"/>
        <v>901242.16001706338</v>
      </c>
      <c r="T988">
        <f t="shared" si="63"/>
        <v>998598.22280850133</v>
      </c>
      <c r="V988">
        <f t="shared" si="60"/>
        <v>0</v>
      </c>
      <c r="W988">
        <f t="shared" si="61"/>
        <v>1</v>
      </c>
    </row>
    <row r="989" spans="1:23" x14ac:dyDescent="0.2">
      <c r="A989">
        <v>984</v>
      </c>
      <c r="B989">
        <v>767.87269668860074</v>
      </c>
      <c r="C989">
        <v>3974.2581514616095</v>
      </c>
      <c r="D989">
        <v>1096.4469522453919</v>
      </c>
      <c r="E989">
        <v>1173.6393932858771</v>
      </c>
      <c r="F989">
        <v>0.94296005026209184</v>
      </c>
      <c r="G989">
        <v>0.76212982371823579</v>
      </c>
      <c r="H989">
        <v>9.1010972490077283E-3</v>
      </c>
      <c r="I989">
        <v>0.16019752765629491</v>
      </c>
      <c r="J989">
        <v>0.49265847453602102</v>
      </c>
      <c r="L989">
        <v>15846.337496326691</v>
      </c>
      <c r="M989">
        <v>10.306200032037935</v>
      </c>
      <c r="N989">
        <v>9.2957465909049528</v>
      </c>
      <c r="O989">
        <v>25225.094084872155</v>
      </c>
      <c r="P989">
        <v>11.512035736129425</v>
      </c>
      <c r="Q989">
        <v>10.55927382968774</v>
      </c>
      <c r="S989">
        <f t="shared" si="62"/>
        <v>913728.32159416866</v>
      </c>
      <c r="T989">
        <f t="shared" si="63"/>
        <v>1030702.2888839019</v>
      </c>
      <c r="V989">
        <f t="shared" si="60"/>
        <v>0</v>
      </c>
      <c r="W989">
        <f t="shared" si="61"/>
        <v>1</v>
      </c>
    </row>
    <row r="990" spans="1:23" x14ac:dyDescent="0.2">
      <c r="A990">
        <v>985</v>
      </c>
      <c r="B990">
        <v>509.6240357666905</v>
      </c>
      <c r="C990">
        <v>2934.7374178193372</v>
      </c>
      <c r="D990">
        <v>962.62110886858716</v>
      </c>
      <c r="E990">
        <v>1372.0919088235028</v>
      </c>
      <c r="F990">
        <v>0.95472260818248023</v>
      </c>
      <c r="G990">
        <v>0.7797536306136793</v>
      </c>
      <c r="H990">
        <v>1.084682707364977E-2</v>
      </c>
      <c r="I990">
        <v>0.14221672112968078</v>
      </c>
      <c r="J990">
        <v>0.42934962492220374</v>
      </c>
      <c r="L990">
        <v>12272.49255536338</v>
      </c>
      <c r="M990">
        <v>10.179942155114187</v>
      </c>
      <c r="N990">
        <v>9.2459449213612093</v>
      </c>
      <c r="O990">
        <v>20029.385248665596</v>
      </c>
      <c r="P990">
        <v>11.578632305467623</v>
      </c>
      <c r="Q990">
        <v>10.739535826003113</v>
      </c>
      <c r="S990">
        <f t="shared" si="62"/>
        <v>912321.99958075758</v>
      </c>
      <c r="T990">
        <f t="shared" si="63"/>
        <v>1053924.1973516457</v>
      </c>
      <c r="V990">
        <f t="shared" si="60"/>
        <v>0</v>
      </c>
      <c r="W990">
        <f t="shared" si="61"/>
        <v>1</v>
      </c>
    </row>
    <row r="991" spans="1:23" x14ac:dyDescent="0.2">
      <c r="A991">
        <v>986</v>
      </c>
      <c r="B991">
        <v>289.99642581491895</v>
      </c>
      <c r="C991">
        <v>3331.2083380992399</v>
      </c>
      <c r="D991">
        <v>794.6753854974146</v>
      </c>
      <c r="E991">
        <v>815.86397635388983</v>
      </c>
      <c r="F991">
        <v>0.90916852971256146</v>
      </c>
      <c r="G991">
        <v>0.79005153855490795</v>
      </c>
      <c r="H991">
        <v>1.0013925500031244E-2</v>
      </c>
      <c r="I991">
        <v>0.14752368056740239</v>
      </c>
      <c r="J991">
        <v>0.54136440869039559</v>
      </c>
      <c r="L991">
        <v>11072.923893927073</v>
      </c>
      <c r="M991">
        <v>10.261815549526251</v>
      </c>
      <c r="N991">
        <v>9.0246517106102608</v>
      </c>
      <c r="O991">
        <v>16800.85838767371</v>
      </c>
      <c r="P991">
        <v>11.305074179262176</v>
      </c>
      <c r="Q991">
        <v>10.049808804318008</v>
      </c>
      <c r="S991">
        <f t="shared" si="62"/>
        <v>891392.24716709903</v>
      </c>
      <c r="T991">
        <f t="shared" si="63"/>
        <v>988180.02204412711</v>
      </c>
      <c r="V991">
        <f t="shared" si="60"/>
        <v>0</v>
      </c>
      <c r="W991">
        <f t="shared" si="61"/>
        <v>1</v>
      </c>
    </row>
    <row r="992" spans="1:23" x14ac:dyDescent="0.2">
      <c r="A992">
        <v>987</v>
      </c>
      <c r="B992">
        <v>470.75516330132837</v>
      </c>
      <c r="C992">
        <v>4024.6306050185985</v>
      </c>
      <c r="D992">
        <v>1117.6371048631472</v>
      </c>
      <c r="E992">
        <v>1105.7490306510147</v>
      </c>
      <c r="F992">
        <v>0.94487932034583255</v>
      </c>
      <c r="G992">
        <v>0.66194499689089314</v>
      </c>
      <c r="H992">
        <v>9.8861728371278847E-3</v>
      </c>
      <c r="I992">
        <v>0.1227094269374209</v>
      </c>
      <c r="J992">
        <v>0.49144842065644373</v>
      </c>
      <c r="L992">
        <v>15475.172093315472</v>
      </c>
      <c r="M992">
        <v>10.581090363852697</v>
      </c>
      <c r="N992">
        <v>9.1931148745208286</v>
      </c>
      <c r="O992">
        <v>23705.821894064669</v>
      </c>
      <c r="P992">
        <v>11.677082806244799</v>
      </c>
      <c r="Q992">
        <v>10.466004886859901</v>
      </c>
      <c r="S992">
        <f t="shared" si="62"/>
        <v>903836.3153587674</v>
      </c>
      <c r="T992">
        <f t="shared" si="63"/>
        <v>1022894.6667919254</v>
      </c>
      <c r="V992">
        <f t="shared" si="60"/>
        <v>0</v>
      </c>
      <c r="W992">
        <f t="shared" si="61"/>
        <v>1</v>
      </c>
    </row>
    <row r="993" spans="1:23" x14ac:dyDescent="0.2">
      <c r="A993">
        <v>988</v>
      </c>
      <c r="B993">
        <v>459.5557927137138</v>
      </c>
      <c r="C993">
        <v>2547.6134513577522</v>
      </c>
      <c r="D993">
        <v>1021.9479164551415</v>
      </c>
      <c r="E993">
        <v>652.29425113251796</v>
      </c>
      <c r="F993">
        <v>0.97347745647326822</v>
      </c>
      <c r="G993">
        <v>0.72196433577454511</v>
      </c>
      <c r="H993">
        <v>1.1721579462636611E-2</v>
      </c>
      <c r="I993">
        <v>0.1446795541721034</v>
      </c>
      <c r="J993">
        <v>0.48166211921754432</v>
      </c>
      <c r="L993">
        <v>10613.482765134115</v>
      </c>
      <c r="M993">
        <v>10.013204555827558</v>
      </c>
      <c r="N993">
        <v>9.0547957226715834</v>
      </c>
      <c r="O993">
        <v>18988.287496761084</v>
      </c>
      <c r="P993">
        <v>11.263526737243382</v>
      </c>
      <c r="Q993">
        <v>10.466018834822819</v>
      </c>
      <c r="S993">
        <f t="shared" si="62"/>
        <v>894866.08950202423</v>
      </c>
      <c r="T993">
        <f t="shared" si="63"/>
        <v>1027613.5959855209</v>
      </c>
      <c r="V993">
        <f t="shared" si="60"/>
        <v>0</v>
      </c>
      <c r="W993">
        <f t="shared" si="61"/>
        <v>1</v>
      </c>
    </row>
    <row r="994" spans="1:23" x14ac:dyDescent="0.2">
      <c r="A994">
        <v>989</v>
      </c>
      <c r="B994">
        <v>318.34596440421768</v>
      </c>
      <c r="C994">
        <v>3208.7933603770198</v>
      </c>
      <c r="D994">
        <v>899.25687923512544</v>
      </c>
      <c r="E994">
        <v>1340.3647260261857</v>
      </c>
      <c r="F994">
        <v>0.95684432552355925</v>
      </c>
      <c r="G994">
        <v>0.75295850829894417</v>
      </c>
      <c r="H994">
        <v>1.067369549148478E-2</v>
      </c>
      <c r="I994">
        <v>0.16868405089151128</v>
      </c>
      <c r="J994">
        <v>0.47002720852910984</v>
      </c>
      <c r="L994">
        <v>10668.183671309063</v>
      </c>
      <c r="M994">
        <v>9.9301260010095458</v>
      </c>
      <c r="N994">
        <v>9.0104754702407881</v>
      </c>
      <c r="O994">
        <v>17481.995044367664</v>
      </c>
      <c r="P994">
        <v>11.279562177064912</v>
      </c>
      <c r="Q994">
        <v>10.448149048249745</v>
      </c>
      <c r="S994">
        <f t="shared" si="62"/>
        <v>890379.36335276975</v>
      </c>
      <c r="T994">
        <f t="shared" si="63"/>
        <v>1027332.9097806069</v>
      </c>
      <c r="V994">
        <f t="shared" si="60"/>
        <v>0</v>
      </c>
      <c r="W994">
        <f t="shared" si="61"/>
        <v>1</v>
      </c>
    </row>
    <row r="995" spans="1:23" x14ac:dyDescent="0.2">
      <c r="A995">
        <v>990</v>
      </c>
      <c r="B995">
        <v>410.75341511886273</v>
      </c>
      <c r="C995">
        <v>2242.3072723617511</v>
      </c>
      <c r="D995">
        <v>1062.5968519814153</v>
      </c>
      <c r="E995">
        <v>658.20322787700547</v>
      </c>
      <c r="F995">
        <v>0.93873313366331834</v>
      </c>
      <c r="G995">
        <v>0.80847930106212895</v>
      </c>
      <c r="H995">
        <v>9.1753137062270933E-3</v>
      </c>
      <c r="I995">
        <v>0.18220921531760437</v>
      </c>
      <c r="J995">
        <v>0.44144379643735537</v>
      </c>
      <c r="L995">
        <v>8350.3615542410171</v>
      </c>
      <c r="M995">
        <v>10.099651281097177</v>
      </c>
      <c r="N995">
        <v>9.200417495993694</v>
      </c>
      <c r="O995">
        <v>18270.28371929593</v>
      </c>
      <c r="P995">
        <v>11.544053834692106</v>
      </c>
      <c r="Q995">
        <v>10.651879843856928</v>
      </c>
      <c r="S995">
        <f t="shared" si="62"/>
        <v>911691.38804512832</v>
      </c>
      <c r="T995">
        <f t="shared" si="63"/>
        <v>1046917.7006663968</v>
      </c>
      <c r="V995">
        <f t="shared" si="60"/>
        <v>0</v>
      </c>
      <c r="W995">
        <f t="shared" si="61"/>
        <v>1</v>
      </c>
    </row>
    <row r="996" spans="1:23" x14ac:dyDescent="0.2">
      <c r="A996">
        <v>991</v>
      </c>
      <c r="B996">
        <v>412.93553526968469</v>
      </c>
      <c r="C996">
        <v>3386.5708581394606</v>
      </c>
      <c r="D996">
        <v>819.61519447442959</v>
      </c>
      <c r="E996">
        <v>830.19400097994901</v>
      </c>
      <c r="F996">
        <v>0.92650938357807933</v>
      </c>
      <c r="G996">
        <v>0.76429538036375178</v>
      </c>
      <c r="H996">
        <v>8.4759707141113649E-3</v>
      </c>
      <c r="I996">
        <v>0.1689792309596867</v>
      </c>
      <c r="J996">
        <v>0.54716738389596487</v>
      </c>
      <c r="L996">
        <v>11095.450377257142</v>
      </c>
      <c r="M996">
        <v>10.358222891841837</v>
      </c>
      <c r="N996">
        <v>9.2418105229530081</v>
      </c>
      <c r="O996">
        <v>17761.479325380795</v>
      </c>
      <c r="P996">
        <v>11.404490340282386</v>
      </c>
      <c r="Q996">
        <v>10.304422613178899</v>
      </c>
      <c r="S996">
        <f t="shared" si="62"/>
        <v>913085.60191804357</v>
      </c>
      <c r="T996">
        <f t="shared" si="63"/>
        <v>1012680.7819925091</v>
      </c>
      <c r="V996">
        <f t="shared" si="60"/>
        <v>0</v>
      </c>
      <c r="W996">
        <f t="shared" si="61"/>
        <v>1</v>
      </c>
    </row>
    <row r="997" spans="1:23" x14ac:dyDescent="0.2">
      <c r="A997">
        <v>992</v>
      </c>
      <c r="B997">
        <v>469.71998866835435</v>
      </c>
      <c r="C997">
        <v>2797.2590132651831</v>
      </c>
      <c r="D997">
        <v>1100.4788693226537</v>
      </c>
      <c r="E997">
        <v>1015.4173086846208</v>
      </c>
      <c r="F997">
        <v>0.96068581300749933</v>
      </c>
      <c r="G997">
        <v>0.67814242982882122</v>
      </c>
      <c r="H997">
        <v>1.0174883791385265E-2</v>
      </c>
      <c r="I997">
        <v>0.18673763133656918</v>
      </c>
      <c r="J997">
        <v>0.47144776224476687</v>
      </c>
      <c r="L997">
        <v>10188.837476890814</v>
      </c>
      <c r="M997">
        <v>9.8631322765249845</v>
      </c>
      <c r="N997">
        <v>8.8517346305836586</v>
      </c>
      <c r="O997">
        <v>19844.429014989932</v>
      </c>
      <c r="P997">
        <v>11.246552081769234</v>
      </c>
      <c r="Q997">
        <v>10.36860342574076</v>
      </c>
      <c r="S997">
        <f t="shared" si="62"/>
        <v>874984.62558147509</v>
      </c>
      <c r="T997">
        <f t="shared" si="63"/>
        <v>1017015.9135590862</v>
      </c>
      <c r="V997">
        <f t="shared" si="60"/>
        <v>0</v>
      </c>
      <c r="W997">
        <f t="shared" si="61"/>
        <v>1</v>
      </c>
    </row>
    <row r="998" spans="1:23" x14ac:dyDescent="0.2">
      <c r="A998">
        <v>993</v>
      </c>
      <c r="B998">
        <v>321.20702449552755</v>
      </c>
      <c r="C998">
        <v>2553.2680539602538</v>
      </c>
      <c r="D998">
        <v>1014.7911747860243</v>
      </c>
      <c r="E998">
        <v>1448.4952823563558</v>
      </c>
      <c r="F998">
        <v>0.95440419634981677</v>
      </c>
      <c r="G998">
        <v>0.80566036094976479</v>
      </c>
      <c r="H998">
        <v>1.0290176473903999E-2</v>
      </c>
      <c r="I998">
        <v>0.15925179048855542</v>
      </c>
      <c r="J998">
        <v>0.44919080306964632</v>
      </c>
      <c r="L998">
        <v>9314.2390508319368</v>
      </c>
      <c r="M998">
        <v>10.090259975050918</v>
      </c>
      <c r="N998">
        <v>9.2633800290966555</v>
      </c>
      <c r="O998">
        <v>17747.790785827896</v>
      </c>
      <c r="P998">
        <v>11.471122267756893</v>
      </c>
      <c r="Q998">
        <v>10.699240891409849</v>
      </c>
      <c r="S998">
        <f t="shared" si="62"/>
        <v>917023.76385883358</v>
      </c>
      <c r="T998">
        <f t="shared" si="63"/>
        <v>1052176.298355157</v>
      </c>
      <c r="V998">
        <f t="shared" si="60"/>
        <v>0</v>
      </c>
      <c r="W998">
        <f t="shared" si="61"/>
        <v>1</v>
      </c>
    </row>
    <row r="999" spans="1:23" x14ac:dyDescent="0.2">
      <c r="A999">
        <v>994</v>
      </c>
      <c r="B999">
        <v>624.76330838359934</v>
      </c>
      <c r="C999">
        <v>2015.2710062584185</v>
      </c>
      <c r="D999">
        <v>930.9058186775701</v>
      </c>
      <c r="E999">
        <v>835.17330625081217</v>
      </c>
      <c r="F999">
        <v>0.97150306012803966</v>
      </c>
      <c r="G999">
        <v>0.73589147391254295</v>
      </c>
      <c r="H999">
        <v>1.1137412992837414E-2</v>
      </c>
      <c r="I999">
        <v>0.14713053416227717</v>
      </c>
      <c r="J999">
        <v>0.49495518648776671</v>
      </c>
      <c r="L999">
        <v>10342.217047726945</v>
      </c>
      <c r="M999">
        <v>10.076091218824621</v>
      </c>
      <c r="N999">
        <v>9.1588895226203118</v>
      </c>
      <c r="O999">
        <v>18679.444309782244</v>
      </c>
      <c r="P999">
        <v>11.281673900051988</v>
      </c>
      <c r="Q999">
        <v>10.50354781931345</v>
      </c>
      <c r="S999">
        <f t="shared" si="62"/>
        <v>905546.73521430418</v>
      </c>
      <c r="T999">
        <f t="shared" si="63"/>
        <v>1031675.3376215629</v>
      </c>
      <c r="V999">
        <f t="shared" si="60"/>
        <v>0</v>
      </c>
      <c r="W999">
        <f t="shared" si="61"/>
        <v>1</v>
      </c>
    </row>
    <row r="1000" spans="1:23" x14ac:dyDescent="0.2">
      <c r="A1000">
        <v>995</v>
      </c>
      <c r="B1000">
        <v>483.97748450447261</v>
      </c>
      <c r="C1000">
        <v>2952.8768462506664</v>
      </c>
      <c r="D1000">
        <v>1226.6396512243193</v>
      </c>
      <c r="E1000">
        <v>1260.7131643446228</v>
      </c>
      <c r="F1000">
        <v>0.96884505339823446</v>
      </c>
      <c r="G1000">
        <v>0.67225727759596876</v>
      </c>
      <c r="H1000">
        <v>9.2064285161445377E-3</v>
      </c>
      <c r="I1000">
        <v>0.14919387460849176</v>
      </c>
      <c r="J1000">
        <v>0.47283041748031551</v>
      </c>
      <c r="L1000">
        <v>11557.96652996195</v>
      </c>
      <c r="M1000">
        <v>10.393744840088988</v>
      </c>
      <c r="N1000">
        <v>9.3412786928496452</v>
      </c>
      <c r="O1000">
        <v>22296.542960777155</v>
      </c>
      <c r="P1000">
        <v>11.628821550943551</v>
      </c>
      <c r="Q1000">
        <v>10.768032159199652</v>
      </c>
      <c r="S1000">
        <f t="shared" si="62"/>
        <v>922569.90275500261</v>
      </c>
      <c r="T1000">
        <f t="shared" si="63"/>
        <v>1054506.672959188</v>
      </c>
      <c r="V1000">
        <f t="shared" si="60"/>
        <v>0</v>
      </c>
      <c r="W1000">
        <f t="shared" si="61"/>
        <v>1</v>
      </c>
    </row>
    <row r="1001" spans="1:23" x14ac:dyDescent="0.2">
      <c r="A1001">
        <v>996</v>
      </c>
      <c r="B1001">
        <v>453.42472313651552</v>
      </c>
      <c r="C1001">
        <v>3564.9759946361391</v>
      </c>
      <c r="D1001">
        <v>814.25185000207239</v>
      </c>
      <c r="E1001">
        <v>1314.2534560558743</v>
      </c>
      <c r="F1001">
        <v>0.96086547961194602</v>
      </c>
      <c r="G1001">
        <v>0.7707046231135759</v>
      </c>
      <c r="H1001">
        <v>1.2055191267341793E-2</v>
      </c>
      <c r="I1001">
        <v>0.15734087811768849</v>
      </c>
      <c r="J1001">
        <v>0.53064955477004039</v>
      </c>
      <c r="L1001">
        <v>13206.606522485883</v>
      </c>
      <c r="M1001">
        <v>9.8182647915704511</v>
      </c>
      <c r="N1001">
        <v>8.9323306725947411</v>
      </c>
      <c r="O1001">
        <v>18919.219830626276</v>
      </c>
      <c r="P1001">
        <v>10.954928052253312</v>
      </c>
      <c r="Q1001">
        <v>10.144087377765938</v>
      </c>
      <c r="S1001">
        <f t="shared" si="62"/>
        <v>880026.46073698823</v>
      </c>
      <c r="T1001">
        <f t="shared" si="63"/>
        <v>995489.51794596761</v>
      </c>
      <c r="V1001">
        <f t="shared" si="60"/>
        <v>0</v>
      </c>
      <c r="W1001">
        <f t="shared" si="61"/>
        <v>1</v>
      </c>
    </row>
    <row r="1002" spans="1:23" x14ac:dyDescent="0.2">
      <c r="A1002">
        <v>997</v>
      </c>
      <c r="B1002">
        <v>540.46808567648566</v>
      </c>
      <c r="C1002">
        <v>4363.6254608779936</v>
      </c>
      <c r="D1002">
        <v>936.86475511528477</v>
      </c>
      <c r="E1002">
        <v>949.57874360809092</v>
      </c>
      <c r="F1002">
        <v>0.94338783654876934</v>
      </c>
      <c r="G1002">
        <v>0.90727108060041162</v>
      </c>
      <c r="H1002">
        <v>8.5848459962417027E-3</v>
      </c>
      <c r="I1002">
        <v>0.16566224738919688</v>
      </c>
      <c r="J1002">
        <v>0.57364807041025334</v>
      </c>
      <c r="L1002">
        <v>14479.403119021594</v>
      </c>
      <c r="M1002">
        <v>10.363406273435844</v>
      </c>
      <c r="N1002">
        <v>9.6961540724472819</v>
      </c>
      <c r="O1002">
        <v>21887.374324895478</v>
      </c>
      <c r="P1002">
        <v>11.329161577764241</v>
      </c>
      <c r="Q1002">
        <v>10.626675879445799</v>
      </c>
      <c r="S1002">
        <f t="shared" si="62"/>
        <v>955136.00412570662</v>
      </c>
      <c r="T1002">
        <f t="shared" si="63"/>
        <v>1040780.2136196843</v>
      </c>
      <c r="V1002">
        <f t="shared" si="60"/>
        <v>0</v>
      </c>
      <c r="W1002">
        <f t="shared" si="61"/>
        <v>1</v>
      </c>
    </row>
    <row r="1003" spans="1:23" x14ac:dyDescent="0.2">
      <c r="A1003">
        <v>998</v>
      </c>
      <c r="B1003">
        <v>278.86517607198584</v>
      </c>
      <c r="C1003">
        <v>2699.2220151560159</v>
      </c>
      <c r="D1003">
        <v>997.23843136909625</v>
      </c>
      <c r="E1003">
        <v>672.55300629040858</v>
      </c>
      <c r="F1003">
        <v>0.98428686803761711</v>
      </c>
      <c r="G1003">
        <v>0.76452615838849303</v>
      </c>
      <c r="H1003">
        <v>1.1246833344812711E-2</v>
      </c>
      <c r="I1003">
        <v>0.14772361367995582</v>
      </c>
      <c r="J1003">
        <v>0.5388525289612871</v>
      </c>
      <c r="L1003">
        <v>9549.1132306378859</v>
      </c>
      <c r="M1003">
        <v>10.051787428490847</v>
      </c>
      <c r="N1003">
        <v>9.3054767225190975</v>
      </c>
      <c r="O1003">
        <v>17289.963413993501</v>
      </c>
      <c r="P1003">
        <v>11.123998712202635</v>
      </c>
      <c r="Q1003">
        <v>10.502518031673</v>
      </c>
      <c r="S1003">
        <f t="shared" si="62"/>
        <v>920998.55902127188</v>
      </c>
      <c r="T1003">
        <f t="shared" si="63"/>
        <v>1032961.8397533066</v>
      </c>
      <c r="V1003">
        <f t="shared" si="60"/>
        <v>0</v>
      </c>
      <c r="W1003">
        <f t="shared" si="61"/>
        <v>1</v>
      </c>
    </row>
    <row r="1004" spans="1:23" x14ac:dyDescent="0.2">
      <c r="A1004">
        <v>999</v>
      </c>
      <c r="B1004">
        <v>703.8759258935454</v>
      </c>
      <c r="C1004">
        <v>3369.5749920973294</v>
      </c>
      <c r="D1004">
        <v>975.26350647816957</v>
      </c>
      <c r="E1004">
        <v>906.8559657575687</v>
      </c>
      <c r="F1004">
        <v>0.91186623317477677</v>
      </c>
      <c r="G1004">
        <v>0.79714221972995625</v>
      </c>
      <c r="H1004">
        <v>1.0898969296503689E-2</v>
      </c>
      <c r="I1004">
        <v>0.14060268120016206</v>
      </c>
      <c r="J1004">
        <v>0.49350414141223942</v>
      </c>
      <c r="L1004">
        <v>14792.385136995716</v>
      </c>
      <c r="M1004">
        <v>10.190566455137992</v>
      </c>
      <c r="N1004">
        <v>8.9794816883087076</v>
      </c>
      <c r="O1004">
        <v>22669.214381807567</v>
      </c>
      <c r="P1004">
        <v>11.373137039164993</v>
      </c>
      <c r="Q1004">
        <v>10.14535479547342</v>
      </c>
      <c r="S1004">
        <f t="shared" si="62"/>
        <v>883155.78369387507</v>
      </c>
      <c r="T1004">
        <f t="shared" si="63"/>
        <v>991866.26516553434</v>
      </c>
      <c r="V1004">
        <f t="shared" si="60"/>
        <v>0</v>
      </c>
      <c r="W1004">
        <f t="shared" si="61"/>
        <v>1</v>
      </c>
    </row>
    <row r="1005" spans="1:23" x14ac:dyDescent="0.2">
      <c r="A1005">
        <v>1000</v>
      </c>
      <c r="B1005">
        <v>637.14959359561431</v>
      </c>
      <c r="C1005">
        <v>3100.144593237349</v>
      </c>
      <c r="D1005">
        <v>1066.9683159749827</v>
      </c>
      <c r="E1005">
        <v>1238.6565384188855</v>
      </c>
      <c r="F1005">
        <v>0.95481554646488309</v>
      </c>
      <c r="G1005">
        <v>0.59093471854375745</v>
      </c>
      <c r="H1005">
        <v>1.047320988342695E-2</v>
      </c>
      <c r="I1005">
        <v>0.1447550675582234</v>
      </c>
      <c r="J1005">
        <v>0.4712289205030834</v>
      </c>
      <c r="L1005">
        <v>13477.605163857161</v>
      </c>
      <c r="M1005">
        <v>10.2127403225963</v>
      </c>
      <c r="N1005">
        <v>8.7913404295258939</v>
      </c>
      <c r="O1005">
        <v>22450.354014724871</v>
      </c>
      <c r="P1005">
        <v>11.472368773593136</v>
      </c>
      <c r="Q1005">
        <v>10.28411336152281</v>
      </c>
      <c r="S1005">
        <f t="shared" si="62"/>
        <v>865656.43778873223</v>
      </c>
      <c r="T1005">
        <f t="shared" si="63"/>
        <v>1005960.9821375561</v>
      </c>
      <c r="V1005">
        <f>IF(S1005=MAX($S1005:$T1005),1,0)</f>
        <v>0</v>
      </c>
      <c r="W1005">
        <f>IF(T1005=MAX($S1005:$T1005),1,0)</f>
        <v>1</v>
      </c>
    </row>
    <row r="1006" spans="1:23" x14ac:dyDescent="0.2">
      <c r="L1006" t="s">
        <v>86</v>
      </c>
      <c r="M1006" t="s">
        <v>70</v>
      </c>
      <c r="N1006" t="s">
        <v>60</v>
      </c>
      <c r="O1006" t="s">
        <v>86</v>
      </c>
      <c r="P1006" t="s">
        <v>70</v>
      </c>
      <c r="Q1006" t="s">
        <v>60</v>
      </c>
    </row>
    <row r="1007" spans="1:23" x14ac:dyDescent="0.2">
      <c r="A1007" t="s">
        <v>87</v>
      </c>
      <c r="B1007">
        <f>AVERAGE(B6:B1005)</f>
        <v>492.40418300738406</v>
      </c>
      <c r="C1007">
        <f t="shared" ref="C1007:Q1007" si="64">AVERAGE(C6:C1005)</f>
        <v>2972.0693572989471</v>
      </c>
      <c r="D1007">
        <f t="shared" si="64"/>
        <v>998.23381704473286</v>
      </c>
      <c r="E1007">
        <f t="shared" si="64"/>
        <v>1003.4865619674342</v>
      </c>
      <c r="F1007">
        <f t="shared" si="64"/>
        <v>0.95033009454836403</v>
      </c>
      <c r="G1007">
        <f t="shared" si="64"/>
        <v>0.75145363524241193</v>
      </c>
      <c r="H1007">
        <f t="shared" si="64"/>
        <v>1.0026713139637164E-2</v>
      </c>
      <c r="I1007">
        <f t="shared" si="64"/>
        <v>0.15020632367862877</v>
      </c>
      <c r="J1007">
        <f t="shared" si="64"/>
        <v>0.50096998392132186</v>
      </c>
      <c r="L1007">
        <f t="shared" si="64"/>
        <v>11752.758649086874</v>
      </c>
      <c r="M1007">
        <f t="shared" si="64"/>
        <v>10.265220323057203</v>
      </c>
      <c r="N1007">
        <f t="shared" si="64"/>
        <v>9.2476357514567713</v>
      </c>
      <c r="O1007">
        <f t="shared" si="64"/>
        <v>20004.638202246228</v>
      </c>
      <c r="P1007">
        <f t="shared" si="64"/>
        <v>11.432131713444097</v>
      </c>
      <c r="Q1007">
        <f t="shared" si="64"/>
        <v>10.501679498140932</v>
      </c>
    </row>
    <row r="1008" spans="1:23" x14ac:dyDescent="0.2">
      <c r="L1008" t="s">
        <v>66</v>
      </c>
      <c r="O1008" t="s">
        <v>73</v>
      </c>
    </row>
  </sheetData>
  <mergeCells count="3">
    <mergeCell ref="H2:I2"/>
    <mergeCell ref="F2:G2"/>
    <mergeCell ref="B2:D2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Diagram</vt:lpstr>
      <vt:lpstr>Analysis</vt:lpstr>
      <vt:lpstr>Parameters</vt:lpstr>
      <vt:lpstr>No drug</vt:lpstr>
      <vt:lpstr>Drug</vt:lpstr>
      <vt:lpstr>PSA</vt:lpstr>
      <vt:lpstr>CEA curve</vt:lpstr>
      <vt:lpstr>cAsymp</vt:lpstr>
      <vt:lpstr>cDeath</vt:lpstr>
      <vt:lpstr>cDR</vt:lpstr>
      <vt:lpstr>cDrug</vt:lpstr>
      <vt:lpstr>cProg</vt:lpstr>
      <vt:lpstr>Eff</vt:lpstr>
      <vt:lpstr>ini_age</vt:lpstr>
      <vt:lpstr>natDeath55</vt:lpstr>
      <vt:lpstr>natDeath65</vt:lpstr>
      <vt:lpstr>natDeath75</vt:lpstr>
      <vt:lpstr>natDeath85</vt:lpstr>
      <vt:lpstr>oDR</vt:lpstr>
      <vt:lpstr>tpDcm</vt:lpstr>
      <vt:lpstr>tpProg</vt:lpstr>
      <vt:lpstr>uAsymp</vt:lpstr>
      <vt:lpstr>uProg</vt:lpstr>
    </vt:vector>
  </TitlesOfParts>
  <Company>Oxford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Jleal</dc:creator>
  <cp:lastModifiedBy>Jose Leal</cp:lastModifiedBy>
  <dcterms:created xsi:type="dcterms:W3CDTF">2007-11-14T13:03:57Z</dcterms:created>
  <dcterms:modified xsi:type="dcterms:W3CDTF">2014-06-13T16:03:23Z</dcterms:modified>
</cp:coreProperties>
</file>