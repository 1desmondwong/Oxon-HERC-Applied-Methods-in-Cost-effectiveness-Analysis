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05" yWindow="-60" windowWidth="15480" windowHeight="11640" activeTab="1"/>
  </bookViews>
  <sheets>
    <sheet name="Diagram" sheetId="1" r:id="rId1"/>
    <sheet name="Analysis" sheetId="5" r:id="rId2"/>
    <sheet name="Parameters" sheetId="2" r:id="rId3"/>
    <sheet name="No drug" sheetId="3" r:id="rId4"/>
    <sheet name="Drug" sheetId="4" r:id="rId5"/>
    <sheet name="PSA" sheetId="6" r:id="rId6"/>
    <sheet name="CEA curve" sheetId="8" r:id="rId7"/>
  </sheets>
  <externalReferences>
    <externalReference r:id="rId8"/>
  </externalReferences>
  <definedNames>
    <definedName name="cAsymp">Parameters!$B$12</definedName>
    <definedName name="cDeath">Parameters!$B$15</definedName>
    <definedName name="cDR">Parameters!$B$38</definedName>
    <definedName name="cDrug">Parameters!$B$14</definedName>
    <definedName name="cProg">Parameters!$B$13</definedName>
    <definedName name="cRatio">PSA!#REF!</definedName>
    <definedName name="Eff">Parameters!$B$33</definedName>
    <definedName name="ini_age">Parameters!$B$35</definedName>
    <definedName name="natDeath55">Parameters!$B$27</definedName>
    <definedName name="natDeath65">Parameters!$B$28</definedName>
    <definedName name="natDeath75">Parameters!$B$29</definedName>
    <definedName name="natDeath85">Parameters!$B$30</definedName>
    <definedName name="oDR">Parameters!$B$37</definedName>
    <definedName name="s">'[1]Hazard function'!$F$32</definedName>
    <definedName name="tpDcm">Parameters!$B$26</definedName>
    <definedName name="tpProg">Parameters!$B$25</definedName>
    <definedName name="uAsymp">Parameters!$B$19</definedName>
    <definedName name="uProg">Parameters!$B$20</definedName>
  </definedNames>
  <calcPr calcId="145621"/>
</workbook>
</file>

<file path=xl/calcChain.xml><?xml version="1.0" encoding="utf-8"?>
<calcChain xmlns="http://schemas.openxmlformats.org/spreadsheetml/2006/main">
  <c r="T1004" i="6" l="1"/>
  <c r="S1004" i="6"/>
  <c r="T1003" i="6"/>
  <c r="S1003" i="6"/>
  <c r="T1002" i="6"/>
  <c r="S1002" i="6"/>
  <c r="T1001" i="6"/>
  <c r="S1001" i="6"/>
  <c r="T1000" i="6"/>
  <c r="S1000" i="6"/>
  <c r="T999" i="6"/>
  <c r="S999" i="6"/>
  <c r="T998" i="6"/>
  <c r="S998" i="6"/>
  <c r="T997" i="6"/>
  <c r="S997" i="6"/>
  <c r="T996" i="6"/>
  <c r="S996" i="6"/>
  <c r="T995" i="6"/>
  <c r="S995" i="6"/>
  <c r="T994" i="6"/>
  <c r="S994" i="6"/>
  <c r="T993" i="6"/>
  <c r="S993" i="6"/>
  <c r="T992" i="6"/>
  <c r="S992" i="6"/>
  <c r="T991" i="6"/>
  <c r="S991" i="6"/>
  <c r="T990" i="6"/>
  <c r="S990" i="6"/>
  <c r="T989" i="6"/>
  <c r="S989" i="6"/>
  <c r="T988" i="6"/>
  <c r="S988" i="6"/>
  <c r="T987" i="6"/>
  <c r="S987" i="6"/>
  <c r="T986" i="6"/>
  <c r="S986" i="6"/>
  <c r="T985" i="6"/>
  <c r="S985" i="6"/>
  <c r="T984" i="6"/>
  <c r="S984" i="6"/>
  <c r="T983" i="6"/>
  <c r="S983" i="6"/>
  <c r="T982" i="6"/>
  <c r="S982" i="6"/>
  <c r="T981" i="6"/>
  <c r="S981" i="6"/>
  <c r="T980" i="6"/>
  <c r="S980" i="6"/>
  <c r="T979" i="6"/>
  <c r="S979" i="6"/>
  <c r="T978" i="6"/>
  <c r="S978" i="6"/>
  <c r="T977" i="6"/>
  <c r="S977" i="6"/>
  <c r="T976" i="6"/>
  <c r="S976" i="6"/>
  <c r="T975" i="6"/>
  <c r="S975" i="6"/>
  <c r="T974" i="6"/>
  <c r="S974" i="6"/>
  <c r="T973" i="6"/>
  <c r="S973" i="6"/>
  <c r="T972" i="6"/>
  <c r="S972" i="6"/>
  <c r="T971" i="6"/>
  <c r="S971" i="6"/>
  <c r="T970" i="6"/>
  <c r="S970" i="6"/>
  <c r="T969" i="6"/>
  <c r="S969" i="6"/>
  <c r="T968" i="6"/>
  <c r="S968" i="6"/>
  <c r="T967" i="6"/>
  <c r="S967" i="6"/>
  <c r="T966" i="6"/>
  <c r="S966" i="6"/>
  <c r="T965" i="6"/>
  <c r="S965" i="6"/>
  <c r="T964" i="6"/>
  <c r="S964" i="6"/>
  <c r="T963" i="6"/>
  <c r="S963" i="6"/>
  <c r="T962" i="6"/>
  <c r="S962" i="6"/>
  <c r="T961" i="6"/>
  <c r="S961" i="6"/>
  <c r="T960" i="6"/>
  <c r="S960" i="6"/>
  <c r="T959" i="6"/>
  <c r="S959" i="6"/>
  <c r="T958" i="6"/>
  <c r="S958" i="6"/>
  <c r="T957" i="6"/>
  <c r="S957" i="6"/>
  <c r="T956" i="6"/>
  <c r="S956" i="6"/>
  <c r="T955" i="6"/>
  <c r="S955" i="6"/>
  <c r="T954" i="6"/>
  <c r="S954" i="6"/>
  <c r="T953" i="6"/>
  <c r="S953" i="6"/>
  <c r="T952" i="6"/>
  <c r="S952" i="6"/>
  <c r="T951" i="6"/>
  <c r="S951" i="6"/>
  <c r="T950" i="6"/>
  <c r="S950" i="6"/>
  <c r="T949" i="6"/>
  <c r="S949" i="6"/>
  <c r="T948" i="6"/>
  <c r="S948" i="6"/>
  <c r="T947" i="6"/>
  <c r="S947" i="6"/>
  <c r="T946" i="6"/>
  <c r="S946" i="6"/>
  <c r="T945" i="6"/>
  <c r="S945" i="6"/>
  <c r="T944" i="6"/>
  <c r="S944" i="6"/>
  <c r="T943" i="6"/>
  <c r="S943" i="6"/>
  <c r="T942" i="6"/>
  <c r="S942" i="6"/>
  <c r="T941" i="6"/>
  <c r="S941" i="6"/>
  <c r="T940" i="6"/>
  <c r="S940" i="6"/>
  <c r="T939" i="6"/>
  <c r="S939" i="6"/>
  <c r="T938" i="6"/>
  <c r="S938" i="6"/>
  <c r="T937" i="6"/>
  <c r="S937" i="6"/>
  <c r="T936" i="6"/>
  <c r="S936" i="6"/>
  <c r="T935" i="6"/>
  <c r="S935" i="6"/>
  <c r="T934" i="6"/>
  <c r="S934" i="6"/>
  <c r="T933" i="6"/>
  <c r="S933" i="6"/>
  <c r="T932" i="6"/>
  <c r="S932" i="6"/>
  <c r="T931" i="6"/>
  <c r="S931" i="6"/>
  <c r="T930" i="6"/>
  <c r="S930" i="6"/>
  <c r="T929" i="6"/>
  <c r="S929" i="6"/>
  <c r="T928" i="6"/>
  <c r="S928" i="6"/>
  <c r="T927" i="6"/>
  <c r="S927" i="6"/>
  <c r="T926" i="6"/>
  <c r="S926" i="6"/>
  <c r="T925" i="6"/>
  <c r="S925" i="6"/>
  <c r="T924" i="6"/>
  <c r="S924" i="6"/>
  <c r="T923" i="6"/>
  <c r="S923" i="6"/>
  <c r="T922" i="6"/>
  <c r="S922" i="6"/>
  <c r="T921" i="6"/>
  <c r="S921" i="6"/>
  <c r="T920" i="6"/>
  <c r="S920" i="6"/>
  <c r="T919" i="6"/>
  <c r="S919" i="6"/>
  <c r="T918" i="6"/>
  <c r="S918" i="6"/>
  <c r="T917" i="6"/>
  <c r="S917" i="6"/>
  <c r="T916" i="6"/>
  <c r="S916" i="6"/>
  <c r="T915" i="6"/>
  <c r="S915" i="6"/>
  <c r="T914" i="6"/>
  <c r="S914" i="6"/>
  <c r="T913" i="6"/>
  <c r="S913" i="6"/>
  <c r="T912" i="6"/>
  <c r="S912" i="6"/>
  <c r="T911" i="6"/>
  <c r="S911" i="6"/>
  <c r="T910" i="6"/>
  <c r="S910" i="6"/>
  <c r="T909" i="6"/>
  <c r="S909" i="6"/>
  <c r="T908" i="6"/>
  <c r="S908" i="6"/>
  <c r="T907" i="6"/>
  <c r="S907" i="6"/>
  <c r="T906" i="6"/>
  <c r="S906" i="6"/>
  <c r="T905" i="6"/>
  <c r="S905" i="6"/>
  <c r="T904" i="6"/>
  <c r="S904" i="6"/>
  <c r="T903" i="6"/>
  <c r="S903" i="6"/>
  <c r="T902" i="6"/>
  <c r="S902" i="6"/>
  <c r="T901" i="6"/>
  <c r="S901" i="6"/>
  <c r="T900" i="6"/>
  <c r="S900" i="6"/>
  <c r="T899" i="6"/>
  <c r="S899" i="6"/>
  <c r="T898" i="6"/>
  <c r="S898" i="6"/>
  <c r="T897" i="6"/>
  <c r="S897" i="6"/>
  <c r="T896" i="6"/>
  <c r="S896" i="6"/>
  <c r="T895" i="6"/>
  <c r="S895" i="6"/>
  <c r="T894" i="6"/>
  <c r="S894" i="6"/>
  <c r="T893" i="6"/>
  <c r="S893" i="6"/>
  <c r="T892" i="6"/>
  <c r="S892" i="6"/>
  <c r="T891" i="6"/>
  <c r="S891" i="6"/>
  <c r="T890" i="6"/>
  <c r="S890" i="6"/>
  <c r="T889" i="6"/>
  <c r="S889" i="6"/>
  <c r="T888" i="6"/>
  <c r="S888" i="6"/>
  <c r="T887" i="6"/>
  <c r="S887" i="6"/>
  <c r="T886" i="6"/>
  <c r="S886" i="6"/>
  <c r="T885" i="6"/>
  <c r="S885" i="6"/>
  <c r="T884" i="6"/>
  <c r="S884" i="6"/>
  <c r="T883" i="6"/>
  <c r="S883" i="6"/>
  <c r="T882" i="6"/>
  <c r="S882" i="6"/>
  <c r="T881" i="6"/>
  <c r="S881" i="6"/>
  <c r="T880" i="6"/>
  <c r="S880" i="6"/>
  <c r="T879" i="6"/>
  <c r="S879" i="6"/>
  <c r="T878" i="6"/>
  <c r="S878" i="6"/>
  <c r="T877" i="6"/>
  <c r="S877" i="6"/>
  <c r="T876" i="6"/>
  <c r="S876" i="6"/>
  <c r="T875" i="6"/>
  <c r="S875" i="6"/>
  <c r="T874" i="6"/>
  <c r="S874" i="6"/>
  <c r="T873" i="6"/>
  <c r="S873" i="6"/>
  <c r="T872" i="6"/>
  <c r="S872" i="6"/>
  <c r="T871" i="6"/>
  <c r="S871" i="6"/>
  <c r="T870" i="6"/>
  <c r="S870" i="6"/>
  <c r="T869" i="6"/>
  <c r="S869" i="6"/>
  <c r="T868" i="6"/>
  <c r="S868" i="6"/>
  <c r="T867" i="6"/>
  <c r="S867" i="6"/>
  <c r="T866" i="6"/>
  <c r="S866" i="6"/>
  <c r="T865" i="6"/>
  <c r="S865" i="6"/>
  <c r="T864" i="6"/>
  <c r="S864" i="6"/>
  <c r="T863" i="6"/>
  <c r="S863" i="6"/>
  <c r="T862" i="6"/>
  <c r="S862" i="6"/>
  <c r="T861" i="6"/>
  <c r="S861" i="6"/>
  <c r="T860" i="6"/>
  <c r="S860" i="6"/>
  <c r="T859" i="6"/>
  <c r="S859" i="6"/>
  <c r="T858" i="6"/>
  <c r="S858" i="6"/>
  <c r="T857" i="6"/>
  <c r="S857" i="6"/>
  <c r="T856" i="6"/>
  <c r="S856" i="6"/>
  <c r="T855" i="6"/>
  <c r="S855" i="6"/>
  <c r="T854" i="6"/>
  <c r="S854" i="6"/>
  <c r="T853" i="6"/>
  <c r="S853" i="6"/>
  <c r="T852" i="6"/>
  <c r="S852" i="6"/>
  <c r="T851" i="6"/>
  <c r="S851" i="6"/>
  <c r="T850" i="6"/>
  <c r="S850" i="6"/>
  <c r="T849" i="6"/>
  <c r="S849" i="6"/>
  <c r="T848" i="6"/>
  <c r="S848" i="6"/>
  <c r="T847" i="6"/>
  <c r="S847" i="6"/>
  <c r="T846" i="6"/>
  <c r="S846" i="6"/>
  <c r="T845" i="6"/>
  <c r="S845" i="6"/>
  <c r="T844" i="6"/>
  <c r="S844" i="6"/>
  <c r="T843" i="6"/>
  <c r="S843" i="6"/>
  <c r="T842" i="6"/>
  <c r="S842" i="6"/>
  <c r="T841" i="6"/>
  <c r="S841" i="6"/>
  <c r="T840" i="6"/>
  <c r="S840" i="6"/>
  <c r="T839" i="6"/>
  <c r="S839" i="6"/>
  <c r="T838" i="6"/>
  <c r="S838" i="6"/>
  <c r="T837" i="6"/>
  <c r="S837" i="6"/>
  <c r="T836" i="6"/>
  <c r="S836" i="6"/>
  <c r="T835" i="6"/>
  <c r="S835" i="6"/>
  <c r="T834" i="6"/>
  <c r="S834" i="6"/>
  <c r="T833" i="6"/>
  <c r="S833" i="6"/>
  <c r="T832" i="6"/>
  <c r="S832" i="6"/>
  <c r="T831" i="6"/>
  <c r="S831" i="6"/>
  <c r="T830" i="6"/>
  <c r="S830" i="6"/>
  <c r="T829" i="6"/>
  <c r="S829" i="6"/>
  <c r="T828" i="6"/>
  <c r="S828" i="6"/>
  <c r="T827" i="6"/>
  <c r="S827" i="6"/>
  <c r="T826" i="6"/>
  <c r="S826" i="6"/>
  <c r="T825" i="6"/>
  <c r="S825" i="6"/>
  <c r="T824" i="6"/>
  <c r="S824" i="6"/>
  <c r="T823" i="6"/>
  <c r="S823" i="6"/>
  <c r="T822" i="6"/>
  <c r="S822" i="6"/>
  <c r="T821" i="6"/>
  <c r="S821" i="6"/>
  <c r="T820" i="6"/>
  <c r="S820" i="6"/>
  <c r="T819" i="6"/>
  <c r="S819" i="6"/>
  <c r="T818" i="6"/>
  <c r="S818" i="6"/>
  <c r="T817" i="6"/>
  <c r="S817" i="6"/>
  <c r="T816" i="6"/>
  <c r="S816" i="6"/>
  <c r="T815" i="6"/>
  <c r="S815" i="6"/>
  <c r="T814" i="6"/>
  <c r="S814" i="6"/>
  <c r="T813" i="6"/>
  <c r="S813" i="6"/>
  <c r="T812" i="6"/>
  <c r="S812" i="6"/>
  <c r="T811" i="6"/>
  <c r="S811" i="6"/>
  <c r="T810" i="6"/>
  <c r="S810" i="6"/>
  <c r="T809" i="6"/>
  <c r="S809" i="6"/>
  <c r="T808" i="6"/>
  <c r="S808" i="6"/>
  <c r="T807" i="6"/>
  <c r="S807" i="6"/>
  <c r="T806" i="6"/>
  <c r="S806" i="6"/>
  <c r="T805" i="6"/>
  <c r="S805" i="6"/>
  <c r="T804" i="6"/>
  <c r="S804" i="6"/>
  <c r="T803" i="6"/>
  <c r="S803" i="6"/>
  <c r="T802" i="6"/>
  <c r="S802" i="6"/>
  <c r="T801" i="6"/>
  <c r="S801" i="6"/>
  <c r="T800" i="6"/>
  <c r="S800" i="6"/>
  <c r="T799" i="6"/>
  <c r="S799" i="6"/>
  <c r="T798" i="6"/>
  <c r="S798" i="6"/>
  <c r="T797" i="6"/>
  <c r="S797" i="6"/>
  <c r="T796" i="6"/>
  <c r="S796" i="6"/>
  <c r="T795" i="6"/>
  <c r="S795" i="6"/>
  <c r="T794" i="6"/>
  <c r="S794" i="6"/>
  <c r="T793" i="6"/>
  <c r="S793" i="6"/>
  <c r="T792" i="6"/>
  <c r="S792" i="6"/>
  <c r="T791" i="6"/>
  <c r="S791" i="6"/>
  <c r="T790" i="6"/>
  <c r="S790" i="6"/>
  <c r="T789" i="6"/>
  <c r="S789" i="6"/>
  <c r="T788" i="6"/>
  <c r="S788" i="6"/>
  <c r="T787" i="6"/>
  <c r="S787" i="6"/>
  <c r="T786" i="6"/>
  <c r="S786" i="6"/>
  <c r="T785" i="6"/>
  <c r="S785" i="6"/>
  <c r="T784" i="6"/>
  <c r="S784" i="6"/>
  <c r="T783" i="6"/>
  <c r="S783" i="6"/>
  <c r="T782" i="6"/>
  <c r="S782" i="6"/>
  <c r="T781" i="6"/>
  <c r="S781" i="6"/>
  <c r="T780" i="6"/>
  <c r="S780" i="6"/>
  <c r="T779" i="6"/>
  <c r="S779" i="6"/>
  <c r="T778" i="6"/>
  <c r="S778" i="6"/>
  <c r="T777" i="6"/>
  <c r="S777" i="6"/>
  <c r="T776" i="6"/>
  <c r="S776" i="6"/>
  <c r="T775" i="6"/>
  <c r="S775" i="6"/>
  <c r="T774" i="6"/>
  <c r="S774" i="6"/>
  <c r="T773" i="6"/>
  <c r="S773" i="6"/>
  <c r="T772" i="6"/>
  <c r="S772" i="6"/>
  <c r="T771" i="6"/>
  <c r="S771" i="6"/>
  <c r="T770" i="6"/>
  <c r="S770" i="6"/>
  <c r="T769" i="6"/>
  <c r="S769" i="6"/>
  <c r="T768" i="6"/>
  <c r="S768" i="6"/>
  <c r="T767" i="6"/>
  <c r="S767" i="6"/>
  <c r="T766" i="6"/>
  <c r="S766" i="6"/>
  <c r="T765" i="6"/>
  <c r="S765" i="6"/>
  <c r="T764" i="6"/>
  <c r="S764" i="6"/>
  <c r="T763" i="6"/>
  <c r="S763" i="6"/>
  <c r="T762" i="6"/>
  <c r="S762" i="6"/>
  <c r="T761" i="6"/>
  <c r="S761" i="6"/>
  <c r="T760" i="6"/>
  <c r="S760" i="6"/>
  <c r="T759" i="6"/>
  <c r="S759" i="6"/>
  <c r="T758" i="6"/>
  <c r="S758" i="6"/>
  <c r="T757" i="6"/>
  <c r="S757" i="6"/>
  <c r="T756" i="6"/>
  <c r="S756" i="6"/>
  <c r="T755" i="6"/>
  <c r="S755" i="6"/>
  <c r="T754" i="6"/>
  <c r="S754" i="6"/>
  <c r="T753" i="6"/>
  <c r="S753" i="6"/>
  <c r="T752" i="6"/>
  <c r="S752" i="6"/>
  <c r="T751" i="6"/>
  <c r="S751" i="6"/>
  <c r="T750" i="6"/>
  <c r="S750" i="6"/>
  <c r="T749" i="6"/>
  <c r="S749" i="6"/>
  <c r="T748" i="6"/>
  <c r="S748" i="6"/>
  <c r="T747" i="6"/>
  <c r="S747" i="6"/>
  <c r="T746" i="6"/>
  <c r="S746" i="6"/>
  <c r="T745" i="6"/>
  <c r="S745" i="6"/>
  <c r="T744" i="6"/>
  <c r="S744" i="6"/>
  <c r="T743" i="6"/>
  <c r="S743" i="6"/>
  <c r="T742" i="6"/>
  <c r="S742" i="6"/>
  <c r="T741" i="6"/>
  <c r="S741" i="6"/>
  <c r="T740" i="6"/>
  <c r="S740" i="6"/>
  <c r="T739" i="6"/>
  <c r="S739" i="6"/>
  <c r="T738" i="6"/>
  <c r="S738" i="6"/>
  <c r="T737" i="6"/>
  <c r="S737" i="6"/>
  <c r="T736" i="6"/>
  <c r="S736" i="6"/>
  <c r="T735" i="6"/>
  <c r="S735" i="6"/>
  <c r="T734" i="6"/>
  <c r="S734" i="6"/>
  <c r="T733" i="6"/>
  <c r="S733" i="6"/>
  <c r="T732" i="6"/>
  <c r="S732" i="6"/>
  <c r="T731" i="6"/>
  <c r="S731" i="6"/>
  <c r="T730" i="6"/>
  <c r="S730" i="6"/>
  <c r="T729" i="6"/>
  <c r="S729" i="6"/>
  <c r="T728" i="6"/>
  <c r="S728" i="6"/>
  <c r="T727" i="6"/>
  <c r="S727" i="6"/>
  <c r="T726" i="6"/>
  <c r="S726" i="6"/>
  <c r="T725" i="6"/>
  <c r="S725" i="6"/>
  <c r="T724" i="6"/>
  <c r="S724" i="6"/>
  <c r="T723" i="6"/>
  <c r="S723" i="6"/>
  <c r="T722" i="6"/>
  <c r="S722" i="6"/>
  <c r="T721" i="6"/>
  <c r="S721" i="6"/>
  <c r="T720" i="6"/>
  <c r="S720" i="6"/>
  <c r="T719" i="6"/>
  <c r="S719" i="6"/>
  <c r="T718" i="6"/>
  <c r="S718" i="6"/>
  <c r="T717" i="6"/>
  <c r="S717" i="6"/>
  <c r="T716" i="6"/>
  <c r="S716" i="6"/>
  <c r="T715" i="6"/>
  <c r="S715" i="6"/>
  <c r="T714" i="6"/>
  <c r="S714" i="6"/>
  <c r="T713" i="6"/>
  <c r="S713" i="6"/>
  <c r="T712" i="6"/>
  <c r="S712" i="6"/>
  <c r="T711" i="6"/>
  <c r="S711" i="6"/>
  <c r="T710" i="6"/>
  <c r="S710" i="6"/>
  <c r="T709" i="6"/>
  <c r="S709" i="6"/>
  <c r="T708" i="6"/>
  <c r="S708" i="6"/>
  <c r="T707" i="6"/>
  <c r="S707" i="6"/>
  <c r="T706" i="6"/>
  <c r="S706" i="6"/>
  <c r="T705" i="6"/>
  <c r="S705" i="6"/>
  <c r="T704" i="6"/>
  <c r="S704" i="6"/>
  <c r="T703" i="6"/>
  <c r="S703" i="6"/>
  <c r="T702" i="6"/>
  <c r="S702" i="6"/>
  <c r="T701" i="6"/>
  <c r="S701" i="6"/>
  <c r="T700" i="6"/>
  <c r="S700" i="6"/>
  <c r="T699" i="6"/>
  <c r="S699" i="6"/>
  <c r="T698" i="6"/>
  <c r="S698" i="6"/>
  <c r="T697" i="6"/>
  <c r="S697" i="6"/>
  <c r="T696" i="6"/>
  <c r="S696" i="6"/>
  <c r="T695" i="6"/>
  <c r="S695" i="6"/>
  <c r="T694" i="6"/>
  <c r="S694" i="6"/>
  <c r="T693" i="6"/>
  <c r="S693" i="6"/>
  <c r="T692" i="6"/>
  <c r="S692" i="6"/>
  <c r="T691" i="6"/>
  <c r="S691" i="6"/>
  <c r="T690" i="6"/>
  <c r="S690" i="6"/>
  <c r="T689" i="6"/>
  <c r="S689" i="6"/>
  <c r="T688" i="6"/>
  <c r="S688" i="6"/>
  <c r="T687" i="6"/>
  <c r="S687" i="6"/>
  <c r="T686" i="6"/>
  <c r="S686" i="6"/>
  <c r="T685" i="6"/>
  <c r="S685" i="6"/>
  <c r="T684" i="6"/>
  <c r="S684" i="6"/>
  <c r="T683" i="6"/>
  <c r="S683" i="6"/>
  <c r="T682" i="6"/>
  <c r="S682" i="6"/>
  <c r="T681" i="6"/>
  <c r="S681" i="6"/>
  <c r="T680" i="6"/>
  <c r="S680" i="6"/>
  <c r="T679" i="6"/>
  <c r="S679" i="6"/>
  <c r="T678" i="6"/>
  <c r="S678" i="6"/>
  <c r="T677" i="6"/>
  <c r="S677" i="6"/>
  <c r="T676" i="6"/>
  <c r="S676" i="6"/>
  <c r="T675" i="6"/>
  <c r="S675" i="6"/>
  <c r="T674" i="6"/>
  <c r="S674" i="6"/>
  <c r="T673" i="6"/>
  <c r="S673" i="6"/>
  <c r="T672" i="6"/>
  <c r="S672" i="6"/>
  <c r="T671" i="6"/>
  <c r="S671" i="6"/>
  <c r="T670" i="6"/>
  <c r="S670" i="6"/>
  <c r="T669" i="6"/>
  <c r="S669" i="6"/>
  <c r="T668" i="6"/>
  <c r="S668" i="6"/>
  <c r="T667" i="6"/>
  <c r="S667" i="6"/>
  <c r="T666" i="6"/>
  <c r="S666" i="6"/>
  <c r="T665" i="6"/>
  <c r="S665" i="6"/>
  <c r="T664" i="6"/>
  <c r="S664" i="6"/>
  <c r="T663" i="6"/>
  <c r="S663" i="6"/>
  <c r="T662" i="6"/>
  <c r="S662" i="6"/>
  <c r="T661" i="6"/>
  <c r="S661" i="6"/>
  <c r="T660" i="6"/>
  <c r="S660" i="6"/>
  <c r="T659" i="6"/>
  <c r="S659" i="6"/>
  <c r="T658" i="6"/>
  <c r="S658" i="6"/>
  <c r="T657" i="6"/>
  <c r="S657" i="6"/>
  <c r="T656" i="6"/>
  <c r="S656" i="6"/>
  <c r="T655" i="6"/>
  <c r="S655" i="6"/>
  <c r="T654" i="6"/>
  <c r="S654" i="6"/>
  <c r="T653" i="6"/>
  <c r="S653" i="6"/>
  <c r="T652" i="6"/>
  <c r="S652" i="6"/>
  <c r="T651" i="6"/>
  <c r="S651" i="6"/>
  <c r="T650" i="6"/>
  <c r="S650" i="6"/>
  <c r="T649" i="6"/>
  <c r="S649" i="6"/>
  <c r="T648" i="6"/>
  <c r="S648" i="6"/>
  <c r="T647" i="6"/>
  <c r="S647" i="6"/>
  <c r="T646" i="6"/>
  <c r="S646" i="6"/>
  <c r="T645" i="6"/>
  <c r="S645" i="6"/>
  <c r="T644" i="6"/>
  <c r="S644" i="6"/>
  <c r="T643" i="6"/>
  <c r="S643" i="6"/>
  <c r="T642" i="6"/>
  <c r="S642" i="6"/>
  <c r="T641" i="6"/>
  <c r="S641" i="6"/>
  <c r="T640" i="6"/>
  <c r="S640" i="6"/>
  <c r="T639" i="6"/>
  <c r="S639" i="6"/>
  <c r="T638" i="6"/>
  <c r="S638" i="6"/>
  <c r="T637" i="6"/>
  <c r="S637" i="6"/>
  <c r="T636" i="6"/>
  <c r="S636" i="6"/>
  <c r="T635" i="6"/>
  <c r="S635" i="6"/>
  <c r="T634" i="6"/>
  <c r="S634" i="6"/>
  <c r="T633" i="6"/>
  <c r="S633" i="6"/>
  <c r="T632" i="6"/>
  <c r="S632" i="6"/>
  <c r="T631" i="6"/>
  <c r="S631" i="6"/>
  <c r="T630" i="6"/>
  <c r="S630" i="6"/>
  <c r="T629" i="6"/>
  <c r="S629" i="6"/>
  <c r="T628" i="6"/>
  <c r="S628" i="6"/>
  <c r="T627" i="6"/>
  <c r="S627" i="6"/>
  <c r="T626" i="6"/>
  <c r="S626" i="6"/>
  <c r="T625" i="6"/>
  <c r="S625" i="6"/>
  <c r="T624" i="6"/>
  <c r="S624" i="6"/>
  <c r="T623" i="6"/>
  <c r="S623" i="6"/>
  <c r="T622" i="6"/>
  <c r="S622" i="6"/>
  <c r="T621" i="6"/>
  <c r="S621" i="6"/>
  <c r="T620" i="6"/>
  <c r="S620" i="6"/>
  <c r="T619" i="6"/>
  <c r="S619" i="6"/>
  <c r="T618" i="6"/>
  <c r="S618" i="6"/>
  <c r="T617" i="6"/>
  <c r="S617" i="6"/>
  <c r="T616" i="6"/>
  <c r="S616" i="6"/>
  <c r="T615" i="6"/>
  <c r="S615" i="6"/>
  <c r="T614" i="6"/>
  <c r="S614" i="6"/>
  <c r="T613" i="6"/>
  <c r="S613" i="6"/>
  <c r="T612" i="6"/>
  <c r="S612" i="6"/>
  <c r="T611" i="6"/>
  <c r="S611" i="6"/>
  <c r="T610" i="6"/>
  <c r="S610" i="6"/>
  <c r="T609" i="6"/>
  <c r="S609" i="6"/>
  <c r="T608" i="6"/>
  <c r="S608" i="6"/>
  <c r="T607" i="6"/>
  <c r="S607" i="6"/>
  <c r="T606" i="6"/>
  <c r="S606" i="6"/>
  <c r="T605" i="6"/>
  <c r="S605" i="6"/>
  <c r="T604" i="6"/>
  <c r="S604" i="6"/>
  <c r="T603" i="6"/>
  <c r="S603" i="6"/>
  <c r="T602" i="6"/>
  <c r="S602" i="6"/>
  <c r="T601" i="6"/>
  <c r="S601" i="6"/>
  <c r="T600" i="6"/>
  <c r="S600" i="6"/>
  <c r="T599" i="6"/>
  <c r="S599" i="6"/>
  <c r="T598" i="6"/>
  <c r="S598" i="6"/>
  <c r="T597" i="6"/>
  <c r="S597" i="6"/>
  <c r="T596" i="6"/>
  <c r="S596" i="6"/>
  <c r="T595" i="6"/>
  <c r="S595" i="6"/>
  <c r="T594" i="6"/>
  <c r="S594" i="6"/>
  <c r="T593" i="6"/>
  <c r="S593" i="6"/>
  <c r="T592" i="6"/>
  <c r="S592" i="6"/>
  <c r="T591" i="6"/>
  <c r="S591" i="6"/>
  <c r="T590" i="6"/>
  <c r="S590" i="6"/>
  <c r="T589" i="6"/>
  <c r="S589" i="6"/>
  <c r="T588" i="6"/>
  <c r="S588" i="6"/>
  <c r="T587" i="6"/>
  <c r="S587" i="6"/>
  <c r="T586" i="6"/>
  <c r="S586" i="6"/>
  <c r="T585" i="6"/>
  <c r="S585" i="6"/>
  <c r="T584" i="6"/>
  <c r="S584" i="6"/>
  <c r="T583" i="6"/>
  <c r="S583" i="6"/>
  <c r="T582" i="6"/>
  <c r="S582" i="6"/>
  <c r="T581" i="6"/>
  <c r="S581" i="6"/>
  <c r="T580" i="6"/>
  <c r="S580" i="6"/>
  <c r="T579" i="6"/>
  <c r="S579" i="6"/>
  <c r="T578" i="6"/>
  <c r="S578" i="6"/>
  <c r="T577" i="6"/>
  <c r="S577" i="6"/>
  <c r="T576" i="6"/>
  <c r="S576" i="6"/>
  <c r="T575" i="6"/>
  <c r="S575" i="6"/>
  <c r="T574" i="6"/>
  <c r="S574" i="6"/>
  <c r="T573" i="6"/>
  <c r="S573" i="6"/>
  <c r="T572" i="6"/>
  <c r="S572" i="6"/>
  <c r="T571" i="6"/>
  <c r="S571" i="6"/>
  <c r="T570" i="6"/>
  <c r="S570" i="6"/>
  <c r="T569" i="6"/>
  <c r="S569" i="6"/>
  <c r="T568" i="6"/>
  <c r="S568" i="6"/>
  <c r="T567" i="6"/>
  <c r="S567" i="6"/>
  <c r="T566" i="6"/>
  <c r="S566" i="6"/>
  <c r="T565" i="6"/>
  <c r="S565" i="6"/>
  <c r="T564" i="6"/>
  <c r="S564" i="6"/>
  <c r="T563" i="6"/>
  <c r="S563" i="6"/>
  <c r="T562" i="6"/>
  <c r="S562" i="6"/>
  <c r="T561" i="6"/>
  <c r="S561" i="6"/>
  <c r="T560" i="6"/>
  <c r="S560" i="6"/>
  <c r="T559" i="6"/>
  <c r="S559" i="6"/>
  <c r="T558" i="6"/>
  <c r="S558" i="6"/>
  <c r="T557" i="6"/>
  <c r="S557" i="6"/>
  <c r="T556" i="6"/>
  <c r="S556" i="6"/>
  <c r="T555" i="6"/>
  <c r="S555" i="6"/>
  <c r="T554" i="6"/>
  <c r="S554" i="6"/>
  <c r="T553" i="6"/>
  <c r="S553" i="6"/>
  <c r="T552" i="6"/>
  <c r="S552" i="6"/>
  <c r="T551" i="6"/>
  <c r="S551" i="6"/>
  <c r="T550" i="6"/>
  <c r="S550" i="6"/>
  <c r="T549" i="6"/>
  <c r="S549" i="6"/>
  <c r="T548" i="6"/>
  <c r="S548" i="6"/>
  <c r="T547" i="6"/>
  <c r="S547" i="6"/>
  <c r="T546" i="6"/>
  <c r="S546" i="6"/>
  <c r="T545" i="6"/>
  <c r="S545" i="6"/>
  <c r="T544" i="6"/>
  <c r="S544" i="6"/>
  <c r="T543" i="6"/>
  <c r="S543" i="6"/>
  <c r="T542" i="6"/>
  <c r="S542" i="6"/>
  <c r="T541" i="6"/>
  <c r="S541" i="6"/>
  <c r="T540" i="6"/>
  <c r="S540" i="6"/>
  <c r="T539" i="6"/>
  <c r="S539" i="6"/>
  <c r="T538" i="6"/>
  <c r="S538" i="6"/>
  <c r="T537" i="6"/>
  <c r="S537" i="6"/>
  <c r="T536" i="6"/>
  <c r="S536" i="6"/>
  <c r="T535" i="6"/>
  <c r="S535" i="6"/>
  <c r="T534" i="6"/>
  <c r="S534" i="6"/>
  <c r="T533" i="6"/>
  <c r="S533" i="6"/>
  <c r="T532" i="6"/>
  <c r="S532" i="6"/>
  <c r="T531" i="6"/>
  <c r="S531" i="6"/>
  <c r="T530" i="6"/>
  <c r="S530" i="6"/>
  <c r="T529" i="6"/>
  <c r="S529" i="6"/>
  <c r="T528" i="6"/>
  <c r="S528" i="6"/>
  <c r="T527" i="6"/>
  <c r="S527" i="6"/>
  <c r="T526" i="6"/>
  <c r="S526" i="6"/>
  <c r="T525" i="6"/>
  <c r="S525" i="6"/>
  <c r="T524" i="6"/>
  <c r="S524" i="6"/>
  <c r="T523" i="6"/>
  <c r="S523" i="6"/>
  <c r="T522" i="6"/>
  <c r="S522" i="6"/>
  <c r="T521" i="6"/>
  <c r="S521" i="6"/>
  <c r="T520" i="6"/>
  <c r="S520" i="6"/>
  <c r="T519" i="6"/>
  <c r="S519" i="6"/>
  <c r="T518" i="6"/>
  <c r="S518" i="6"/>
  <c r="T517" i="6"/>
  <c r="S517" i="6"/>
  <c r="T516" i="6"/>
  <c r="S516" i="6"/>
  <c r="T515" i="6"/>
  <c r="S515" i="6"/>
  <c r="T514" i="6"/>
  <c r="S514" i="6"/>
  <c r="T513" i="6"/>
  <c r="S513" i="6"/>
  <c r="T512" i="6"/>
  <c r="S512" i="6"/>
  <c r="T511" i="6"/>
  <c r="S511" i="6"/>
  <c r="T510" i="6"/>
  <c r="S510" i="6"/>
  <c r="T509" i="6"/>
  <c r="S509" i="6"/>
  <c r="T508" i="6"/>
  <c r="S508" i="6"/>
  <c r="T507" i="6"/>
  <c r="S507" i="6"/>
  <c r="T506" i="6"/>
  <c r="S506" i="6"/>
  <c r="T505" i="6"/>
  <c r="S505" i="6"/>
  <c r="T504" i="6"/>
  <c r="S504" i="6"/>
  <c r="T503" i="6"/>
  <c r="S503" i="6"/>
  <c r="T502" i="6"/>
  <c r="S502" i="6"/>
  <c r="T501" i="6"/>
  <c r="S501" i="6"/>
  <c r="T500" i="6"/>
  <c r="S500" i="6"/>
  <c r="T499" i="6"/>
  <c r="S499" i="6"/>
  <c r="T498" i="6"/>
  <c r="S498" i="6"/>
  <c r="T497" i="6"/>
  <c r="S497" i="6"/>
  <c r="T496" i="6"/>
  <c r="S496" i="6"/>
  <c r="T495" i="6"/>
  <c r="S495" i="6"/>
  <c r="T494" i="6"/>
  <c r="S494" i="6"/>
  <c r="T493" i="6"/>
  <c r="S493" i="6"/>
  <c r="T492" i="6"/>
  <c r="S492" i="6"/>
  <c r="T491" i="6"/>
  <c r="S491" i="6"/>
  <c r="T490" i="6"/>
  <c r="S490" i="6"/>
  <c r="T489" i="6"/>
  <c r="S489" i="6"/>
  <c r="T488" i="6"/>
  <c r="S488" i="6"/>
  <c r="T487" i="6"/>
  <c r="S487" i="6"/>
  <c r="T486" i="6"/>
  <c r="S486" i="6"/>
  <c r="T485" i="6"/>
  <c r="S485" i="6"/>
  <c r="T484" i="6"/>
  <c r="S484" i="6"/>
  <c r="T483" i="6"/>
  <c r="S483" i="6"/>
  <c r="T482" i="6"/>
  <c r="S482" i="6"/>
  <c r="T481" i="6"/>
  <c r="S481" i="6"/>
  <c r="T480" i="6"/>
  <c r="S480" i="6"/>
  <c r="T479" i="6"/>
  <c r="S479" i="6"/>
  <c r="T478" i="6"/>
  <c r="S478" i="6"/>
  <c r="T477" i="6"/>
  <c r="S477" i="6"/>
  <c r="T476" i="6"/>
  <c r="S476" i="6"/>
  <c r="T475" i="6"/>
  <c r="S475" i="6"/>
  <c r="T474" i="6"/>
  <c r="S474" i="6"/>
  <c r="T473" i="6"/>
  <c r="S473" i="6"/>
  <c r="T472" i="6"/>
  <c r="S472" i="6"/>
  <c r="T471" i="6"/>
  <c r="S471" i="6"/>
  <c r="T470" i="6"/>
  <c r="S470" i="6"/>
  <c r="T469" i="6"/>
  <c r="S469" i="6"/>
  <c r="T468" i="6"/>
  <c r="S468" i="6"/>
  <c r="T467" i="6"/>
  <c r="S467" i="6"/>
  <c r="T466" i="6"/>
  <c r="S466" i="6"/>
  <c r="T465" i="6"/>
  <c r="S465" i="6"/>
  <c r="T464" i="6"/>
  <c r="S464" i="6"/>
  <c r="T463" i="6"/>
  <c r="S463" i="6"/>
  <c r="T462" i="6"/>
  <c r="S462" i="6"/>
  <c r="T461" i="6"/>
  <c r="S461" i="6"/>
  <c r="T460" i="6"/>
  <c r="S460" i="6"/>
  <c r="T459" i="6"/>
  <c r="S459" i="6"/>
  <c r="T458" i="6"/>
  <c r="S458" i="6"/>
  <c r="T457" i="6"/>
  <c r="S457" i="6"/>
  <c r="T456" i="6"/>
  <c r="S456" i="6"/>
  <c r="T455" i="6"/>
  <c r="S455" i="6"/>
  <c r="T454" i="6"/>
  <c r="S454" i="6"/>
  <c r="T453" i="6"/>
  <c r="S453" i="6"/>
  <c r="T452" i="6"/>
  <c r="S452" i="6"/>
  <c r="T451" i="6"/>
  <c r="S451" i="6"/>
  <c r="T450" i="6"/>
  <c r="S450" i="6"/>
  <c r="T449" i="6"/>
  <c r="S449" i="6"/>
  <c r="T448" i="6"/>
  <c r="S448" i="6"/>
  <c r="T447" i="6"/>
  <c r="S447" i="6"/>
  <c r="T446" i="6"/>
  <c r="S446" i="6"/>
  <c r="T445" i="6"/>
  <c r="S445" i="6"/>
  <c r="T444" i="6"/>
  <c r="S444" i="6"/>
  <c r="T443" i="6"/>
  <c r="S443" i="6"/>
  <c r="T442" i="6"/>
  <c r="S442" i="6"/>
  <c r="T441" i="6"/>
  <c r="S441" i="6"/>
  <c r="T440" i="6"/>
  <c r="S440" i="6"/>
  <c r="T439" i="6"/>
  <c r="S439" i="6"/>
  <c r="T438" i="6"/>
  <c r="S438" i="6"/>
  <c r="T437" i="6"/>
  <c r="S437" i="6"/>
  <c r="T436" i="6"/>
  <c r="S436" i="6"/>
  <c r="T435" i="6"/>
  <c r="S435" i="6"/>
  <c r="T434" i="6"/>
  <c r="S434" i="6"/>
  <c r="T433" i="6"/>
  <c r="S433" i="6"/>
  <c r="T432" i="6"/>
  <c r="S432" i="6"/>
  <c r="T431" i="6"/>
  <c r="S431" i="6"/>
  <c r="T430" i="6"/>
  <c r="S430" i="6"/>
  <c r="T429" i="6"/>
  <c r="S429" i="6"/>
  <c r="T428" i="6"/>
  <c r="S428" i="6"/>
  <c r="T427" i="6"/>
  <c r="S427" i="6"/>
  <c r="T426" i="6"/>
  <c r="S426" i="6"/>
  <c r="T425" i="6"/>
  <c r="S425" i="6"/>
  <c r="T424" i="6"/>
  <c r="S424" i="6"/>
  <c r="T423" i="6"/>
  <c r="S423" i="6"/>
  <c r="T422" i="6"/>
  <c r="S422" i="6"/>
  <c r="T421" i="6"/>
  <c r="S421" i="6"/>
  <c r="T420" i="6"/>
  <c r="S420" i="6"/>
  <c r="T419" i="6"/>
  <c r="S419" i="6"/>
  <c r="T418" i="6"/>
  <c r="S418" i="6"/>
  <c r="T417" i="6"/>
  <c r="S417" i="6"/>
  <c r="T416" i="6"/>
  <c r="S416" i="6"/>
  <c r="T415" i="6"/>
  <c r="S415" i="6"/>
  <c r="T414" i="6"/>
  <c r="S414" i="6"/>
  <c r="T413" i="6"/>
  <c r="S413" i="6"/>
  <c r="T412" i="6"/>
  <c r="S412" i="6"/>
  <c r="T411" i="6"/>
  <c r="S411" i="6"/>
  <c r="T410" i="6"/>
  <c r="S410" i="6"/>
  <c r="T409" i="6"/>
  <c r="S409" i="6"/>
  <c r="T408" i="6"/>
  <c r="S408" i="6"/>
  <c r="T407" i="6"/>
  <c r="S407" i="6"/>
  <c r="T406" i="6"/>
  <c r="S406" i="6"/>
  <c r="T405" i="6"/>
  <c r="S405" i="6"/>
  <c r="T404" i="6"/>
  <c r="S404" i="6"/>
  <c r="T403" i="6"/>
  <c r="S403" i="6"/>
  <c r="T402" i="6"/>
  <c r="S402" i="6"/>
  <c r="T401" i="6"/>
  <c r="S401" i="6"/>
  <c r="T400" i="6"/>
  <c r="S400" i="6"/>
  <c r="T399" i="6"/>
  <c r="S399" i="6"/>
  <c r="T398" i="6"/>
  <c r="S398" i="6"/>
  <c r="T397" i="6"/>
  <c r="S397" i="6"/>
  <c r="T396" i="6"/>
  <c r="S396" i="6"/>
  <c r="T395" i="6"/>
  <c r="S395" i="6"/>
  <c r="T394" i="6"/>
  <c r="S394" i="6"/>
  <c r="T393" i="6"/>
  <c r="S393" i="6"/>
  <c r="T392" i="6"/>
  <c r="S392" i="6"/>
  <c r="T391" i="6"/>
  <c r="S391" i="6"/>
  <c r="T390" i="6"/>
  <c r="S390" i="6"/>
  <c r="T389" i="6"/>
  <c r="S389" i="6"/>
  <c r="T388" i="6"/>
  <c r="S388" i="6"/>
  <c r="T387" i="6"/>
  <c r="S387" i="6"/>
  <c r="T386" i="6"/>
  <c r="S386" i="6"/>
  <c r="T385" i="6"/>
  <c r="S385" i="6"/>
  <c r="T384" i="6"/>
  <c r="S384" i="6"/>
  <c r="T383" i="6"/>
  <c r="S383" i="6"/>
  <c r="T382" i="6"/>
  <c r="S382" i="6"/>
  <c r="T381" i="6"/>
  <c r="S381" i="6"/>
  <c r="T380" i="6"/>
  <c r="S380" i="6"/>
  <c r="T379" i="6"/>
  <c r="S379" i="6"/>
  <c r="T378" i="6"/>
  <c r="S378" i="6"/>
  <c r="T377" i="6"/>
  <c r="S377" i="6"/>
  <c r="T376" i="6"/>
  <c r="S376" i="6"/>
  <c r="T375" i="6"/>
  <c r="S375" i="6"/>
  <c r="T374" i="6"/>
  <c r="S374" i="6"/>
  <c r="T373" i="6"/>
  <c r="S373" i="6"/>
  <c r="T372" i="6"/>
  <c r="S372" i="6"/>
  <c r="T371" i="6"/>
  <c r="S371" i="6"/>
  <c r="T370" i="6"/>
  <c r="S370" i="6"/>
  <c r="T369" i="6"/>
  <c r="S369" i="6"/>
  <c r="T368" i="6"/>
  <c r="S368" i="6"/>
  <c r="T367" i="6"/>
  <c r="S367" i="6"/>
  <c r="T366" i="6"/>
  <c r="S366" i="6"/>
  <c r="T365" i="6"/>
  <c r="S365" i="6"/>
  <c r="T364" i="6"/>
  <c r="S364" i="6"/>
  <c r="T363" i="6"/>
  <c r="S363" i="6"/>
  <c r="T362" i="6"/>
  <c r="S362" i="6"/>
  <c r="T361" i="6"/>
  <c r="S361" i="6"/>
  <c r="T360" i="6"/>
  <c r="S360" i="6"/>
  <c r="T359" i="6"/>
  <c r="S359" i="6"/>
  <c r="T358" i="6"/>
  <c r="S358" i="6"/>
  <c r="T357" i="6"/>
  <c r="S357" i="6"/>
  <c r="T356" i="6"/>
  <c r="S356" i="6"/>
  <c r="T355" i="6"/>
  <c r="S355" i="6"/>
  <c r="T354" i="6"/>
  <c r="S354" i="6"/>
  <c r="T353" i="6"/>
  <c r="S353" i="6"/>
  <c r="T352" i="6"/>
  <c r="S352" i="6"/>
  <c r="T351" i="6"/>
  <c r="S351" i="6"/>
  <c r="T350" i="6"/>
  <c r="S350" i="6"/>
  <c r="T349" i="6"/>
  <c r="S349" i="6"/>
  <c r="T348" i="6"/>
  <c r="S348" i="6"/>
  <c r="T347" i="6"/>
  <c r="S347" i="6"/>
  <c r="T346" i="6"/>
  <c r="S346" i="6"/>
  <c r="T345" i="6"/>
  <c r="S345" i="6"/>
  <c r="T344" i="6"/>
  <c r="S344" i="6"/>
  <c r="T343" i="6"/>
  <c r="S343" i="6"/>
  <c r="T342" i="6"/>
  <c r="S342" i="6"/>
  <c r="T341" i="6"/>
  <c r="S341" i="6"/>
  <c r="T340" i="6"/>
  <c r="S340" i="6"/>
  <c r="T339" i="6"/>
  <c r="S339" i="6"/>
  <c r="T338" i="6"/>
  <c r="S338" i="6"/>
  <c r="T337" i="6"/>
  <c r="S337" i="6"/>
  <c r="T336" i="6"/>
  <c r="S336" i="6"/>
  <c r="T335" i="6"/>
  <c r="S335" i="6"/>
  <c r="T334" i="6"/>
  <c r="S334" i="6"/>
  <c r="T333" i="6"/>
  <c r="S333" i="6"/>
  <c r="T332" i="6"/>
  <c r="S332" i="6"/>
  <c r="T331" i="6"/>
  <c r="S331" i="6"/>
  <c r="T330" i="6"/>
  <c r="S330" i="6"/>
  <c r="T329" i="6"/>
  <c r="S329" i="6"/>
  <c r="T328" i="6"/>
  <c r="S328" i="6"/>
  <c r="T327" i="6"/>
  <c r="S327" i="6"/>
  <c r="T326" i="6"/>
  <c r="S326" i="6"/>
  <c r="T325" i="6"/>
  <c r="S325" i="6"/>
  <c r="T324" i="6"/>
  <c r="S324" i="6"/>
  <c r="T323" i="6"/>
  <c r="S323" i="6"/>
  <c r="T322" i="6"/>
  <c r="S322" i="6"/>
  <c r="T321" i="6"/>
  <c r="S321" i="6"/>
  <c r="T320" i="6"/>
  <c r="S320" i="6"/>
  <c r="T319" i="6"/>
  <c r="S319" i="6"/>
  <c r="T318" i="6"/>
  <c r="S318" i="6"/>
  <c r="T317" i="6"/>
  <c r="S317" i="6"/>
  <c r="T316" i="6"/>
  <c r="S316" i="6"/>
  <c r="T315" i="6"/>
  <c r="S315" i="6"/>
  <c r="T314" i="6"/>
  <c r="S314" i="6"/>
  <c r="T313" i="6"/>
  <c r="S313" i="6"/>
  <c r="T312" i="6"/>
  <c r="S312" i="6"/>
  <c r="T311" i="6"/>
  <c r="S311" i="6"/>
  <c r="T310" i="6"/>
  <c r="S310" i="6"/>
  <c r="T309" i="6"/>
  <c r="S309" i="6"/>
  <c r="T308" i="6"/>
  <c r="S308" i="6"/>
  <c r="T307" i="6"/>
  <c r="S307" i="6"/>
  <c r="T306" i="6"/>
  <c r="S306" i="6"/>
  <c r="T305" i="6"/>
  <c r="S305" i="6"/>
  <c r="T304" i="6"/>
  <c r="S304" i="6"/>
  <c r="T303" i="6"/>
  <c r="S303" i="6"/>
  <c r="T302" i="6"/>
  <c r="S302" i="6"/>
  <c r="T301" i="6"/>
  <c r="S301" i="6"/>
  <c r="T300" i="6"/>
  <c r="S300" i="6"/>
  <c r="T299" i="6"/>
  <c r="S299" i="6"/>
  <c r="T298" i="6"/>
  <c r="S298" i="6"/>
  <c r="T297" i="6"/>
  <c r="S297" i="6"/>
  <c r="T296" i="6"/>
  <c r="S296" i="6"/>
  <c r="T295" i="6"/>
  <c r="S295" i="6"/>
  <c r="T294" i="6"/>
  <c r="S294" i="6"/>
  <c r="T293" i="6"/>
  <c r="S293" i="6"/>
  <c r="T292" i="6"/>
  <c r="S292" i="6"/>
  <c r="T291" i="6"/>
  <c r="S291" i="6"/>
  <c r="T290" i="6"/>
  <c r="S290" i="6"/>
  <c r="T289" i="6"/>
  <c r="S289" i="6"/>
  <c r="T288" i="6"/>
  <c r="S288" i="6"/>
  <c r="T287" i="6"/>
  <c r="S287" i="6"/>
  <c r="T286" i="6"/>
  <c r="S286" i="6"/>
  <c r="T285" i="6"/>
  <c r="S285" i="6"/>
  <c r="T284" i="6"/>
  <c r="S284" i="6"/>
  <c r="T283" i="6"/>
  <c r="S283" i="6"/>
  <c r="T282" i="6"/>
  <c r="S282" i="6"/>
  <c r="T281" i="6"/>
  <c r="S281" i="6"/>
  <c r="T280" i="6"/>
  <c r="S280" i="6"/>
  <c r="T279" i="6"/>
  <c r="S279" i="6"/>
  <c r="T278" i="6"/>
  <c r="S278" i="6"/>
  <c r="T277" i="6"/>
  <c r="S277" i="6"/>
  <c r="T276" i="6"/>
  <c r="S276" i="6"/>
  <c r="T275" i="6"/>
  <c r="S275" i="6"/>
  <c r="T274" i="6"/>
  <c r="S274" i="6"/>
  <c r="T273" i="6"/>
  <c r="S273" i="6"/>
  <c r="T272" i="6"/>
  <c r="S272" i="6"/>
  <c r="T271" i="6"/>
  <c r="S271" i="6"/>
  <c r="T270" i="6"/>
  <c r="S270" i="6"/>
  <c r="T269" i="6"/>
  <c r="S269" i="6"/>
  <c r="T268" i="6"/>
  <c r="S268" i="6"/>
  <c r="T267" i="6"/>
  <c r="S267" i="6"/>
  <c r="T266" i="6"/>
  <c r="S266" i="6"/>
  <c r="T265" i="6"/>
  <c r="S265" i="6"/>
  <c r="T264" i="6"/>
  <c r="S264" i="6"/>
  <c r="T263" i="6"/>
  <c r="S263" i="6"/>
  <c r="T262" i="6"/>
  <c r="S262" i="6"/>
  <c r="T261" i="6"/>
  <c r="S261" i="6"/>
  <c r="T260" i="6"/>
  <c r="S260" i="6"/>
  <c r="T259" i="6"/>
  <c r="S259" i="6"/>
  <c r="T258" i="6"/>
  <c r="S258" i="6"/>
  <c r="T257" i="6"/>
  <c r="S257" i="6"/>
  <c r="T256" i="6"/>
  <c r="S256" i="6"/>
  <c r="T255" i="6"/>
  <c r="S255" i="6"/>
  <c r="T254" i="6"/>
  <c r="S254" i="6"/>
  <c r="T253" i="6"/>
  <c r="S253" i="6"/>
  <c r="T252" i="6"/>
  <c r="S252" i="6"/>
  <c r="T251" i="6"/>
  <c r="S251" i="6"/>
  <c r="T250" i="6"/>
  <c r="S250" i="6"/>
  <c r="T249" i="6"/>
  <c r="S249" i="6"/>
  <c r="T248" i="6"/>
  <c r="S248" i="6"/>
  <c r="T247" i="6"/>
  <c r="S247" i="6"/>
  <c r="T246" i="6"/>
  <c r="S246" i="6"/>
  <c r="T245" i="6"/>
  <c r="S245" i="6"/>
  <c r="T244" i="6"/>
  <c r="S244" i="6"/>
  <c r="T243" i="6"/>
  <c r="S243" i="6"/>
  <c r="T242" i="6"/>
  <c r="S242" i="6"/>
  <c r="T241" i="6"/>
  <c r="S241" i="6"/>
  <c r="T240" i="6"/>
  <c r="S240" i="6"/>
  <c r="T239" i="6"/>
  <c r="S239" i="6"/>
  <c r="T238" i="6"/>
  <c r="S238" i="6"/>
  <c r="T237" i="6"/>
  <c r="S237" i="6"/>
  <c r="T236" i="6"/>
  <c r="S236" i="6"/>
  <c r="T235" i="6"/>
  <c r="S235" i="6"/>
  <c r="T234" i="6"/>
  <c r="S234" i="6"/>
  <c r="T233" i="6"/>
  <c r="S233" i="6"/>
  <c r="T232" i="6"/>
  <c r="S232" i="6"/>
  <c r="T231" i="6"/>
  <c r="S231" i="6"/>
  <c r="T230" i="6"/>
  <c r="S230" i="6"/>
  <c r="T229" i="6"/>
  <c r="S229" i="6"/>
  <c r="T228" i="6"/>
  <c r="S228" i="6"/>
  <c r="T227" i="6"/>
  <c r="S227" i="6"/>
  <c r="T226" i="6"/>
  <c r="S226" i="6"/>
  <c r="T225" i="6"/>
  <c r="S225" i="6"/>
  <c r="T224" i="6"/>
  <c r="S224" i="6"/>
  <c r="T223" i="6"/>
  <c r="S223" i="6"/>
  <c r="T222" i="6"/>
  <c r="S222" i="6"/>
  <c r="T221" i="6"/>
  <c r="S221" i="6"/>
  <c r="T220" i="6"/>
  <c r="S220" i="6"/>
  <c r="T219" i="6"/>
  <c r="S219" i="6"/>
  <c r="T218" i="6"/>
  <c r="S218" i="6"/>
  <c r="T217" i="6"/>
  <c r="S217" i="6"/>
  <c r="T216" i="6"/>
  <c r="S216" i="6"/>
  <c r="T215" i="6"/>
  <c r="S215" i="6"/>
  <c r="T214" i="6"/>
  <c r="S214" i="6"/>
  <c r="T213" i="6"/>
  <c r="S213" i="6"/>
  <c r="T212" i="6"/>
  <c r="S212" i="6"/>
  <c r="T211" i="6"/>
  <c r="S211" i="6"/>
  <c r="T210" i="6"/>
  <c r="S210" i="6"/>
  <c r="T209" i="6"/>
  <c r="S209" i="6"/>
  <c r="T208" i="6"/>
  <c r="S208" i="6"/>
  <c r="T207" i="6"/>
  <c r="S207" i="6"/>
  <c r="T206" i="6"/>
  <c r="S206" i="6"/>
  <c r="T205" i="6"/>
  <c r="S205" i="6"/>
  <c r="T204" i="6"/>
  <c r="S204" i="6"/>
  <c r="T203" i="6"/>
  <c r="S203" i="6"/>
  <c r="T202" i="6"/>
  <c r="S202" i="6"/>
  <c r="T201" i="6"/>
  <c r="S201" i="6"/>
  <c r="T200" i="6"/>
  <c r="S200" i="6"/>
  <c r="T199" i="6"/>
  <c r="S199" i="6"/>
  <c r="T198" i="6"/>
  <c r="S198" i="6"/>
  <c r="T197" i="6"/>
  <c r="S197" i="6"/>
  <c r="T196" i="6"/>
  <c r="S196" i="6"/>
  <c r="T195" i="6"/>
  <c r="S195" i="6"/>
  <c r="T194" i="6"/>
  <c r="S194" i="6"/>
  <c r="T193" i="6"/>
  <c r="S193" i="6"/>
  <c r="T192" i="6"/>
  <c r="S192" i="6"/>
  <c r="T191" i="6"/>
  <c r="S191" i="6"/>
  <c r="T190" i="6"/>
  <c r="S190" i="6"/>
  <c r="T189" i="6"/>
  <c r="S189" i="6"/>
  <c r="T188" i="6"/>
  <c r="S188" i="6"/>
  <c r="T187" i="6"/>
  <c r="S187" i="6"/>
  <c r="T186" i="6"/>
  <c r="S186" i="6"/>
  <c r="T185" i="6"/>
  <c r="S185" i="6"/>
  <c r="T184" i="6"/>
  <c r="S184" i="6"/>
  <c r="T183" i="6"/>
  <c r="S183" i="6"/>
  <c r="T182" i="6"/>
  <c r="S182" i="6"/>
  <c r="T181" i="6"/>
  <c r="S181" i="6"/>
  <c r="T180" i="6"/>
  <c r="S180" i="6"/>
  <c r="T179" i="6"/>
  <c r="S179" i="6"/>
  <c r="T178" i="6"/>
  <c r="S178" i="6"/>
  <c r="T177" i="6"/>
  <c r="S177" i="6"/>
  <c r="T176" i="6"/>
  <c r="S176" i="6"/>
  <c r="T175" i="6"/>
  <c r="S175" i="6"/>
  <c r="T174" i="6"/>
  <c r="S174" i="6"/>
  <c r="T173" i="6"/>
  <c r="S173" i="6"/>
  <c r="T172" i="6"/>
  <c r="S172" i="6"/>
  <c r="T171" i="6"/>
  <c r="S171" i="6"/>
  <c r="T170" i="6"/>
  <c r="S170" i="6"/>
  <c r="T169" i="6"/>
  <c r="S169" i="6"/>
  <c r="T168" i="6"/>
  <c r="S168" i="6"/>
  <c r="T167" i="6"/>
  <c r="S167" i="6"/>
  <c r="T166" i="6"/>
  <c r="S166" i="6"/>
  <c r="T165" i="6"/>
  <c r="S165" i="6"/>
  <c r="T164" i="6"/>
  <c r="S164" i="6"/>
  <c r="T163" i="6"/>
  <c r="S163" i="6"/>
  <c r="T162" i="6"/>
  <c r="S162" i="6"/>
  <c r="T161" i="6"/>
  <c r="S161" i="6"/>
  <c r="T160" i="6"/>
  <c r="S160" i="6"/>
  <c r="T159" i="6"/>
  <c r="S159" i="6"/>
  <c r="T158" i="6"/>
  <c r="S158" i="6"/>
  <c r="T157" i="6"/>
  <c r="S157" i="6"/>
  <c r="T156" i="6"/>
  <c r="S156" i="6"/>
  <c r="T155" i="6"/>
  <c r="S155" i="6"/>
  <c r="T154" i="6"/>
  <c r="S154" i="6"/>
  <c r="T153" i="6"/>
  <c r="S153" i="6"/>
  <c r="T152" i="6"/>
  <c r="S152" i="6"/>
  <c r="T151" i="6"/>
  <c r="S151" i="6"/>
  <c r="T150" i="6"/>
  <c r="S150" i="6"/>
  <c r="T149" i="6"/>
  <c r="S149" i="6"/>
  <c r="T148" i="6"/>
  <c r="S148" i="6"/>
  <c r="T147" i="6"/>
  <c r="S147" i="6"/>
  <c r="T146" i="6"/>
  <c r="S146" i="6"/>
  <c r="T145" i="6"/>
  <c r="S145" i="6"/>
  <c r="T144" i="6"/>
  <c r="S144" i="6"/>
  <c r="T143" i="6"/>
  <c r="S143" i="6"/>
  <c r="T142" i="6"/>
  <c r="S142" i="6"/>
  <c r="T141" i="6"/>
  <c r="S141" i="6"/>
  <c r="T140" i="6"/>
  <c r="S140" i="6"/>
  <c r="T139" i="6"/>
  <c r="S139" i="6"/>
  <c r="T138" i="6"/>
  <c r="S138" i="6"/>
  <c r="T137" i="6"/>
  <c r="S137" i="6"/>
  <c r="T136" i="6"/>
  <c r="S136" i="6"/>
  <c r="T135" i="6"/>
  <c r="S135" i="6"/>
  <c r="T134" i="6"/>
  <c r="S134" i="6"/>
  <c r="T133" i="6"/>
  <c r="S133" i="6"/>
  <c r="T132" i="6"/>
  <c r="S132" i="6"/>
  <c r="T131" i="6"/>
  <c r="S131" i="6"/>
  <c r="T130" i="6"/>
  <c r="S130" i="6"/>
  <c r="T129" i="6"/>
  <c r="S129" i="6"/>
  <c r="T128" i="6"/>
  <c r="S128" i="6"/>
  <c r="T127" i="6"/>
  <c r="S127" i="6"/>
  <c r="T126" i="6"/>
  <c r="S126" i="6"/>
  <c r="T125" i="6"/>
  <c r="S125" i="6"/>
  <c r="T124" i="6"/>
  <c r="S124" i="6"/>
  <c r="T123" i="6"/>
  <c r="S123" i="6"/>
  <c r="T122" i="6"/>
  <c r="S122" i="6"/>
  <c r="T121" i="6"/>
  <c r="S121" i="6"/>
  <c r="T120" i="6"/>
  <c r="S120" i="6"/>
  <c r="T119" i="6"/>
  <c r="S119" i="6"/>
  <c r="T118" i="6"/>
  <c r="S118" i="6"/>
  <c r="T117" i="6"/>
  <c r="S117" i="6"/>
  <c r="T116" i="6"/>
  <c r="S116" i="6"/>
  <c r="T115" i="6"/>
  <c r="S115" i="6"/>
  <c r="T114" i="6"/>
  <c r="S114" i="6"/>
  <c r="T113" i="6"/>
  <c r="S113" i="6"/>
  <c r="T112" i="6"/>
  <c r="S112" i="6"/>
  <c r="T111" i="6"/>
  <c r="S111" i="6"/>
  <c r="T110" i="6"/>
  <c r="S110" i="6"/>
  <c r="T109" i="6"/>
  <c r="S109" i="6"/>
  <c r="T108" i="6"/>
  <c r="S108" i="6"/>
  <c r="T107" i="6"/>
  <c r="S107" i="6"/>
  <c r="T106" i="6"/>
  <c r="S106" i="6"/>
  <c r="T105" i="6"/>
  <c r="S105" i="6"/>
  <c r="T104" i="6"/>
  <c r="S104" i="6"/>
  <c r="T103" i="6"/>
  <c r="S103" i="6"/>
  <c r="T102" i="6"/>
  <c r="S102" i="6"/>
  <c r="T101" i="6"/>
  <c r="S101" i="6"/>
  <c r="T100" i="6"/>
  <c r="S100" i="6"/>
  <c r="T99" i="6"/>
  <c r="S99" i="6"/>
  <c r="T98" i="6"/>
  <c r="S98" i="6"/>
  <c r="T97" i="6"/>
  <c r="S97" i="6"/>
  <c r="T96" i="6"/>
  <c r="S96" i="6"/>
  <c r="T95" i="6"/>
  <c r="S95" i="6"/>
  <c r="T94" i="6"/>
  <c r="S94" i="6"/>
  <c r="T93" i="6"/>
  <c r="S93" i="6"/>
  <c r="T92" i="6"/>
  <c r="S92" i="6"/>
  <c r="T91" i="6"/>
  <c r="S91" i="6"/>
  <c r="T90" i="6"/>
  <c r="S90" i="6"/>
  <c r="T89" i="6"/>
  <c r="S89" i="6"/>
  <c r="T88" i="6"/>
  <c r="S88" i="6"/>
  <c r="T87" i="6"/>
  <c r="S87" i="6"/>
  <c r="T86" i="6"/>
  <c r="S86" i="6"/>
  <c r="T85" i="6"/>
  <c r="S85" i="6"/>
  <c r="T84" i="6"/>
  <c r="S84" i="6"/>
  <c r="T83" i="6"/>
  <c r="S83" i="6"/>
  <c r="T82" i="6"/>
  <c r="S82" i="6"/>
  <c r="T81" i="6"/>
  <c r="S81" i="6"/>
  <c r="T80" i="6"/>
  <c r="S80" i="6"/>
  <c r="T79" i="6"/>
  <c r="S79" i="6"/>
  <c r="T78" i="6"/>
  <c r="S78" i="6"/>
  <c r="T77" i="6"/>
  <c r="S77" i="6"/>
  <c r="T76" i="6"/>
  <c r="S76" i="6"/>
  <c r="T75" i="6"/>
  <c r="S75" i="6"/>
  <c r="T74" i="6"/>
  <c r="S74" i="6"/>
  <c r="T73" i="6"/>
  <c r="S73" i="6"/>
  <c r="T72" i="6"/>
  <c r="S72" i="6"/>
  <c r="T71" i="6"/>
  <c r="S71" i="6"/>
  <c r="T70" i="6"/>
  <c r="S70" i="6"/>
  <c r="T69" i="6"/>
  <c r="S69" i="6"/>
  <c r="T68" i="6"/>
  <c r="S68" i="6"/>
  <c r="T67" i="6"/>
  <c r="S67" i="6"/>
  <c r="T66" i="6"/>
  <c r="S66" i="6"/>
  <c r="T65" i="6"/>
  <c r="S65" i="6"/>
  <c r="T64" i="6"/>
  <c r="S64" i="6"/>
  <c r="T63" i="6"/>
  <c r="S63" i="6"/>
  <c r="T62" i="6"/>
  <c r="S62" i="6"/>
  <c r="T61" i="6"/>
  <c r="S61" i="6"/>
  <c r="T60" i="6"/>
  <c r="S60" i="6"/>
  <c r="T59" i="6"/>
  <c r="S59" i="6"/>
  <c r="T58" i="6"/>
  <c r="S58" i="6"/>
  <c r="T57" i="6"/>
  <c r="S57" i="6"/>
  <c r="T56" i="6"/>
  <c r="S56" i="6"/>
  <c r="T55" i="6"/>
  <c r="S55" i="6"/>
  <c r="T54" i="6"/>
  <c r="S54" i="6"/>
  <c r="T53" i="6"/>
  <c r="S53" i="6"/>
  <c r="T52" i="6"/>
  <c r="S52" i="6"/>
  <c r="T51" i="6"/>
  <c r="S51" i="6"/>
  <c r="T50" i="6"/>
  <c r="S50" i="6"/>
  <c r="T49" i="6"/>
  <c r="S49" i="6"/>
  <c r="T48" i="6"/>
  <c r="S48" i="6"/>
  <c r="T47" i="6"/>
  <c r="S47" i="6"/>
  <c r="T46" i="6"/>
  <c r="S46" i="6"/>
  <c r="T45" i="6"/>
  <c r="S45" i="6"/>
  <c r="T44" i="6"/>
  <c r="S44" i="6"/>
  <c r="T43" i="6"/>
  <c r="S43" i="6"/>
  <c r="T42" i="6"/>
  <c r="S42" i="6"/>
  <c r="T41" i="6"/>
  <c r="S41" i="6"/>
  <c r="T40" i="6"/>
  <c r="S40" i="6"/>
  <c r="T39" i="6"/>
  <c r="S39" i="6"/>
  <c r="T38" i="6"/>
  <c r="S38" i="6"/>
  <c r="T37" i="6"/>
  <c r="S37" i="6"/>
  <c r="T36" i="6"/>
  <c r="S36" i="6"/>
  <c r="T35" i="6"/>
  <c r="S35" i="6"/>
  <c r="T34" i="6"/>
  <c r="S34" i="6"/>
  <c r="T33" i="6"/>
  <c r="S33" i="6"/>
  <c r="T32" i="6"/>
  <c r="S32" i="6"/>
  <c r="T31" i="6"/>
  <c r="S31" i="6"/>
  <c r="T30" i="6"/>
  <c r="S30" i="6"/>
  <c r="T29" i="6"/>
  <c r="S29" i="6"/>
  <c r="T28" i="6"/>
  <c r="S28" i="6"/>
  <c r="T27" i="6"/>
  <c r="S27" i="6"/>
  <c r="T26" i="6"/>
  <c r="S26" i="6"/>
  <c r="T25" i="6"/>
  <c r="S25" i="6"/>
  <c r="T24" i="6"/>
  <c r="S24" i="6"/>
  <c r="T23" i="6"/>
  <c r="S23" i="6"/>
  <c r="T22" i="6"/>
  <c r="S22" i="6"/>
  <c r="T21" i="6"/>
  <c r="S21" i="6"/>
  <c r="T20" i="6"/>
  <c r="S20" i="6"/>
  <c r="T19" i="6"/>
  <c r="S19" i="6"/>
  <c r="T18" i="6"/>
  <c r="S18" i="6"/>
  <c r="T17" i="6"/>
  <c r="S17" i="6"/>
  <c r="T16" i="6"/>
  <c r="S16" i="6"/>
  <c r="T15" i="6"/>
  <c r="S15" i="6"/>
  <c r="T14" i="6"/>
  <c r="S14" i="6"/>
  <c r="T13" i="6"/>
  <c r="S13" i="6"/>
  <c r="T12" i="6"/>
  <c r="S12" i="6"/>
  <c r="T11" i="6"/>
  <c r="S11" i="6"/>
  <c r="T10" i="6"/>
  <c r="S10" i="6"/>
  <c r="T9" i="6"/>
  <c r="S9" i="6"/>
  <c r="T8" i="6"/>
  <c r="S8" i="6"/>
  <c r="T7" i="6"/>
  <c r="S7" i="6"/>
  <c r="T6" i="6"/>
  <c r="S6" i="6"/>
  <c r="T5" i="6"/>
  <c r="S5" i="6"/>
  <c r="Y53" i="4" l="1"/>
  <c r="X53" i="4"/>
  <c r="W53" i="4"/>
  <c r="V53" i="4"/>
  <c r="E19" i="5"/>
  <c r="F19" i="5"/>
  <c r="E18" i="5"/>
  <c r="F18" i="5"/>
  <c r="D19" i="5"/>
  <c r="D18" i="5"/>
  <c r="E7" i="3"/>
  <c r="K7" i="3" s="1"/>
  <c r="D20" i="5" l="1"/>
  <c r="E20" i="5"/>
  <c r="F20" i="5"/>
  <c r="F23" i="5" s="1"/>
  <c r="N7" i="3"/>
  <c r="W11" i="6"/>
  <c r="W23" i="6"/>
  <c r="V27" i="6"/>
  <c r="W29" i="6"/>
  <c r="V35" i="6"/>
  <c r="V39" i="6"/>
  <c r="V43" i="6"/>
  <c r="W47" i="6"/>
  <c r="V51" i="6"/>
  <c r="V55" i="6"/>
  <c r="V59" i="6"/>
  <c r="W62" i="6"/>
  <c r="V63" i="6"/>
  <c r="V67" i="6"/>
  <c r="W71" i="6"/>
  <c r="V75" i="6"/>
  <c r="V83" i="6"/>
  <c r="V91" i="6"/>
  <c r="V99" i="6"/>
  <c r="V107" i="6"/>
  <c r="W111" i="6"/>
  <c r="V115" i="6"/>
  <c r="V119" i="6"/>
  <c r="V123" i="6"/>
  <c r="V127" i="6"/>
  <c r="V131" i="6"/>
  <c r="W135" i="6"/>
  <c r="V139" i="6"/>
  <c r="V143" i="6"/>
  <c r="V147" i="6"/>
  <c r="V151" i="6"/>
  <c r="V155" i="6"/>
  <c r="V163" i="6"/>
  <c r="V167" i="6"/>
  <c r="V171" i="6"/>
  <c r="V179" i="6"/>
  <c r="V183" i="6"/>
  <c r="V187" i="6"/>
  <c r="V195" i="6"/>
  <c r="V199" i="6"/>
  <c r="V203" i="6"/>
  <c r="W207" i="6"/>
  <c r="V211" i="6"/>
  <c r="V215" i="6"/>
  <c r="V219" i="6"/>
  <c r="V227" i="6"/>
  <c r="V235" i="6"/>
  <c r="V243" i="6"/>
  <c r="V247" i="6"/>
  <c r="V251" i="6"/>
  <c r="W255" i="6"/>
  <c r="V259" i="6"/>
  <c r="V267" i="6"/>
  <c r="W271" i="6"/>
  <c r="V275" i="6"/>
  <c r="V279" i="6"/>
  <c r="W282" i="6"/>
  <c r="V283" i="6"/>
  <c r="V287" i="6"/>
  <c r="V291" i="6"/>
  <c r="W297" i="6"/>
  <c r="V299" i="6"/>
  <c r="V303" i="6"/>
  <c r="V307" i="6"/>
  <c r="V311" i="6"/>
  <c r="V315" i="6"/>
  <c r="W318" i="6"/>
  <c r="V323" i="6"/>
  <c r="V331" i="6"/>
  <c r="W335" i="6"/>
  <c r="V339" i="6"/>
  <c r="V343" i="6"/>
  <c r="V347" i="6"/>
  <c r="V351" i="6"/>
  <c r="V355" i="6"/>
  <c r="V363" i="6"/>
  <c r="W367" i="6"/>
  <c r="W370" i="6"/>
  <c r="V371" i="6"/>
  <c r="V375" i="6"/>
  <c r="V379" i="6"/>
  <c r="W383" i="6"/>
  <c r="V387" i="6"/>
  <c r="V391" i="6"/>
  <c r="V395" i="6"/>
  <c r="V403" i="6"/>
  <c r="V407" i="6"/>
  <c r="W410" i="6"/>
  <c r="V411" i="6"/>
  <c r="V415" i="6"/>
  <c r="V419" i="6"/>
  <c r="W422" i="6"/>
  <c r="V427" i="6"/>
  <c r="V435" i="6"/>
  <c r="V439" i="6"/>
  <c r="V443" i="6"/>
  <c r="W446" i="6"/>
  <c r="W447" i="6"/>
  <c r="V451" i="6"/>
  <c r="V455" i="6"/>
  <c r="V459" i="6"/>
  <c r="V467" i="6"/>
  <c r="V471" i="6"/>
  <c r="V475" i="6"/>
  <c r="V479" i="6"/>
  <c r="W482" i="6"/>
  <c r="V483" i="6"/>
  <c r="W486" i="6"/>
  <c r="V491" i="6"/>
  <c r="W495" i="6"/>
  <c r="V499" i="6"/>
  <c r="V503" i="6"/>
  <c r="V507" i="6"/>
  <c r="V511" i="6"/>
  <c r="V515" i="6"/>
  <c r="V523" i="6"/>
  <c r="V527" i="6"/>
  <c r="W529" i="6"/>
  <c r="V531" i="6"/>
  <c r="V535" i="6"/>
  <c r="V539" i="6"/>
  <c r="V543" i="6"/>
  <c r="V547" i="6"/>
  <c r="W554" i="6"/>
  <c r="V555" i="6"/>
  <c r="V559" i="6"/>
  <c r="W562" i="6"/>
  <c r="V563" i="6"/>
  <c r="V567" i="6"/>
  <c r="V571" i="6"/>
  <c r="V579" i="6"/>
  <c r="W586" i="6"/>
  <c r="V587" i="6"/>
  <c r="V595" i="6"/>
  <c r="V599" i="6"/>
  <c r="V603" i="6"/>
  <c r="V607" i="6"/>
  <c r="V611" i="6"/>
  <c r="V619" i="6"/>
  <c r="W630" i="6"/>
  <c r="V639" i="6"/>
  <c r="V643" i="6"/>
  <c r="W650" i="6"/>
  <c r="V651" i="6"/>
  <c r="V659" i="6"/>
  <c r="V671" i="6"/>
  <c r="W674" i="6"/>
  <c r="W682" i="6"/>
  <c r="V683" i="6"/>
  <c r="W687" i="6"/>
  <c r="V689" i="6"/>
  <c r="V695" i="6"/>
  <c r="V707" i="6"/>
  <c r="V711" i="6"/>
  <c r="V715" i="6"/>
  <c r="V723" i="6"/>
  <c r="V727" i="6"/>
  <c r="V731" i="6"/>
  <c r="V735" i="6"/>
  <c r="V747" i="6"/>
  <c r="V751" i="6"/>
  <c r="V759" i="6"/>
  <c r="V763" i="6"/>
  <c r="V771" i="6"/>
  <c r="W775" i="6"/>
  <c r="V779" i="6"/>
  <c r="V791" i="6"/>
  <c r="V799" i="6"/>
  <c r="V807" i="6"/>
  <c r="V811" i="6"/>
  <c r="W815" i="6"/>
  <c r="W818" i="6"/>
  <c r="V819" i="6"/>
  <c r="V823" i="6"/>
  <c r="V827" i="6"/>
  <c r="V835" i="6"/>
  <c r="V839" i="6"/>
  <c r="V843" i="6"/>
  <c r="V851" i="6"/>
  <c r="V859" i="6"/>
  <c r="V863" i="6"/>
  <c r="V867" i="6"/>
  <c r="V870" i="6"/>
  <c r="V875" i="6"/>
  <c r="V882" i="6"/>
  <c r="V883" i="6"/>
  <c r="V887" i="6"/>
  <c r="V891" i="6"/>
  <c r="W893" i="6"/>
  <c r="V899" i="6"/>
  <c r="V907" i="6"/>
  <c r="W909" i="6"/>
  <c r="V915" i="6"/>
  <c r="V923" i="6"/>
  <c r="V931" i="6"/>
  <c r="V935" i="6"/>
  <c r="V939" i="6"/>
  <c r="V947" i="6"/>
  <c r="W950" i="6"/>
  <c r="V951" i="6"/>
  <c r="V955" i="6"/>
  <c r="V959" i="6"/>
  <c r="V963" i="6"/>
  <c r="W967" i="6"/>
  <c r="V971" i="6"/>
  <c r="V983" i="6"/>
  <c r="V995" i="6"/>
  <c r="W999" i="6"/>
  <c r="C6" i="3"/>
  <c r="C6" i="4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B13" i="2"/>
  <c r="B14" i="2"/>
  <c r="D4" i="6" s="1"/>
  <c r="B15" i="2"/>
  <c r="E4" i="6" s="1"/>
  <c r="B19" i="2"/>
  <c r="B12" i="2"/>
  <c r="W7" i="6"/>
  <c r="W8" i="6"/>
  <c r="W12" i="6"/>
  <c r="W15" i="6"/>
  <c r="W16" i="6"/>
  <c r="W20" i="6"/>
  <c r="W24" i="6"/>
  <c r="W28" i="6"/>
  <c r="W32" i="6"/>
  <c r="W36" i="6"/>
  <c r="W39" i="6"/>
  <c r="W40" i="6"/>
  <c r="W44" i="6"/>
  <c r="W48" i="6"/>
  <c r="W52" i="6"/>
  <c r="W56" i="6"/>
  <c r="W60" i="6"/>
  <c r="W63" i="6"/>
  <c r="W64" i="6"/>
  <c r="W68" i="6"/>
  <c r="W72" i="6"/>
  <c r="W76" i="6"/>
  <c r="W79" i="6"/>
  <c r="W80" i="6"/>
  <c r="W84" i="6"/>
  <c r="W88" i="6"/>
  <c r="W92" i="6"/>
  <c r="W96" i="6"/>
  <c r="W100" i="6"/>
  <c r="W104" i="6"/>
  <c r="W108" i="6"/>
  <c r="W112" i="6"/>
  <c r="W116" i="6"/>
  <c r="W120" i="6"/>
  <c r="W124" i="6"/>
  <c r="W127" i="6"/>
  <c r="W128" i="6"/>
  <c r="W132" i="6"/>
  <c r="W136" i="6"/>
  <c r="W140" i="6"/>
  <c r="W143" i="6"/>
  <c r="W144" i="6"/>
  <c r="W148" i="6"/>
  <c r="W152" i="6"/>
  <c r="W156" i="6"/>
  <c r="W160" i="6"/>
  <c r="W164" i="6"/>
  <c r="W167" i="6"/>
  <c r="W168" i="6"/>
  <c r="W172" i="6"/>
  <c r="W176" i="6"/>
  <c r="W180" i="6"/>
  <c r="W184" i="6"/>
  <c r="W188" i="6"/>
  <c r="W192" i="6"/>
  <c r="W196" i="6"/>
  <c r="W200" i="6"/>
  <c r="W204" i="6"/>
  <c r="W208" i="6"/>
  <c r="W212" i="6"/>
  <c r="W216" i="6"/>
  <c r="W220" i="6"/>
  <c r="W224" i="6"/>
  <c r="W228" i="6"/>
  <c r="W232" i="6"/>
  <c r="W236" i="6"/>
  <c r="W240" i="6"/>
  <c r="W244" i="6"/>
  <c r="W248" i="6"/>
  <c r="W252" i="6"/>
  <c r="W256" i="6"/>
  <c r="W260" i="6"/>
  <c r="W264" i="6"/>
  <c r="W268" i="6"/>
  <c r="W272" i="6"/>
  <c r="W276" i="6"/>
  <c r="W280" i="6"/>
  <c r="W284" i="6"/>
  <c r="W288" i="6"/>
  <c r="W292" i="6"/>
  <c r="W296" i="6"/>
  <c r="W300" i="6"/>
  <c r="W303" i="6"/>
  <c r="W304" i="6"/>
  <c r="W308" i="6"/>
  <c r="W312" i="6"/>
  <c r="W316" i="6"/>
  <c r="W320" i="6"/>
  <c r="W324" i="6"/>
  <c r="W328" i="6"/>
  <c r="W332" i="6"/>
  <c r="W336" i="6"/>
  <c r="W340" i="6"/>
  <c r="W344" i="6"/>
  <c r="W348" i="6"/>
  <c r="W352" i="6"/>
  <c r="W356" i="6"/>
  <c r="W360" i="6"/>
  <c r="W364" i="6"/>
  <c r="W368" i="6"/>
  <c r="W372" i="6"/>
  <c r="W376" i="6"/>
  <c r="W380" i="6"/>
  <c r="W384" i="6"/>
  <c r="W388" i="6"/>
  <c r="W391" i="6"/>
  <c r="W392" i="6"/>
  <c r="W396" i="6"/>
  <c r="W400" i="6"/>
  <c r="W404" i="6"/>
  <c r="W408" i="6"/>
  <c r="W412" i="6"/>
  <c r="W416" i="6"/>
  <c r="W420" i="6"/>
  <c r="W424" i="6"/>
  <c r="W428" i="6"/>
  <c r="W432" i="6"/>
  <c r="W436" i="6"/>
  <c r="W440" i="6"/>
  <c r="W444" i="6"/>
  <c r="W448" i="6"/>
  <c r="W452" i="6"/>
  <c r="W456" i="6"/>
  <c r="W460" i="6"/>
  <c r="W464" i="6"/>
  <c r="W468" i="6"/>
  <c r="W472" i="6"/>
  <c r="W476" i="6"/>
  <c r="W480" i="6"/>
  <c r="W484" i="6"/>
  <c r="W488" i="6"/>
  <c r="W492" i="6"/>
  <c r="W496" i="6"/>
  <c r="W500" i="6"/>
  <c r="W504" i="6"/>
  <c r="W508" i="6"/>
  <c r="W512" i="6"/>
  <c r="W516" i="6"/>
  <c r="W520" i="6"/>
  <c r="W524" i="6"/>
  <c r="W528" i="6"/>
  <c r="W532" i="6"/>
  <c r="W536" i="6"/>
  <c r="W540" i="6"/>
  <c r="W544" i="6"/>
  <c r="W548" i="6"/>
  <c r="W552" i="6"/>
  <c r="W556" i="6"/>
  <c r="W560" i="6"/>
  <c r="W564" i="6"/>
  <c r="W568" i="6"/>
  <c r="W572" i="6"/>
  <c r="W576" i="6"/>
  <c r="W580" i="6"/>
  <c r="W584" i="6"/>
  <c r="W588" i="6"/>
  <c r="W592" i="6"/>
  <c r="W596" i="6"/>
  <c r="W600" i="6"/>
  <c r="W604" i="6"/>
  <c r="W608" i="6"/>
  <c r="W612" i="6"/>
  <c r="W616" i="6"/>
  <c r="W620" i="6"/>
  <c r="W624" i="6"/>
  <c r="W628" i="6"/>
  <c r="W632" i="6"/>
  <c r="W636" i="6"/>
  <c r="W639" i="6"/>
  <c r="W640" i="6"/>
  <c r="W644" i="6"/>
  <c r="W648" i="6"/>
  <c r="W652" i="6"/>
  <c r="W656" i="6"/>
  <c r="W659" i="6"/>
  <c r="W660" i="6"/>
  <c r="W664" i="6"/>
  <c r="W668" i="6"/>
  <c r="W672" i="6"/>
  <c r="W676" i="6"/>
  <c r="W680" i="6"/>
  <c r="W684" i="6"/>
  <c r="W688" i="6"/>
  <c r="W689" i="6"/>
  <c r="W692" i="6"/>
  <c r="W696" i="6"/>
  <c r="W700" i="6"/>
  <c r="W704" i="6"/>
  <c r="W708" i="6"/>
  <c r="W711" i="6"/>
  <c r="W712" i="6"/>
  <c r="W716" i="6"/>
  <c r="W720" i="6"/>
  <c r="W723" i="6"/>
  <c r="W724" i="6"/>
  <c r="W728" i="6"/>
  <c r="W731" i="6"/>
  <c r="W732" i="6"/>
  <c r="W736" i="6"/>
  <c r="W740" i="6"/>
  <c r="W744" i="6"/>
  <c r="W748" i="6"/>
  <c r="W752" i="6"/>
  <c r="W756" i="6"/>
  <c r="W760" i="6"/>
  <c r="W763" i="6"/>
  <c r="W764" i="6"/>
  <c r="W768" i="6"/>
  <c r="W772" i="6"/>
  <c r="W776" i="6"/>
  <c r="W780" i="6"/>
  <c r="W784" i="6"/>
  <c r="W788" i="6"/>
  <c r="W792" i="6"/>
  <c r="W796" i="6"/>
  <c r="W800" i="6"/>
  <c r="W804" i="6"/>
  <c r="W808" i="6"/>
  <c r="W811" i="6"/>
  <c r="W812" i="6"/>
  <c r="W816" i="6"/>
  <c r="W820" i="6"/>
  <c r="W823" i="6"/>
  <c r="W824" i="6"/>
  <c r="W828" i="6"/>
  <c r="W832" i="6"/>
  <c r="W836" i="6"/>
  <c r="W840" i="6"/>
  <c r="W844" i="6"/>
  <c r="W848" i="6"/>
  <c r="W852" i="6"/>
  <c r="W856" i="6"/>
  <c r="W860" i="6"/>
  <c r="W863" i="6"/>
  <c r="W864" i="6"/>
  <c r="W868" i="6"/>
  <c r="W870" i="6"/>
  <c r="W872" i="6"/>
  <c r="W876" i="6"/>
  <c r="W880" i="6"/>
  <c r="W884" i="6"/>
  <c r="W888" i="6"/>
  <c r="W892" i="6"/>
  <c r="W896" i="6"/>
  <c r="W900" i="6"/>
  <c r="W904" i="6"/>
  <c r="W908" i="6"/>
  <c r="W912" i="6"/>
  <c r="W916" i="6"/>
  <c r="W920" i="6"/>
  <c r="W924" i="6"/>
  <c r="W928" i="6"/>
  <c r="W932" i="6"/>
  <c r="W935" i="6"/>
  <c r="W936" i="6"/>
  <c r="W940" i="6"/>
  <c r="W944" i="6"/>
  <c r="W948" i="6"/>
  <c r="W952" i="6"/>
  <c r="W956" i="6"/>
  <c r="W960" i="6"/>
  <c r="W964" i="6"/>
  <c r="W968" i="6"/>
  <c r="W972" i="6"/>
  <c r="W976" i="6"/>
  <c r="W980" i="6"/>
  <c r="W983" i="6"/>
  <c r="W984" i="6"/>
  <c r="W988" i="6"/>
  <c r="W992" i="6"/>
  <c r="W996" i="6"/>
  <c r="W1000" i="6"/>
  <c r="W1004" i="6"/>
  <c r="V7" i="6"/>
  <c r="V8" i="6"/>
  <c r="V11" i="6"/>
  <c r="V12" i="6"/>
  <c r="V15" i="6"/>
  <c r="V16" i="6"/>
  <c r="V19" i="6"/>
  <c r="V20" i="6"/>
  <c r="V23" i="6"/>
  <c r="V24" i="6"/>
  <c r="V28" i="6"/>
  <c r="V32" i="6"/>
  <c r="V36" i="6"/>
  <c r="V40" i="6"/>
  <c r="V44" i="6"/>
  <c r="V47" i="6"/>
  <c r="V48" i="6"/>
  <c r="V52" i="6"/>
  <c r="V56" i="6"/>
  <c r="V60" i="6"/>
  <c r="V64" i="6"/>
  <c r="V68" i="6"/>
  <c r="V71" i="6"/>
  <c r="V72" i="6"/>
  <c r="V76" i="6"/>
  <c r="V79" i="6"/>
  <c r="V80" i="6"/>
  <c r="V84" i="6"/>
  <c r="V87" i="6"/>
  <c r="V88" i="6"/>
  <c r="V92" i="6"/>
  <c r="V96" i="6"/>
  <c r="V100" i="6"/>
  <c r="V104" i="6"/>
  <c r="V108" i="6"/>
  <c r="V112" i="6"/>
  <c r="V116" i="6"/>
  <c r="V120" i="6"/>
  <c r="V124" i="6"/>
  <c r="V128" i="6"/>
  <c r="V132" i="6"/>
  <c r="V135" i="6"/>
  <c r="V136" i="6"/>
  <c r="V140" i="6"/>
  <c r="V144" i="6"/>
  <c r="V148" i="6"/>
  <c r="V152" i="6"/>
  <c r="V156" i="6"/>
  <c r="V160" i="6"/>
  <c r="V164" i="6"/>
  <c r="V168" i="6"/>
  <c r="V172" i="6"/>
  <c r="V176" i="6"/>
  <c r="V180" i="6"/>
  <c r="V184" i="6"/>
  <c r="V188" i="6"/>
  <c r="V192" i="6"/>
  <c r="V196" i="6"/>
  <c r="V200" i="6"/>
  <c r="V204" i="6"/>
  <c r="V207" i="6"/>
  <c r="V208" i="6"/>
  <c r="V212" i="6"/>
  <c r="V216" i="6"/>
  <c r="V220" i="6"/>
  <c r="V224" i="6"/>
  <c r="V228" i="6"/>
  <c r="V232" i="6"/>
  <c r="V236" i="6"/>
  <c r="V240" i="6"/>
  <c r="V244" i="6"/>
  <c r="V248" i="6"/>
  <c r="V252" i="6"/>
  <c r="V256" i="6"/>
  <c r="V260" i="6"/>
  <c r="V264" i="6"/>
  <c r="V268" i="6"/>
  <c r="V272" i="6"/>
  <c r="V276" i="6"/>
  <c r="V280" i="6"/>
  <c r="V282" i="6"/>
  <c r="V284" i="6"/>
  <c r="V288" i="6"/>
  <c r="V292" i="6"/>
  <c r="V296" i="6"/>
  <c r="V297" i="6"/>
  <c r="V300" i="6"/>
  <c r="V304" i="6"/>
  <c r="V308" i="6"/>
  <c r="V312" i="6"/>
  <c r="V316" i="6"/>
  <c r="V318" i="6"/>
  <c r="V320" i="6"/>
  <c r="V324" i="6"/>
  <c r="V328" i="6"/>
  <c r="V332" i="6"/>
  <c r="V335" i="6"/>
  <c r="V336" i="6"/>
  <c r="V340" i="6"/>
  <c r="V344" i="6"/>
  <c r="V348" i="6"/>
  <c r="V352" i="6"/>
  <c r="V356" i="6"/>
  <c r="V360" i="6"/>
  <c r="V364" i="6"/>
  <c r="V367" i="6"/>
  <c r="V368" i="6"/>
  <c r="V370" i="6"/>
  <c r="V372" i="6"/>
  <c r="V376" i="6"/>
  <c r="V380" i="6"/>
  <c r="V383" i="6"/>
  <c r="V384" i="6"/>
  <c r="V388" i="6"/>
  <c r="V392" i="6"/>
  <c r="V396" i="6"/>
  <c r="V400" i="6"/>
  <c r="V404" i="6"/>
  <c r="V408" i="6"/>
  <c r="V412" i="6"/>
  <c r="V416" i="6"/>
  <c r="V420" i="6"/>
  <c r="V424" i="6"/>
  <c r="V428" i="6"/>
  <c r="V432" i="6"/>
  <c r="V436" i="6"/>
  <c r="V440" i="6"/>
  <c r="V444" i="6"/>
  <c r="V448" i="6"/>
  <c r="V452" i="6"/>
  <c r="V456" i="6"/>
  <c r="V460" i="6"/>
  <c r="V464" i="6"/>
  <c r="V468" i="6"/>
  <c r="V472" i="6"/>
  <c r="V476" i="6"/>
  <c r="V480" i="6"/>
  <c r="V484" i="6"/>
  <c r="V486" i="6"/>
  <c r="V488" i="6"/>
  <c r="V492" i="6"/>
  <c r="V495" i="6"/>
  <c r="V496" i="6"/>
  <c r="V500" i="6"/>
  <c r="V504" i="6"/>
  <c r="V508" i="6"/>
  <c r="V512" i="6"/>
  <c r="V516" i="6"/>
  <c r="V520" i="6"/>
  <c r="V524" i="6"/>
  <c r="V528" i="6"/>
  <c r="V529" i="6"/>
  <c r="V532" i="6"/>
  <c r="V536" i="6"/>
  <c r="V540" i="6"/>
  <c r="V544" i="6"/>
  <c r="V548" i="6"/>
  <c r="V552" i="6"/>
  <c r="V556" i="6"/>
  <c r="V560" i="6"/>
  <c r="V564" i="6"/>
  <c r="V568" i="6"/>
  <c r="V572" i="6"/>
  <c r="V576" i="6"/>
  <c r="V580" i="6"/>
  <c r="V584" i="6"/>
  <c r="V588" i="6"/>
  <c r="V592" i="6"/>
  <c r="V596" i="6"/>
  <c r="V600" i="6"/>
  <c r="V604" i="6"/>
  <c r="V608" i="6"/>
  <c r="V612" i="6"/>
  <c r="V616" i="6"/>
  <c r="V620" i="6"/>
  <c r="V624" i="6"/>
  <c r="V628" i="6"/>
  <c r="V630" i="6"/>
  <c r="V631" i="6"/>
  <c r="V632" i="6"/>
  <c r="V636" i="6"/>
  <c r="V640" i="6"/>
  <c r="V644" i="6"/>
  <c r="V648" i="6"/>
  <c r="V650" i="6"/>
  <c r="V652" i="6"/>
  <c r="V656" i="6"/>
  <c r="V660" i="6"/>
  <c r="V663" i="6"/>
  <c r="V664" i="6"/>
  <c r="V668" i="6"/>
  <c r="V672" i="6"/>
  <c r="V674" i="6"/>
  <c r="V676" i="6"/>
  <c r="V680" i="6"/>
  <c r="V682" i="6"/>
  <c r="V684" i="6"/>
  <c r="V687" i="6"/>
  <c r="V688" i="6"/>
  <c r="V692" i="6"/>
  <c r="V696" i="6"/>
  <c r="V700" i="6"/>
  <c r="V704" i="6"/>
  <c r="V708" i="6"/>
  <c r="V712" i="6"/>
  <c r="V716" i="6"/>
  <c r="V720" i="6"/>
  <c r="V724" i="6"/>
  <c r="V728" i="6"/>
  <c r="V732" i="6"/>
  <c r="V736" i="6"/>
  <c r="V740" i="6"/>
  <c r="V744" i="6"/>
  <c r="V748" i="6"/>
  <c r="V752" i="6"/>
  <c r="V756" i="6"/>
  <c r="V760" i="6"/>
  <c r="V764" i="6"/>
  <c r="V768" i="6"/>
  <c r="V772" i="6"/>
  <c r="V775" i="6"/>
  <c r="V776" i="6"/>
  <c r="V780" i="6"/>
  <c r="V784" i="6"/>
  <c r="V788" i="6"/>
  <c r="V792" i="6"/>
  <c r="V796" i="6"/>
  <c r="V800" i="6"/>
  <c r="V804" i="6"/>
  <c r="V808" i="6"/>
  <c r="V812" i="6"/>
  <c r="V815" i="6"/>
  <c r="V816" i="6"/>
  <c r="V818" i="6"/>
  <c r="V820" i="6"/>
  <c r="V824" i="6"/>
  <c r="V828" i="6"/>
  <c r="V831" i="6"/>
  <c r="V832" i="6"/>
  <c r="V836" i="6"/>
  <c r="V840" i="6"/>
  <c r="V844" i="6"/>
  <c r="V848" i="6"/>
  <c r="V852" i="6"/>
  <c r="V856" i="6"/>
  <c r="V860" i="6"/>
  <c r="V864" i="6"/>
  <c r="V868" i="6"/>
  <c r="V872" i="6"/>
  <c r="V876" i="6"/>
  <c r="V880" i="6"/>
  <c r="V884" i="6"/>
  <c r="V888" i="6"/>
  <c r="V892" i="6"/>
  <c r="V893" i="6"/>
  <c r="V895" i="6"/>
  <c r="V896" i="6"/>
  <c r="V900" i="6"/>
  <c r="V904" i="6"/>
  <c r="V908" i="6"/>
  <c r="V909" i="6"/>
  <c r="V912" i="6"/>
  <c r="V916" i="6"/>
  <c r="V920" i="6"/>
  <c r="V924" i="6"/>
  <c r="V928" i="6"/>
  <c r="V932" i="6"/>
  <c r="V936" i="6"/>
  <c r="V940" i="6"/>
  <c r="V944" i="6"/>
  <c r="V948" i="6"/>
  <c r="V952" i="6"/>
  <c r="V956" i="6"/>
  <c r="V960" i="6"/>
  <c r="V964" i="6"/>
  <c r="V967" i="6"/>
  <c r="V968" i="6"/>
  <c r="V972" i="6"/>
  <c r="V976" i="6"/>
  <c r="V979" i="6"/>
  <c r="V980" i="6"/>
  <c r="V984" i="6"/>
  <c r="V987" i="6"/>
  <c r="V988" i="6"/>
  <c r="V992" i="6"/>
  <c r="V996" i="6"/>
  <c r="V999" i="6"/>
  <c r="V1000" i="6"/>
  <c r="V1003" i="6"/>
  <c r="V1004" i="6"/>
  <c r="B26" i="2"/>
  <c r="Y53" i="3"/>
  <c r="X53" i="3"/>
  <c r="W53" i="3"/>
  <c r="V53" i="3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B20" i="2"/>
  <c r="G4" i="6" s="1"/>
  <c r="V6" i="4"/>
  <c r="X6" i="4"/>
  <c r="AD53" i="4"/>
  <c r="AC53" i="4"/>
  <c r="AB53" i="4"/>
  <c r="AA53" i="4"/>
  <c r="AD53" i="3"/>
  <c r="AC53" i="3"/>
  <c r="AB53" i="3"/>
  <c r="AA53" i="3"/>
  <c r="V6" i="3"/>
  <c r="X6" i="3"/>
  <c r="H7" i="4"/>
  <c r="H7" i="3"/>
  <c r="Q1007" i="6"/>
  <c r="P1007" i="6"/>
  <c r="O1007" i="6"/>
  <c r="N1007" i="6"/>
  <c r="M1007" i="6"/>
  <c r="L1007" i="6"/>
  <c r="C1007" i="6"/>
  <c r="D1007" i="6"/>
  <c r="E1007" i="6"/>
  <c r="F1007" i="6"/>
  <c r="G1007" i="6"/>
  <c r="H1007" i="6"/>
  <c r="I1007" i="6"/>
  <c r="J1007" i="6"/>
  <c r="B1007" i="6"/>
  <c r="J3" i="6"/>
  <c r="I3" i="6"/>
  <c r="H3" i="6"/>
  <c r="G3" i="6"/>
  <c r="F3" i="6"/>
  <c r="E3" i="6"/>
  <c r="D3" i="6"/>
  <c r="C3" i="6"/>
  <c r="B3" i="6"/>
  <c r="S53" i="3"/>
  <c r="R53" i="3"/>
  <c r="Q53" i="3"/>
  <c r="P53" i="3"/>
  <c r="N53" i="3"/>
  <c r="M53" i="3"/>
  <c r="L53" i="3"/>
  <c r="K53" i="3"/>
  <c r="S53" i="4"/>
  <c r="Q53" i="4"/>
  <c r="R53" i="4"/>
  <c r="P53" i="4"/>
  <c r="M53" i="4"/>
  <c r="N53" i="4"/>
  <c r="L53" i="4"/>
  <c r="K53" i="4"/>
  <c r="C51" i="4"/>
  <c r="I6" i="4"/>
  <c r="I6" i="3"/>
  <c r="C51" i="3"/>
  <c r="B25" i="2"/>
  <c r="E23" i="5" l="1"/>
  <c r="H4" i="6"/>
  <c r="F4" i="6"/>
  <c r="W6" i="4"/>
  <c r="Y6" i="4" s="1"/>
  <c r="W6" i="3"/>
  <c r="Y6" i="3" s="1"/>
  <c r="F7" i="3"/>
  <c r="Q7" i="3" s="1"/>
  <c r="Q6" i="3"/>
  <c r="AB6" i="3" s="1"/>
  <c r="G7" i="4"/>
  <c r="G7" i="3"/>
  <c r="Q6" i="4"/>
  <c r="AB6" i="4" s="1"/>
  <c r="I4" i="6"/>
  <c r="AA6" i="4"/>
  <c r="B4" i="6"/>
  <c r="AA6" i="3"/>
  <c r="AC6" i="3" s="1"/>
  <c r="AD6" i="3" s="1"/>
  <c r="C4" i="6"/>
  <c r="L7" i="3"/>
  <c r="I7" i="3"/>
  <c r="W7" i="3"/>
  <c r="E8" i="3"/>
  <c r="AA7" i="3"/>
  <c r="M7" i="3"/>
  <c r="W1005" i="6"/>
  <c r="V1005" i="6"/>
  <c r="V1001" i="6"/>
  <c r="W1001" i="6"/>
  <c r="W997" i="6"/>
  <c r="V997" i="6"/>
  <c r="W993" i="6"/>
  <c r="V993" i="6"/>
  <c r="W989" i="6"/>
  <c r="V989" i="6"/>
  <c r="V985" i="6"/>
  <c r="W985" i="6"/>
  <c r="W981" i="6"/>
  <c r="V981" i="6"/>
  <c r="W977" i="6"/>
  <c r="V977" i="6"/>
  <c r="W973" i="6"/>
  <c r="V973" i="6"/>
  <c r="V969" i="6"/>
  <c r="W969" i="6"/>
  <c r="W965" i="6"/>
  <c r="V965" i="6"/>
  <c r="V961" i="6"/>
  <c r="W961" i="6"/>
  <c r="W957" i="6"/>
  <c r="V957" i="6"/>
  <c r="V953" i="6"/>
  <c r="W953" i="6"/>
  <c r="V949" i="6"/>
  <c r="W949" i="6"/>
  <c r="V945" i="6"/>
  <c r="W945" i="6"/>
  <c r="W941" i="6"/>
  <c r="V941" i="6"/>
  <c r="V937" i="6"/>
  <c r="W937" i="6"/>
  <c r="W929" i="6"/>
  <c r="V929" i="6"/>
  <c r="W925" i="6"/>
  <c r="V925" i="6"/>
  <c r="V921" i="6"/>
  <c r="W921" i="6"/>
  <c r="W917" i="6"/>
  <c r="V917" i="6"/>
  <c r="W913" i="6"/>
  <c r="V913" i="6"/>
  <c r="V905" i="6"/>
  <c r="W905" i="6"/>
  <c r="V901" i="6"/>
  <c r="W901" i="6"/>
  <c r="V897" i="6"/>
  <c r="W897" i="6"/>
  <c r="V889" i="6"/>
  <c r="W889" i="6"/>
  <c r="V885" i="6"/>
  <c r="W885" i="6"/>
  <c r="V881" i="6"/>
  <c r="W881" i="6"/>
  <c r="W877" i="6"/>
  <c r="V877" i="6"/>
  <c r="V873" i="6"/>
  <c r="W873" i="6"/>
  <c r="W869" i="6"/>
  <c r="V869" i="6"/>
  <c r="W865" i="6"/>
  <c r="V865" i="6"/>
  <c r="V861" i="6"/>
  <c r="W861" i="6"/>
  <c r="V857" i="6"/>
  <c r="W857" i="6"/>
  <c r="V853" i="6"/>
  <c r="W853" i="6"/>
  <c r="W849" i="6"/>
  <c r="V849" i="6"/>
  <c r="V845" i="6"/>
  <c r="W845" i="6"/>
  <c r="W841" i="6"/>
  <c r="V841" i="6"/>
  <c r="V837" i="6"/>
  <c r="W837" i="6"/>
  <c r="V833" i="6"/>
  <c r="W833" i="6"/>
  <c r="W829" i="6"/>
  <c r="V829" i="6"/>
  <c r="V825" i="6"/>
  <c r="W825" i="6"/>
  <c r="W821" i="6"/>
  <c r="V821" i="6"/>
  <c r="W817" i="6"/>
  <c r="V817" i="6"/>
  <c r="W813" i="6"/>
  <c r="V813" i="6"/>
  <c r="W809" i="6"/>
  <c r="V809" i="6"/>
  <c r="W805" i="6"/>
  <c r="V805" i="6"/>
  <c r="W801" i="6"/>
  <c r="V801" i="6"/>
  <c r="W797" i="6"/>
  <c r="V797" i="6"/>
  <c r="W793" i="6"/>
  <c r="V793" i="6"/>
  <c r="W789" i="6"/>
  <c r="V789" i="6"/>
  <c r="W785" i="6"/>
  <c r="V785" i="6"/>
  <c r="W781" i="6"/>
  <c r="V781" i="6"/>
  <c r="V777" i="6"/>
  <c r="W777" i="6"/>
  <c r="W773" i="6"/>
  <c r="V773" i="6"/>
  <c r="W769" i="6"/>
  <c r="V769" i="6"/>
  <c r="W765" i="6"/>
  <c r="V765" i="6"/>
  <c r="V761" i="6"/>
  <c r="W761" i="6"/>
  <c r="W757" i="6"/>
  <c r="V757" i="6"/>
  <c r="V753" i="6"/>
  <c r="W753" i="6"/>
  <c r="W749" i="6"/>
  <c r="V749" i="6"/>
  <c r="W745" i="6"/>
  <c r="V745" i="6"/>
  <c r="W741" i="6"/>
  <c r="V741" i="6"/>
  <c r="W737" i="6"/>
  <c r="V737" i="6"/>
  <c r="W733" i="6"/>
  <c r="V733" i="6"/>
  <c r="W729" i="6"/>
  <c r="V729" i="6"/>
  <c r="W725" i="6"/>
  <c r="V725" i="6"/>
  <c r="W721" i="6"/>
  <c r="V721" i="6"/>
  <c r="W717" i="6"/>
  <c r="V717" i="6"/>
  <c r="W713" i="6"/>
  <c r="V713" i="6"/>
  <c r="W709" i="6"/>
  <c r="V709" i="6"/>
  <c r="W705" i="6"/>
  <c r="V705" i="6"/>
  <c r="W701" i="6"/>
  <c r="V701" i="6"/>
  <c r="V697" i="6"/>
  <c r="W697" i="6"/>
  <c r="W693" i="6"/>
  <c r="V693" i="6"/>
  <c r="W685" i="6"/>
  <c r="V685" i="6"/>
  <c r="W681" i="6"/>
  <c r="V681" i="6"/>
  <c r="W677" i="6"/>
  <c r="V677" i="6"/>
  <c r="W673" i="6"/>
  <c r="V673" i="6"/>
  <c r="W669" i="6"/>
  <c r="V669" i="6"/>
  <c r="W665" i="6"/>
  <c r="V665" i="6"/>
  <c r="W661" i="6"/>
  <c r="V661" i="6"/>
  <c r="W657" i="6"/>
  <c r="V657" i="6"/>
  <c r="W653" i="6"/>
  <c r="V653" i="6"/>
  <c r="W649" i="6"/>
  <c r="V649" i="6"/>
  <c r="W645" i="6"/>
  <c r="V645" i="6"/>
  <c r="W641" i="6"/>
  <c r="V641" i="6"/>
  <c r="W637" i="6"/>
  <c r="V637" i="6"/>
  <c r="V633" i="6"/>
  <c r="W633" i="6"/>
  <c r="W629" i="6"/>
  <c r="V629" i="6"/>
  <c r="V625" i="6"/>
  <c r="W625" i="6"/>
  <c r="W621" i="6"/>
  <c r="V621" i="6"/>
  <c r="W617" i="6"/>
  <c r="V617" i="6"/>
  <c r="W613" i="6"/>
  <c r="V613" i="6"/>
  <c r="W609" i="6"/>
  <c r="V609" i="6"/>
  <c r="W605" i="6"/>
  <c r="V605" i="6"/>
  <c r="V601" i="6"/>
  <c r="W601" i="6"/>
  <c r="V597" i="6"/>
  <c r="W597" i="6"/>
  <c r="W589" i="6"/>
  <c r="V589" i="6"/>
  <c r="V585" i="6"/>
  <c r="W585" i="6"/>
  <c r="W581" i="6"/>
  <c r="V581" i="6"/>
  <c r="W577" i="6"/>
  <c r="V577" i="6"/>
  <c r="W573" i="6"/>
  <c r="V573" i="6"/>
  <c r="W569" i="6"/>
  <c r="V569" i="6"/>
  <c r="W565" i="6"/>
  <c r="V565" i="6"/>
  <c r="V561" i="6"/>
  <c r="W561" i="6"/>
  <c r="W557" i="6"/>
  <c r="V557" i="6"/>
  <c r="W553" i="6"/>
  <c r="V553" i="6"/>
  <c r="W549" i="6"/>
  <c r="V549" i="6"/>
  <c r="W545" i="6"/>
  <c r="V545" i="6"/>
  <c r="W541" i="6"/>
  <c r="V541" i="6"/>
  <c r="W537" i="6"/>
  <c r="V537" i="6"/>
  <c r="W533" i="6"/>
  <c r="V533" i="6"/>
  <c r="W525" i="6"/>
  <c r="V525" i="6"/>
  <c r="W521" i="6"/>
  <c r="V521" i="6"/>
  <c r="W517" i="6"/>
  <c r="V517" i="6"/>
  <c r="W513" i="6"/>
  <c r="V513" i="6"/>
  <c r="V509" i="6"/>
  <c r="W509" i="6"/>
  <c r="W505" i="6"/>
  <c r="V505" i="6"/>
  <c r="W501" i="6"/>
  <c r="V501" i="6"/>
  <c r="V497" i="6"/>
  <c r="W497" i="6"/>
  <c r="W493" i="6"/>
  <c r="V493" i="6"/>
  <c r="W489" i="6"/>
  <c r="V489" i="6"/>
  <c r="V485" i="6"/>
  <c r="W485" i="6"/>
  <c r="W481" i="6"/>
  <c r="V481" i="6"/>
  <c r="W477" i="6"/>
  <c r="V477" i="6"/>
  <c r="V473" i="6"/>
  <c r="W473" i="6"/>
  <c r="V469" i="6"/>
  <c r="W469" i="6"/>
  <c r="W465" i="6"/>
  <c r="V465" i="6"/>
  <c r="W461" i="6"/>
  <c r="V461" i="6"/>
  <c r="W453" i="6"/>
  <c r="V453" i="6"/>
  <c r="W449" i="6"/>
  <c r="V449" i="6"/>
  <c r="W445" i="6"/>
  <c r="V445" i="6"/>
  <c r="W441" i="6"/>
  <c r="V441" i="6"/>
  <c r="V437" i="6"/>
  <c r="W437" i="6"/>
  <c r="W433" i="6"/>
  <c r="V433" i="6"/>
  <c r="W429" i="6"/>
  <c r="V429" i="6"/>
  <c r="W425" i="6"/>
  <c r="V425" i="6"/>
  <c r="V421" i="6"/>
  <c r="W421" i="6"/>
  <c r="W417" i="6"/>
  <c r="V417" i="6"/>
  <c r="W413" i="6"/>
  <c r="V413" i="6"/>
  <c r="W409" i="6"/>
  <c r="V409" i="6"/>
  <c r="V405" i="6"/>
  <c r="W405" i="6"/>
  <c r="W401" i="6"/>
  <c r="V401" i="6"/>
  <c r="W397" i="6"/>
  <c r="V397" i="6"/>
  <c r="W393" i="6"/>
  <c r="V393" i="6"/>
  <c r="W389" i="6"/>
  <c r="V389" i="6"/>
  <c r="W385" i="6"/>
  <c r="V385" i="6"/>
  <c r="W381" i="6"/>
  <c r="V381" i="6"/>
  <c r="W377" i="6"/>
  <c r="V377" i="6"/>
  <c r="V373" i="6"/>
  <c r="W373" i="6"/>
  <c r="W369" i="6"/>
  <c r="V369" i="6"/>
  <c r="W365" i="6"/>
  <c r="V365" i="6"/>
  <c r="W361" i="6"/>
  <c r="V361" i="6"/>
  <c r="V357" i="6"/>
  <c r="W357" i="6"/>
  <c r="W353" i="6"/>
  <c r="V353" i="6"/>
  <c r="V349" i="6"/>
  <c r="W349" i="6"/>
  <c r="W345" i="6"/>
  <c r="V345" i="6"/>
  <c r="V341" i="6"/>
  <c r="W341" i="6"/>
  <c r="W337" i="6"/>
  <c r="V337" i="6"/>
  <c r="W333" i="6"/>
  <c r="V333" i="6"/>
  <c r="V329" i="6"/>
  <c r="W329" i="6"/>
  <c r="W325" i="6"/>
  <c r="V325" i="6"/>
  <c r="W321" i="6"/>
  <c r="V321" i="6"/>
  <c r="W317" i="6"/>
  <c r="V317" i="6"/>
  <c r="W313" i="6"/>
  <c r="V313" i="6"/>
  <c r="W309" i="6"/>
  <c r="V309" i="6"/>
  <c r="V305" i="6"/>
  <c r="W305" i="6"/>
  <c r="V293" i="6"/>
  <c r="W293" i="6"/>
  <c r="W289" i="6"/>
  <c r="V289" i="6"/>
  <c r="W285" i="6"/>
  <c r="V285" i="6"/>
  <c r="W281" i="6"/>
  <c r="V281" i="6"/>
  <c r="W277" i="6"/>
  <c r="V277" i="6"/>
  <c r="W273" i="6"/>
  <c r="V273" i="6"/>
  <c r="W269" i="6"/>
  <c r="V269" i="6"/>
  <c r="V265" i="6"/>
  <c r="W265" i="6"/>
  <c r="W261" i="6"/>
  <c r="V261" i="6"/>
  <c r="W257" i="6"/>
  <c r="V257" i="6"/>
  <c r="W253" i="6"/>
  <c r="V253" i="6"/>
  <c r="W249" i="6"/>
  <c r="V249" i="6"/>
  <c r="W245" i="6"/>
  <c r="V245" i="6"/>
  <c r="W241" i="6"/>
  <c r="V241" i="6"/>
  <c r="W237" i="6"/>
  <c r="V237" i="6"/>
  <c r="W233" i="6"/>
  <c r="V233" i="6"/>
  <c r="W229" i="6"/>
  <c r="V229" i="6"/>
  <c r="W225" i="6"/>
  <c r="V225" i="6"/>
  <c r="W221" i="6"/>
  <c r="V221" i="6"/>
  <c r="W217" i="6"/>
  <c r="V217" i="6"/>
  <c r="V213" i="6"/>
  <c r="W213" i="6"/>
  <c r="W209" i="6"/>
  <c r="V209" i="6"/>
  <c r="W205" i="6"/>
  <c r="V205" i="6"/>
  <c r="V201" i="6"/>
  <c r="W201" i="6"/>
  <c r="W197" i="6"/>
  <c r="V197" i="6"/>
  <c r="W193" i="6"/>
  <c r="V193" i="6"/>
  <c r="V189" i="6"/>
  <c r="W189" i="6"/>
  <c r="W185" i="6"/>
  <c r="V185" i="6"/>
  <c r="V181" i="6"/>
  <c r="W181" i="6"/>
  <c r="V177" i="6"/>
  <c r="W177" i="6"/>
  <c r="W173" i="6"/>
  <c r="V173" i="6"/>
  <c r="W169" i="6"/>
  <c r="V169" i="6"/>
  <c r="V165" i="6"/>
  <c r="W165" i="6"/>
  <c r="W161" i="6"/>
  <c r="V161" i="6"/>
  <c r="W157" i="6"/>
  <c r="V157" i="6"/>
  <c r="W153" i="6"/>
  <c r="V153" i="6"/>
  <c r="W149" i="6"/>
  <c r="V149" i="6"/>
  <c r="W145" i="6"/>
  <c r="V145" i="6"/>
  <c r="W141" i="6"/>
  <c r="V141" i="6"/>
  <c r="V137" i="6"/>
  <c r="W137" i="6"/>
  <c r="W133" i="6"/>
  <c r="V133" i="6"/>
  <c r="W129" i="6"/>
  <c r="V129" i="6"/>
  <c r="W125" i="6"/>
  <c r="V125" i="6"/>
  <c r="W121" i="6"/>
  <c r="V121" i="6"/>
  <c r="W117" i="6"/>
  <c r="V117" i="6"/>
  <c r="W113" i="6"/>
  <c r="V113" i="6"/>
  <c r="W109" i="6"/>
  <c r="V109" i="6"/>
  <c r="W105" i="6"/>
  <c r="V105" i="6"/>
  <c r="W101" i="6"/>
  <c r="V101" i="6"/>
  <c r="W97" i="6"/>
  <c r="V97" i="6"/>
  <c r="W93" i="6"/>
  <c r="V93" i="6"/>
  <c r="V89" i="6"/>
  <c r="W89" i="6"/>
  <c r="V85" i="6"/>
  <c r="W85" i="6"/>
  <c r="W81" i="6"/>
  <c r="V81" i="6"/>
  <c r="W77" i="6"/>
  <c r="V77" i="6"/>
  <c r="V73" i="6"/>
  <c r="W73" i="6"/>
  <c r="W69" i="6"/>
  <c r="V69" i="6"/>
  <c r="W65" i="6"/>
  <c r="V65" i="6"/>
  <c r="W61" i="6"/>
  <c r="V61" i="6"/>
  <c r="W57" i="6"/>
  <c r="V57" i="6"/>
  <c r="V53" i="6"/>
  <c r="W53" i="6"/>
  <c r="V49" i="6"/>
  <c r="W49" i="6"/>
  <c r="W45" i="6"/>
  <c r="V45" i="6"/>
  <c r="W41" i="6"/>
  <c r="V41" i="6"/>
  <c r="V37" i="6"/>
  <c r="W37" i="6"/>
  <c r="W33" i="6"/>
  <c r="V33" i="6"/>
  <c r="W25" i="6"/>
  <c r="V25" i="6"/>
  <c r="W21" i="6"/>
  <c r="V21" i="6"/>
  <c r="W17" i="6"/>
  <c r="V17" i="6"/>
  <c r="W13" i="6"/>
  <c r="V13" i="6"/>
  <c r="W9" i="6"/>
  <c r="V9" i="6"/>
  <c r="V457" i="6"/>
  <c r="W457" i="6"/>
  <c r="V29" i="6"/>
  <c r="W933" i="6"/>
  <c r="V933" i="6"/>
  <c r="W301" i="6"/>
  <c r="V301" i="6"/>
  <c r="W593" i="6"/>
  <c r="V593" i="6"/>
  <c r="W1002" i="6"/>
  <c r="V1002" i="6"/>
  <c r="V994" i="6"/>
  <c r="W994" i="6"/>
  <c r="W986" i="6"/>
  <c r="V986" i="6"/>
  <c r="W978" i="6"/>
  <c r="V978" i="6"/>
  <c r="V970" i="6"/>
  <c r="W970" i="6"/>
  <c r="W966" i="6"/>
  <c r="V966" i="6"/>
  <c r="V958" i="6"/>
  <c r="W958" i="6"/>
  <c r="V954" i="6"/>
  <c r="W954" i="6"/>
  <c r="V946" i="6"/>
  <c r="W946" i="6"/>
  <c r="W938" i="6"/>
  <c r="V938" i="6"/>
  <c r="V930" i="6"/>
  <c r="W930" i="6"/>
  <c r="W922" i="6"/>
  <c r="V922" i="6"/>
  <c r="W914" i="6"/>
  <c r="V914" i="6"/>
  <c r="W902" i="6"/>
  <c r="V902" i="6"/>
  <c r="W894" i="6"/>
  <c r="V894" i="6"/>
  <c r="W878" i="6"/>
  <c r="V878" i="6"/>
  <c r="W874" i="6"/>
  <c r="V874" i="6"/>
  <c r="W866" i="6"/>
  <c r="V866" i="6"/>
  <c r="W858" i="6"/>
  <c r="V858" i="6"/>
  <c r="W850" i="6"/>
  <c r="V850" i="6"/>
  <c r="W842" i="6"/>
  <c r="V842" i="6"/>
  <c r="V834" i="6"/>
  <c r="W834" i="6"/>
  <c r="W826" i="6"/>
  <c r="V826" i="6"/>
  <c r="W822" i="6"/>
  <c r="V822" i="6"/>
  <c r="W814" i="6"/>
  <c r="V814" i="6"/>
  <c r="W806" i="6"/>
  <c r="V806" i="6"/>
  <c r="W794" i="6"/>
  <c r="V794" i="6"/>
  <c r="W786" i="6"/>
  <c r="V786" i="6"/>
  <c r="W778" i="6"/>
  <c r="V778" i="6"/>
  <c r="V770" i="6"/>
  <c r="W770" i="6"/>
  <c r="V762" i="6"/>
  <c r="W762" i="6"/>
  <c r="W754" i="6"/>
  <c r="V754" i="6"/>
  <c r="W742" i="6"/>
  <c r="V742" i="6"/>
  <c r="W730" i="6"/>
  <c r="V730" i="6"/>
  <c r="W722" i="6"/>
  <c r="V722" i="6"/>
  <c r="W714" i="6"/>
  <c r="V714" i="6"/>
  <c r="V706" i="6"/>
  <c r="W706" i="6"/>
  <c r="V698" i="6"/>
  <c r="W698" i="6"/>
  <c r="V690" i="6"/>
  <c r="W690" i="6"/>
  <c r="W686" i="6"/>
  <c r="V686" i="6"/>
  <c r="W666" i="6"/>
  <c r="V666" i="6"/>
  <c r="W658" i="6"/>
  <c r="V658" i="6"/>
  <c r="W654" i="6"/>
  <c r="V654" i="6"/>
  <c r="W646" i="6"/>
  <c r="V646" i="6"/>
  <c r="W638" i="6"/>
  <c r="V638" i="6"/>
  <c r="W634" i="6"/>
  <c r="V634" i="6"/>
  <c r="W626" i="6"/>
  <c r="V626" i="6"/>
  <c r="W618" i="6"/>
  <c r="V618" i="6"/>
  <c r="W610" i="6"/>
  <c r="V610" i="6"/>
  <c r="W598" i="6"/>
  <c r="V598" i="6"/>
  <c r="W574" i="6"/>
  <c r="V574" i="6"/>
  <c r="W558" i="6"/>
  <c r="V558" i="6"/>
  <c r="W550" i="6"/>
  <c r="V550" i="6"/>
  <c r="W542" i="6"/>
  <c r="V542" i="6"/>
  <c r="W534" i="6"/>
  <c r="V534" i="6"/>
  <c r="W526" i="6"/>
  <c r="V526" i="6"/>
  <c r="W518" i="6"/>
  <c r="V518" i="6"/>
  <c r="W510" i="6"/>
  <c r="V510" i="6"/>
  <c r="W502" i="6"/>
  <c r="V502" i="6"/>
  <c r="V494" i="6"/>
  <c r="W494" i="6"/>
  <c r="W490" i="6"/>
  <c r="V490" i="6"/>
  <c r="W474" i="6"/>
  <c r="V474" i="6"/>
  <c r="W466" i="6"/>
  <c r="V466" i="6"/>
  <c r="V462" i="6"/>
  <c r="W462" i="6"/>
  <c r="W454" i="6"/>
  <c r="V454" i="6"/>
  <c r="W450" i="6"/>
  <c r="V450" i="6"/>
  <c r="W438" i="6"/>
  <c r="V438" i="6"/>
  <c r="W402" i="6"/>
  <c r="V402" i="6"/>
  <c r="W394" i="6"/>
  <c r="V394" i="6"/>
  <c r="W390" i="6"/>
  <c r="V390" i="6"/>
  <c r="W382" i="6"/>
  <c r="V382" i="6"/>
  <c r="W378" i="6"/>
  <c r="V378" i="6"/>
  <c r="W374" i="6"/>
  <c r="V374" i="6"/>
  <c r="V366" i="6"/>
  <c r="W366" i="6"/>
  <c r="W358" i="6"/>
  <c r="V358" i="6"/>
  <c r="W350" i="6"/>
  <c r="V350" i="6"/>
  <c r="W342" i="6"/>
  <c r="V342" i="6"/>
  <c r="W334" i="6"/>
  <c r="V334" i="6"/>
  <c r="W330" i="6"/>
  <c r="V330" i="6"/>
  <c r="W326" i="6"/>
  <c r="V326" i="6"/>
  <c r="W322" i="6"/>
  <c r="V322" i="6"/>
  <c r="W314" i="6"/>
  <c r="V314" i="6"/>
  <c r="W306" i="6"/>
  <c r="V306" i="6"/>
  <c r="W294" i="6"/>
  <c r="V294" i="6"/>
  <c r="W270" i="6"/>
  <c r="V270" i="6"/>
  <c r="W262" i="6"/>
  <c r="V262" i="6"/>
  <c r="W254" i="6"/>
  <c r="V254" i="6"/>
  <c r="W246" i="6"/>
  <c r="V246" i="6"/>
  <c r="W234" i="6"/>
  <c r="V234" i="6"/>
  <c r="W226" i="6"/>
  <c r="V226" i="6"/>
  <c r="W218" i="6"/>
  <c r="V218" i="6"/>
  <c r="W210" i="6"/>
  <c r="V210" i="6"/>
  <c r="W198" i="6"/>
  <c r="V198" i="6"/>
  <c r="V190" i="6"/>
  <c r="W190" i="6"/>
  <c r="W182" i="6"/>
  <c r="V182" i="6"/>
  <c r="V174" i="6"/>
  <c r="W174" i="6"/>
  <c r="W166" i="6"/>
  <c r="V166" i="6"/>
  <c r="W158" i="6"/>
  <c r="V158" i="6"/>
  <c r="W154" i="6"/>
  <c r="V154" i="6"/>
  <c r="W146" i="6"/>
  <c r="V146" i="6"/>
  <c r="W142" i="6"/>
  <c r="V142" i="6"/>
  <c r="W134" i="6"/>
  <c r="V134" i="6"/>
  <c r="W130" i="6"/>
  <c r="V130" i="6"/>
  <c r="V126" i="6"/>
  <c r="W126" i="6"/>
  <c r="W122" i="6"/>
  <c r="V122" i="6"/>
  <c r="W118" i="6"/>
  <c r="V118" i="6"/>
  <c r="V110" i="6"/>
  <c r="W110" i="6"/>
  <c r="W106" i="6"/>
  <c r="V106" i="6"/>
  <c r="V102" i="6"/>
  <c r="W102" i="6"/>
  <c r="W98" i="6"/>
  <c r="V98" i="6"/>
  <c r="W94" i="6"/>
  <c r="V94" i="6"/>
  <c r="W90" i="6"/>
  <c r="V90" i="6"/>
  <c r="W86" i="6"/>
  <c r="V86" i="6"/>
  <c r="W82" i="6"/>
  <c r="V82" i="6"/>
  <c r="W78" i="6"/>
  <c r="V78" i="6"/>
  <c r="W74" i="6"/>
  <c r="V74" i="6"/>
  <c r="W70" i="6"/>
  <c r="V70" i="6"/>
  <c r="W66" i="6"/>
  <c r="V66" i="6"/>
  <c r="W58" i="6"/>
  <c r="V58" i="6"/>
  <c r="W54" i="6"/>
  <c r="V54" i="6"/>
  <c r="W50" i="6"/>
  <c r="V50" i="6"/>
  <c r="V46" i="6"/>
  <c r="W46" i="6"/>
  <c r="W42" i="6"/>
  <c r="V42" i="6"/>
  <c r="W38" i="6"/>
  <c r="V38" i="6"/>
  <c r="W34" i="6"/>
  <c r="V34" i="6"/>
  <c r="W30" i="6"/>
  <c r="V30" i="6"/>
  <c r="W26" i="6"/>
  <c r="V26" i="6"/>
  <c r="W22" i="6"/>
  <c r="V22" i="6"/>
  <c r="W18" i="6"/>
  <c r="V18" i="6"/>
  <c r="W10" i="6"/>
  <c r="V10" i="6"/>
  <c r="T4" i="6"/>
  <c r="V586" i="6"/>
  <c r="V562" i="6"/>
  <c r="V410" i="6"/>
  <c r="W882" i="6"/>
  <c r="W6" i="6"/>
  <c r="V6" i="6"/>
  <c r="S4" i="6"/>
  <c r="V998" i="6"/>
  <c r="W998" i="6"/>
  <c r="W990" i="6"/>
  <c r="V990" i="6"/>
  <c r="W982" i="6"/>
  <c r="V982" i="6"/>
  <c r="V974" i="6"/>
  <c r="W974" i="6"/>
  <c r="V962" i="6"/>
  <c r="W962" i="6"/>
  <c r="W942" i="6"/>
  <c r="V942" i="6"/>
  <c r="V934" i="6"/>
  <c r="W934" i="6"/>
  <c r="V926" i="6"/>
  <c r="W926" i="6"/>
  <c r="W918" i="6"/>
  <c r="V918" i="6"/>
  <c r="V910" i="6"/>
  <c r="W910" i="6"/>
  <c r="V906" i="6"/>
  <c r="W906" i="6"/>
  <c r="V898" i="6"/>
  <c r="W898" i="6"/>
  <c r="V890" i="6"/>
  <c r="W890" i="6"/>
  <c r="W886" i="6"/>
  <c r="V886" i="6"/>
  <c r="V862" i="6"/>
  <c r="W862" i="6"/>
  <c r="V854" i="6"/>
  <c r="W854" i="6"/>
  <c r="V846" i="6"/>
  <c r="W846" i="6"/>
  <c r="W838" i="6"/>
  <c r="V838" i="6"/>
  <c r="W830" i="6"/>
  <c r="V830" i="6"/>
  <c r="W810" i="6"/>
  <c r="V810" i="6"/>
  <c r="W802" i="6"/>
  <c r="V802" i="6"/>
  <c r="W798" i="6"/>
  <c r="V798" i="6"/>
  <c r="W790" i="6"/>
  <c r="V790" i="6"/>
  <c r="W782" i="6"/>
  <c r="V782" i="6"/>
  <c r="W774" i="6"/>
  <c r="V774" i="6"/>
  <c r="W766" i="6"/>
  <c r="V766" i="6"/>
  <c r="W758" i="6"/>
  <c r="V758" i="6"/>
  <c r="W750" i="6"/>
  <c r="V750" i="6"/>
  <c r="W746" i="6"/>
  <c r="V746" i="6"/>
  <c r="W738" i="6"/>
  <c r="V738" i="6"/>
  <c r="W734" i="6"/>
  <c r="V734" i="6"/>
  <c r="W726" i="6"/>
  <c r="V726" i="6"/>
  <c r="W718" i="6"/>
  <c r="V718" i="6"/>
  <c r="W710" i="6"/>
  <c r="V710" i="6"/>
  <c r="W702" i="6"/>
  <c r="V702" i="6"/>
  <c r="W694" i="6"/>
  <c r="V694" i="6"/>
  <c r="W678" i="6"/>
  <c r="V678" i="6"/>
  <c r="W670" i="6"/>
  <c r="V670" i="6"/>
  <c r="W662" i="6"/>
  <c r="V662" i="6"/>
  <c r="V642" i="6"/>
  <c r="W642" i="6"/>
  <c r="V622" i="6"/>
  <c r="W622" i="6"/>
  <c r="W614" i="6"/>
  <c r="V614" i="6"/>
  <c r="W606" i="6"/>
  <c r="V606" i="6"/>
  <c r="W602" i="6"/>
  <c r="V602" i="6"/>
  <c r="W594" i="6"/>
  <c r="V594" i="6"/>
  <c r="W590" i="6"/>
  <c r="V590" i="6"/>
  <c r="W582" i="6"/>
  <c r="V582" i="6"/>
  <c r="W578" i="6"/>
  <c r="V578" i="6"/>
  <c r="W570" i="6"/>
  <c r="V570" i="6"/>
  <c r="W566" i="6"/>
  <c r="V566" i="6"/>
  <c r="W546" i="6"/>
  <c r="V546" i="6"/>
  <c r="W538" i="6"/>
  <c r="V538" i="6"/>
  <c r="W530" i="6"/>
  <c r="V530" i="6"/>
  <c r="W522" i="6"/>
  <c r="V522" i="6"/>
  <c r="W514" i="6"/>
  <c r="V514" i="6"/>
  <c r="W506" i="6"/>
  <c r="V506" i="6"/>
  <c r="W498" i="6"/>
  <c r="V498" i="6"/>
  <c r="W478" i="6"/>
  <c r="V478" i="6"/>
  <c r="W470" i="6"/>
  <c r="V470" i="6"/>
  <c r="W458" i="6"/>
  <c r="V458" i="6"/>
  <c r="W442" i="6"/>
  <c r="V442" i="6"/>
  <c r="W434" i="6"/>
  <c r="V434" i="6"/>
  <c r="W430" i="6"/>
  <c r="V430" i="6"/>
  <c r="W426" i="6"/>
  <c r="V426" i="6"/>
  <c r="W418" i="6"/>
  <c r="V418" i="6"/>
  <c r="W414" i="6"/>
  <c r="V414" i="6"/>
  <c r="W406" i="6"/>
  <c r="V406" i="6"/>
  <c r="W398" i="6"/>
  <c r="V398" i="6"/>
  <c r="W386" i="6"/>
  <c r="V386" i="6"/>
  <c r="W362" i="6"/>
  <c r="V362" i="6"/>
  <c r="W354" i="6"/>
  <c r="V354" i="6"/>
  <c r="W346" i="6"/>
  <c r="V346" i="6"/>
  <c r="W338" i="6"/>
  <c r="V338" i="6"/>
  <c r="W310" i="6"/>
  <c r="V310" i="6"/>
  <c r="W302" i="6"/>
  <c r="V302" i="6"/>
  <c r="W298" i="6"/>
  <c r="V298" i="6"/>
  <c r="W290" i="6"/>
  <c r="V290" i="6"/>
  <c r="W286" i="6"/>
  <c r="V286" i="6"/>
  <c r="W278" i="6"/>
  <c r="V278" i="6"/>
  <c r="W274" i="6"/>
  <c r="V274" i="6"/>
  <c r="W266" i="6"/>
  <c r="V266" i="6"/>
  <c r="W258" i="6"/>
  <c r="V258" i="6"/>
  <c r="W250" i="6"/>
  <c r="V250" i="6"/>
  <c r="W242" i="6"/>
  <c r="V242" i="6"/>
  <c r="V238" i="6"/>
  <c r="W238" i="6"/>
  <c r="W230" i="6"/>
  <c r="V230" i="6"/>
  <c r="W222" i="6"/>
  <c r="V222" i="6"/>
  <c r="W214" i="6"/>
  <c r="V214" i="6"/>
  <c r="W206" i="6"/>
  <c r="V206" i="6"/>
  <c r="W202" i="6"/>
  <c r="V202" i="6"/>
  <c r="W194" i="6"/>
  <c r="V194" i="6"/>
  <c r="W186" i="6"/>
  <c r="V186" i="6"/>
  <c r="W178" i="6"/>
  <c r="V178" i="6"/>
  <c r="W170" i="6"/>
  <c r="V170" i="6"/>
  <c r="W162" i="6"/>
  <c r="V162" i="6"/>
  <c r="W150" i="6"/>
  <c r="V150" i="6"/>
  <c r="W138" i="6"/>
  <c r="V138" i="6"/>
  <c r="W114" i="6"/>
  <c r="V114" i="6"/>
  <c r="W14" i="6"/>
  <c r="V14" i="6"/>
  <c r="H8" i="3"/>
  <c r="V950" i="6"/>
  <c r="V482" i="6"/>
  <c r="V554" i="6"/>
  <c r="V446" i="6"/>
  <c r="V422" i="6"/>
  <c r="AB7" i="3"/>
  <c r="F8" i="3"/>
  <c r="G8" i="3"/>
  <c r="V62" i="6"/>
  <c r="W991" i="6"/>
  <c r="V991" i="6"/>
  <c r="W975" i="6"/>
  <c r="V975" i="6"/>
  <c r="W943" i="6"/>
  <c r="V943" i="6"/>
  <c r="W927" i="6"/>
  <c r="V927" i="6"/>
  <c r="W919" i="6"/>
  <c r="V919" i="6"/>
  <c r="W911" i="6"/>
  <c r="V911" i="6"/>
  <c r="W903" i="6"/>
  <c r="V903" i="6"/>
  <c r="W879" i="6"/>
  <c r="V879" i="6"/>
  <c r="W751" i="6"/>
  <c r="W839" i="6"/>
  <c r="V871" i="6"/>
  <c r="W871" i="6"/>
  <c r="W855" i="6"/>
  <c r="V855" i="6"/>
  <c r="W847" i="6"/>
  <c r="V847" i="6"/>
  <c r="V803" i="6"/>
  <c r="W803" i="6"/>
  <c r="V795" i="6"/>
  <c r="W795" i="6"/>
  <c r="V787" i="6"/>
  <c r="W787" i="6"/>
  <c r="W783" i="6"/>
  <c r="V783" i="6"/>
  <c r="W767" i="6"/>
  <c r="V767" i="6"/>
  <c r="V755" i="6"/>
  <c r="W755" i="6"/>
  <c r="W743" i="6"/>
  <c r="V743" i="6"/>
  <c r="V739" i="6"/>
  <c r="W739" i="6"/>
  <c r="W719" i="6"/>
  <c r="V719" i="6"/>
  <c r="W703" i="6"/>
  <c r="V703" i="6"/>
  <c r="V699" i="6"/>
  <c r="W699" i="6"/>
  <c r="V691" i="6"/>
  <c r="W691" i="6"/>
  <c r="W679" i="6"/>
  <c r="V679" i="6"/>
  <c r="V675" i="6"/>
  <c r="W675" i="6"/>
  <c r="V667" i="6"/>
  <c r="W667" i="6"/>
  <c r="W655" i="6"/>
  <c r="V655" i="6"/>
  <c r="W647" i="6"/>
  <c r="V647" i="6"/>
  <c r="V635" i="6"/>
  <c r="W635" i="6"/>
  <c r="V627" i="6"/>
  <c r="W627" i="6"/>
  <c r="V623" i="6"/>
  <c r="W623" i="6"/>
  <c r="W615" i="6"/>
  <c r="V615" i="6"/>
  <c r="W591" i="6"/>
  <c r="V591" i="6"/>
  <c r="V583" i="6"/>
  <c r="W583" i="6"/>
  <c r="W575" i="6"/>
  <c r="V575" i="6"/>
  <c r="V551" i="6"/>
  <c r="W551" i="6"/>
  <c r="W519" i="6"/>
  <c r="V519" i="6"/>
  <c r="V271" i="6"/>
  <c r="V111" i="6"/>
  <c r="W199" i="6"/>
  <c r="V255" i="6"/>
  <c r="W455" i="6"/>
  <c r="V447" i="6"/>
  <c r="W487" i="6"/>
  <c r="V487" i="6"/>
  <c r="W463" i="6"/>
  <c r="V463" i="6"/>
  <c r="W431" i="6"/>
  <c r="V431" i="6"/>
  <c r="V423" i="6"/>
  <c r="W423" i="6"/>
  <c r="W399" i="6"/>
  <c r="V399" i="6"/>
  <c r="V359" i="6"/>
  <c r="W359" i="6"/>
  <c r="W327" i="6"/>
  <c r="V327" i="6"/>
  <c r="W319" i="6"/>
  <c r="V319" i="6"/>
  <c r="V295" i="6"/>
  <c r="W295" i="6"/>
  <c r="W263" i="6"/>
  <c r="V263" i="6"/>
  <c r="W239" i="6"/>
  <c r="V239" i="6"/>
  <c r="W231" i="6"/>
  <c r="V231" i="6"/>
  <c r="W223" i="6"/>
  <c r="V223" i="6"/>
  <c r="W191" i="6"/>
  <c r="V191" i="6"/>
  <c r="V175" i="6"/>
  <c r="W175" i="6"/>
  <c r="W159" i="6"/>
  <c r="V159" i="6"/>
  <c r="W103" i="6"/>
  <c r="V103" i="6"/>
  <c r="W95" i="6"/>
  <c r="V95" i="6"/>
  <c r="W31" i="6"/>
  <c r="V31" i="6"/>
  <c r="W959" i="6"/>
  <c r="W951" i="6"/>
  <c r="W895" i="6"/>
  <c r="W887" i="6"/>
  <c r="W831" i="6"/>
  <c r="W819" i="6"/>
  <c r="W807" i="6"/>
  <c r="W771" i="6"/>
  <c r="W735" i="6"/>
  <c r="W707" i="6"/>
  <c r="W671" i="6"/>
  <c r="W643" i="6"/>
  <c r="W631" i="6"/>
  <c r="W559" i="6"/>
  <c r="W527" i="6"/>
  <c r="W511" i="6"/>
  <c r="B33" i="2"/>
  <c r="J4" i="6" s="1"/>
  <c r="W1003" i="6"/>
  <c r="W995" i="6"/>
  <c r="W987" i="6"/>
  <c r="W979" i="6"/>
  <c r="W971" i="6"/>
  <c r="W963" i="6"/>
  <c r="W955" i="6"/>
  <c r="W947" i="6"/>
  <c r="W939" i="6"/>
  <c r="W931" i="6"/>
  <c r="W923" i="6"/>
  <c r="W915" i="6"/>
  <c r="W907" i="6"/>
  <c r="W899" i="6"/>
  <c r="W891" i="6"/>
  <c r="W883" i="6"/>
  <c r="W875" i="6"/>
  <c r="W867" i="6"/>
  <c r="W859" i="6"/>
  <c r="W851" i="6"/>
  <c r="W843" i="6"/>
  <c r="W835" i="6"/>
  <c r="W827" i="6"/>
  <c r="W799" i="6"/>
  <c r="W791" i="6"/>
  <c r="W779" i="6"/>
  <c r="W759" i="6"/>
  <c r="W747" i="6"/>
  <c r="W727" i="6"/>
  <c r="W715" i="6"/>
  <c r="W695" i="6"/>
  <c r="W683" i="6"/>
  <c r="W663" i="6"/>
  <c r="W651" i="6"/>
  <c r="W619" i="6"/>
  <c r="W611" i="6"/>
  <c r="W607" i="6"/>
  <c r="W603" i="6"/>
  <c r="W599" i="6"/>
  <c r="W595" i="6"/>
  <c r="W587" i="6"/>
  <c r="W579" i="6"/>
  <c r="W571" i="6"/>
  <c r="W567" i="6"/>
  <c r="W563" i="6"/>
  <c r="W555" i="6"/>
  <c r="W547" i="6"/>
  <c r="W543" i="6"/>
  <c r="W539" i="6"/>
  <c r="W535" i="6"/>
  <c r="W531" i="6"/>
  <c r="W523" i="6"/>
  <c r="W515" i="6"/>
  <c r="W507" i="6"/>
  <c r="W503" i="6"/>
  <c r="W499" i="6"/>
  <c r="W479" i="6"/>
  <c r="W415" i="6"/>
  <c r="W351" i="6"/>
  <c r="W287" i="6"/>
  <c r="W491" i="6"/>
  <c r="W483" i="6"/>
  <c r="W475" i="6"/>
  <c r="W471" i="6"/>
  <c r="W467" i="6"/>
  <c r="W459" i="6"/>
  <c r="W451" i="6"/>
  <c r="W443" i="6"/>
  <c r="W439" i="6"/>
  <c r="W435" i="6"/>
  <c r="W427" i="6"/>
  <c r="W419" i="6"/>
  <c r="W411" i="6"/>
  <c r="W407" i="6"/>
  <c r="W403" i="6"/>
  <c r="W395" i="6"/>
  <c r="W387" i="6"/>
  <c r="W379" i="6"/>
  <c r="W375" i="6"/>
  <c r="W371" i="6"/>
  <c r="W363" i="6"/>
  <c r="W355" i="6"/>
  <c r="W347" i="6"/>
  <c r="W343" i="6"/>
  <c r="W339" i="6"/>
  <c r="W331" i="6"/>
  <c r="W323" i="6"/>
  <c r="W315" i="6"/>
  <c r="W311" i="6"/>
  <c r="W307" i="6"/>
  <c r="W299" i="6"/>
  <c r="W291" i="6"/>
  <c r="W283" i="6"/>
  <c r="W279" i="6"/>
  <c r="W275" i="6"/>
  <c r="W267" i="6"/>
  <c r="W259" i="6"/>
  <c r="W251" i="6"/>
  <c r="W247" i="6"/>
  <c r="W243" i="6"/>
  <c r="W235" i="6"/>
  <c r="W215" i="6"/>
  <c r="W183" i="6"/>
  <c r="W151" i="6"/>
  <c r="W119" i="6"/>
  <c r="W87" i="6"/>
  <c r="W55" i="6"/>
  <c r="W227" i="6"/>
  <c r="W219" i="6"/>
  <c r="W211" i="6"/>
  <c r="W203" i="6"/>
  <c r="W195" i="6"/>
  <c r="W187" i="6"/>
  <c r="W179" i="6"/>
  <c r="W171" i="6"/>
  <c r="W163" i="6"/>
  <c r="W155" i="6"/>
  <c r="W147" i="6"/>
  <c r="W139" i="6"/>
  <c r="W131" i="6"/>
  <c r="W123" i="6"/>
  <c r="W115" i="6"/>
  <c r="W107" i="6"/>
  <c r="W99" i="6"/>
  <c r="W91" i="6"/>
  <c r="W83" i="6"/>
  <c r="W75" i="6"/>
  <c r="W67" i="6"/>
  <c r="W59" i="6"/>
  <c r="W51" i="6"/>
  <c r="W43" i="6"/>
  <c r="W35" i="6"/>
  <c r="W27" i="6"/>
  <c r="W19" i="6"/>
  <c r="AC6" i="4" l="1"/>
  <c r="AD6" i="4" s="1"/>
  <c r="E7" i="4"/>
  <c r="F7" i="4"/>
  <c r="P7" i="3"/>
  <c r="R7" i="3" s="1"/>
  <c r="G9" i="3"/>
  <c r="F9" i="3"/>
  <c r="Q8" i="3"/>
  <c r="W8" i="3"/>
  <c r="Y8" i="3" s="1"/>
  <c r="N8" i="3"/>
  <c r="AA8" i="3"/>
  <c r="K8" i="3"/>
  <c r="L8" i="3"/>
  <c r="P8" i="3"/>
  <c r="M8" i="3"/>
  <c r="I8" i="3"/>
  <c r="E9" i="3"/>
  <c r="H9" i="3"/>
  <c r="V4" i="6"/>
  <c r="V7" i="3"/>
  <c r="W4" i="6"/>
  <c r="Y7" i="3"/>
  <c r="S7" i="3"/>
  <c r="AC7" i="3"/>
  <c r="V8" i="3" l="1"/>
  <c r="X8" i="3" s="1"/>
  <c r="Q7" i="4"/>
  <c r="AB7" i="4" s="1"/>
  <c r="G8" i="4"/>
  <c r="F8" i="4"/>
  <c r="H10" i="3"/>
  <c r="P7" i="4"/>
  <c r="R7" i="4" s="1"/>
  <c r="S7" i="4" s="1"/>
  <c r="N7" i="4"/>
  <c r="W7" i="4"/>
  <c r="Y7" i="4" s="1"/>
  <c r="H8" i="4"/>
  <c r="I7" i="4"/>
  <c r="AA7" i="4"/>
  <c r="M7" i="4"/>
  <c r="E8" i="4"/>
  <c r="K7" i="4"/>
  <c r="V7" i="4" s="1"/>
  <c r="X7" i="4" s="1"/>
  <c r="L7" i="4"/>
  <c r="AD7" i="3"/>
  <c r="M9" i="3"/>
  <c r="I9" i="3"/>
  <c r="W9" i="3"/>
  <c r="Y9" i="3" s="1"/>
  <c r="K9" i="3"/>
  <c r="V9" i="3" s="1"/>
  <c r="X9" i="3" s="1"/>
  <c r="E10" i="3"/>
  <c r="L9" i="3"/>
  <c r="AA9" i="3"/>
  <c r="P9" i="3"/>
  <c r="N9" i="3"/>
  <c r="X7" i="3"/>
  <c r="AB8" i="3"/>
  <c r="AC8" i="3" s="1"/>
  <c r="AD8" i="3" s="1"/>
  <c r="R8" i="3"/>
  <c r="G10" i="3"/>
  <c r="F10" i="3"/>
  <c r="H11" i="3" s="1"/>
  <c r="Q9" i="3"/>
  <c r="AB9" i="3" s="1"/>
  <c r="R9" i="3" l="1"/>
  <c r="S9" i="3" s="1"/>
  <c r="AC9" i="3"/>
  <c r="AD9" i="3" s="1"/>
  <c r="E9" i="4"/>
  <c r="K8" i="4"/>
  <c r="V8" i="4" s="1"/>
  <c r="X8" i="4" s="1"/>
  <c r="N8" i="4"/>
  <c r="L8" i="4"/>
  <c r="M8" i="4"/>
  <c r="W8" i="4"/>
  <c r="Y8" i="4" s="1"/>
  <c r="AA8" i="4"/>
  <c r="I8" i="4"/>
  <c r="P8" i="4"/>
  <c r="AC7" i="4"/>
  <c r="AD7" i="4" s="1"/>
  <c r="H9" i="4"/>
  <c r="F9" i="4"/>
  <c r="Q8" i="4"/>
  <c r="AB8" i="4" s="1"/>
  <c r="G9" i="4"/>
  <c r="AA10" i="3"/>
  <c r="M10" i="3"/>
  <c r="E11" i="3"/>
  <c r="I10" i="3"/>
  <c r="W10" i="3"/>
  <c r="N10" i="3"/>
  <c r="L10" i="3"/>
  <c r="P10" i="3"/>
  <c r="K10" i="3"/>
  <c r="S8" i="3"/>
  <c r="Q10" i="3"/>
  <c r="G11" i="3"/>
  <c r="F11" i="3"/>
  <c r="H10" i="4" l="1"/>
  <c r="R8" i="4"/>
  <c r="S8" i="4" s="1"/>
  <c r="AC8" i="4"/>
  <c r="AD8" i="4" s="1"/>
  <c r="L9" i="4"/>
  <c r="P9" i="4"/>
  <c r="E10" i="4"/>
  <c r="N9" i="4"/>
  <c r="K9" i="4"/>
  <c r="V9" i="4" s="1"/>
  <c r="X9" i="4" s="1"/>
  <c r="W9" i="4"/>
  <c r="Y9" i="4" s="1"/>
  <c r="AA9" i="4"/>
  <c r="M9" i="4"/>
  <c r="I9" i="4"/>
  <c r="F10" i="4"/>
  <c r="G10" i="4"/>
  <c r="Q9" i="4"/>
  <c r="AB9" i="4" s="1"/>
  <c r="I11" i="3"/>
  <c r="W11" i="3"/>
  <c r="Y11" i="3" s="1"/>
  <c r="K11" i="3"/>
  <c r="N11" i="3"/>
  <c r="M11" i="3"/>
  <c r="AA11" i="3"/>
  <c r="P11" i="3"/>
  <c r="E12" i="3"/>
  <c r="L11" i="3"/>
  <c r="R10" i="3"/>
  <c r="H12" i="3"/>
  <c r="Q11" i="3"/>
  <c r="AB11" i="3" s="1"/>
  <c r="G12" i="3"/>
  <c r="F12" i="3"/>
  <c r="V10" i="3"/>
  <c r="AB10" i="3"/>
  <c r="AC10" i="3" s="1"/>
  <c r="Y10" i="3"/>
  <c r="V11" i="3" l="1"/>
  <c r="X11" i="3" s="1"/>
  <c r="AC9" i="4"/>
  <c r="AD9" i="4" s="1"/>
  <c r="E11" i="4"/>
  <c r="P10" i="4"/>
  <c r="I10" i="4"/>
  <c r="W10" i="4"/>
  <c r="Y10" i="4" s="1"/>
  <c r="L10" i="4"/>
  <c r="AA10" i="4"/>
  <c r="N10" i="4"/>
  <c r="M10" i="4"/>
  <c r="K10" i="4"/>
  <c r="V10" i="4" s="1"/>
  <c r="X10" i="4" s="1"/>
  <c r="F11" i="4"/>
  <c r="G11" i="4"/>
  <c r="Q10" i="4"/>
  <c r="AB10" i="4" s="1"/>
  <c r="R9" i="4"/>
  <c r="S9" i="4" s="1"/>
  <c r="H11" i="4"/>
  <c r="AD10" i="3"/>
  <c r="H13" i="3"/>
  <c r="R11" i="3"/>
  <c r="S11" i="3" s="1"/>
  <c r="S10" i="3"/>
  <c r="AC11" i="3"/>
  <c r="AD11" i="3" s="1"/>
  <c r="Q12" i="3"/>
  <c r="AB12" i="3" s="1"/>
  <c r="F13" i="3"/>
  <c r="G13" i="3"/>
  <c r="P12" i="3"/>
  <c r="K12" i="3"/>
  <c r="V12" i="3" s="1"/>
  <c r="X12" i="3" s="1"/>
  <c r="W12" i="3"/>
  <c r="E13" i="3"/>
  <c r="I12" i="3"/>
  <c r="M12" i="3"/>
  <c r="L12" i="3"/>
  <c r="N12" i="3"/>
  <c r="AA12" i="3"/>
  <c r="X10" i="3"/>
  <c r="AC12" i="3" l="1"/>
  <c r="AD12" i="3" s="1"/>
  <c r="R12" i="3"/>
  <c r="S12" i="3" s="1"/>
  <c r="H12" i="4"/>
  <c r="M11" i="4"/>
  <c r="I11" i="4"/>
  <c r="P11" i="4"/>
  <c r="E12" i="4"/>
  <c r="L11" i="4"/>
  <c r="W11" i="4"/>
  <c r="Y11" i="4" s="1"/>
  <c r="N11" i="4"/>
  <c r="K11" i="4"/>
  <c r="V11" i="4" s="1"/>
  <c r="X11" i="4" s="1"/>
  <c r="AA11" i="4"/>
  <c r="F12" i="4"/>
  <c r="Q11" i="4"/>
  <c r="AB11" i="4" s="1"/>
  <c r="G12" i="4"/>
  <c r="AC10" i="4"/>
  <c r="AD10" i="4" s="1"/>
  <c r="R10" i="4"/>
  <c r="S10" i="4" s="1"/>
  <c r="Y12" i="3"/>
  <c r="F14" i="3"/>
  <c r="Q13" i="3"/>
  <c r="AB13" i="3" s="1"/>
  <c r="G14" i="3"/>
  <c r="E14" i="3"/>
  <c r="N13" i="3"/>
  <c r="M13" i="3"/>
  <c r="AA13" i="3"/>
  <c r="L13" i="3"/>
  <c r="P13" i="3"/>
  <c r="K13" i="3"/>
  <c r="V13" i="3" s="1"/>
  <c r="X13" i="3" s="1"/>
  <c r="I13" i="3"/>
  <c r="W13" i="3"/>
  <c r="Y13" i="3" s="1"/>
  <c r="H14" i="3"/>
  <c r="AC11" i="4" l="1"/>
  <c r="AD11" i="4" s="1"/>
  <c r="R11" i="4"/>
  <c r="S11" i="4" s="1"/>
  <c r="Q12" i="4"/>
  <c r="AB12" i="4" s="1"/>
  <c r="G13" i="4"/>
  <c r="F13" i="4"/>
  <c r="E13" i="4"/>
  <c r="W12" i="4"/>
  <c r="Y12" i="4" s="1"/>
  <c r="K12" i="4"/>
  <c r="V12" i="4" s="1"/>
  <c r="X12" i="4" s="1"/>
  <c r="N12" i="4"/>
  <c r="I12" i="4"/>
  <c r="AA12" i="4"/>
  <c r="AC12" i="4" s="1"/>
  <c r="AD12" i="4" s="1"/>
  <c r="M12" i="4"/>
  <c r="L12" i="4"/>
  <c r="P12" i="4"/>
  <c r="H13" i="4"/>
  <c r="N14" i="3"/>
  <c r="E15" i="3"/>
  <c r="M14" i="3"/>
  <c r="K14" i="3"/>
  <c r="V14" i="3" s="1"/>
  <c r="AA14" i="3"/>
  <c r="W14" i="3"/>
  <c r="Y14" i="3" s="1"/>
  <c r="L14" i="3"/>
  <c r="P14" i="3"/>
  <c r="I14" i="3"/>
  <c r="F15" i="3"/>
  <c r="Q14" i="3"/>
  <c r="AB14" i="3" s="1"/>
  <c r="G15" i="3"/>
  <c r="H15" i="3"/>
  <c r="R13" i="3"/>
  <c r="AC13" i="3"/>
  <c r="R12" i="4" l="1"/>
  <c r="S12" i="4" s="1"/>
  <c r="H14" i="4"/>
  <c r="P13" i="4"/>
  <c r="M13" i="4"/>
  <c r="N13" i="4"/>
  <c r="L13" i="4"/>
  <c r="AA13" i="4"/>
  <c r="K13" i="4"/>
  <c r="V13" i="4" s="1"/>
  <c r="X13" i="4" s="1"/>
  <c r="E14" i="4"/>
  <c r="W13" i="4"/>
  <c r="Y13" i="4" s="1"/>
  <c r="I13" i="4"/>
  <c r="G14" i="4"/>
  <c r="Q13" i="4"/>
  <c r="AB13" i="4" s="1"/>
  <c r="F14" i="4"/>
  <c r="Q15" i="3"/>
  <c r="AB15" i="3" s="1"/>
  <c r="F16" i="3"/>
  <c r="G16" i="3"/>
  <c r="H16" i="3"/>
  <c r="R14" i="3"/>
  <c r="S14" i="3" s="1"/>
  <c r="AC14" i="3"/>
  <c r="AD14" i="3" s="1"/>
  <c r="S13" i="3"/>
  <c r="X14" i="3"/>
  <c r="AD13" i="3"/>
  <c r="E16" i="3"/>
  <c r="N15" i="3"/>
  <c r="P15" i="3"/>
  <c r="L15" i="3"/>
  <c r="I15" i="3"/>
  <c r="AA15" i="3"/>
  <c r="M15" i="3"/>
  <c r="W15" i="3"/>
  <c r="Y15" i="3" s="1"/>
  <c r="K15" i="3"/>
  <c r="V15" i="3" s="1"/>
  <c r="X15" i="3" s="1"/>
  <c r="R15" i="3" l="1"/>
  <c r="S15" i="3" s="1"/>
  <c r="H17" i="3"/>
  <c r="E15" i="4"/>
  <c r="K14" i="4"/>
  <c r="V14" i="4" s="1"/>
  <c r="X14" i="4" s="1"/>
  <c r="L14" i="4"/>
  <c r="P14" i="4"/>
  <c r="AA14" i="4"/>
  <c r="W14" i="4"/>
  <c r="Y14" i="4" s="1"/>
  <c r="M14" i="4"/>
  <c r="N14" i="4"/>
  <c r="I14" i="4"/>
  <c r="AC13" i="4"/>
  <c r="AD13" i="4" s="1"/>
  <c r="R13" i="4"/>
  <c r="S13" i="4" s="1"/>
  <c r="F15" i="4"/>
  <c r="Q14" i="4"/>
  <c r="AB14" i="4" s="1"/>
  <c r="G15" i="4"/>
  <c r="H15" i="4"/>
  <c r="L16" i="3"/>
  <c r="E17" i="3"/>
  <c r="N16" i="3"/>
  <c r="W16" i="3"/>
  <c r="Y16" i="3" s="1"/>
  <c r="M16" i="3"/>
  <c r="K16" i="3"/>
  <c r="V16" i="3" s="1"/>
  <c r="X16" i="3" s="1"/>
  <c r="AA16" i="3"/>
  <c r="P16" i="3"/>
  <c r="I16" i="3"/>
  <c r="F17" i="3"/>
  <c r="G17" i="3"/>
  <c r="Q16" i="3"/>
  <c r="AB16" i="3" s="1"/>
  <c r="AC15" i="3"/>
  <c r="AD15" i="3" s="1"/>
  <c r="R14" i="4" l="1"/>
  <c r="S14" i="4" s="1"/>
  <c r="AC16" i="3"/>
  <c r="AD16" i="3" s="1"/>
  <c r="H16" i="4"/>
  <c r="AC14" i="4"/>
  <c r="AD14" i="4" s="1"/>
  <c r="E16" i="4"/>
  <c r="I15" i="4"/>
  <c r="W15" i="4"/>
  <c r="Y15" i="4" s="1"/>
  <c r="N15" i="4"/>
  <c r="P15" i="4"/>
  <c r="K15" i="4"/>
  <c r="V15" i="4" s="1"/>
  <c r="X15" i="4" s="1"/>
  <c r="M15" i="4"/>
  <c r="L15" i="4"/>
  <c r="AA15" i="4"/>
  <c r="Q15" i="4"/>
  <c r="AB15" i="4" s="1"/>
  <c r="G16" i="4"/>
  <c r="F16" i="4"/>
  <c r="G18" i="3"/>
  <c r="Q17" i="3"/>
  <c r="AB17" i="3" s="1"/>
  <c r="F18" i="3"/>
  <c r="AA17" i="3"/>
  <c r="I17" i="3"/>
  <c r="E18" i="3"/>
  <c r="L17" i="3"/>
  <c r="W17" i="3"/>
  <c r="Y17" i="3" s="1"/>
  <c r="K17" i="3"/>
  <c r="V17" i="3" s="1"/>
  <c r="X17" i="3" s="1"/>
  <c r="N17" i="3"/>
  <c r="M17" i="3"/>
  <c r="P17" i="3"/>
  <c r="R16" i="3"/>
  <c r="S16" i="3" s="1"/>
  <c r="H18" i="3"/>
  <c r="H19" i="3" l="1"/>
  <c r="AC15" i="4"/>
  <c r="AD15" i="4" s="1"/>
  <c r="R15" i="4"/>
  <c r="S15" i="4" s="1"/>
  <c r="E17" i="4"/>
  <c r="P16" i="4"/>
  <c r="I16" i="4"/>
  <c r="L16" i="4"/>
  <c r="AA16" i="4"/>
  <c r="M16" i="4"/>
  <c r="W16" i="4"/>
  <c r="Y16" i="4" s="1"/>
  <c r="N16" i="4"/>
  <c r="K16" i="4"/>
  <c r="V16" i="4" s="1"/>
  <c r="X16" i="4" s="1"/>
  <c r="H17" i="4"/>
  <c r="G17" i="4"/>
  <c r="Q16" i="4"/>
  <c r="AB16" i="4" s="1"/>
  <c r="F17" i="4"/>
  <c r="W18" i="3"/>
  <c r="Y18" i="3" s="1"/>
  <c r="P18" i="3"/>
  <c r="E19" i="3"/>
  <c r="I18" i="3"/>
  <c r="K18" i="3"/>
  <c r="V18" i="3" s="1"/>
  <c r="X18" i="3" s="1"/>
  <c r="N18" i="3"/>
  <c r="M18" i="3"/>
  <c r="AA18" i="3"/>
  <c r="L18" i="3"/>
  <c r="R17" i="3"/>
  <c r="S17" i="3" s="1"/>
  <c r="AC17" i="3"/>
  <c r="AD17" i="3" s="1"/>
  <c r="F19" i="3"/>
  <c r="Q18" i="3"/>
  <c r="AB18" i="3" s="1"/>
  <c r="G19" i="3"/>
  <c r="AC16" i="4" l="1"/>
  <c r="AD16" i="4" s="1"/>
  <c r="H18" i="4"/>
  <c r="R16" i="4"/>
  <c r="S16" i="4" s="1"/>
  <c r="F18" i="4"/>
  <c r="Q17" i="4"/>
  <c r="AB17" i="4" s="1"/>
  <c r="G18" i="4"/>
  <c r="W17" i="4"/>
  <c r="Y17" i="4" s="1"/>
  <c r="K17" i="4"/>
  <c r="V17" i="4" s="1"/>
  <c r="X17" i="4" s="1"/>
  <c r="M17" i="4"/>
  <c r="AA17" i="4"/>
  <c r="E18" i="4"/>
  <c r="I17" i="4"/>
  <c r="N17" i="4"/>
  <c r="P17" i="4"/>
  <c r="L17" i="4"/>
  <c r="W19" i="3"/>
  <c r="Y19" i="3" s="1"/>
  <c r="I19" i="3"/>
  <c r="P19" i="3"/>
  <c r="M19" i="3"/>
  <c r="L19" i="3"/>
  <c r="AA19" i="3"/>
  <c r="K19" i="3"/>
  <c r="V19" i="3" s="1"/>
  <c r="X19" i="3" s="1"/>
  <c r="N19" i="3"/>
  <c r="E20" i="3"/>
  <c r="R18" i="3"/>
  <c r="S18" i="3" s="1"/>
  <c r="F20" i="3"/>
  <c r="Q19" i="3"/>
  <c r="AB19" i="3" s="1"/>
  <c r="G20" i="3"/>
  <c r="H20" i="3"/>
  <c r="AC18" i="3"/>
  <c r="AD18" i="3" s="1"/>
  <c r="R17" i="4" l="1"/>
  <c r="S17" i="4" s="1"/>
  <c r="AC17" i="4"/>
  <c r="AD17" i="4" s="1"/>
  <c r="AA18" i="4"/>
  <c r="E19" i="4"/>
  <c r="I18" i="4"/>
  <c r="N18" i="4"/>
  <c r="P18" i="4"/>
  <c r="M18" i="4"/>
  <c r="K18" i="4"/>
  <c r="V18" i="4" s="1"/>
  <c r="X18" i="4" s="1"/>
  <c r="L18" i="4"/>
  <c r="W18" i="4"/>
  <c r="Y18" i="4" s="1"/>
  <c r="AC19" i="3"/>
  <c r="AD19" i="3" s="1"/>
  <c r="Q18" i="4"/>
  <c r="AB18" i="4" s="1"/>
  <c r="F19" i="4"/>
  <c r="G19" i="4"/>
  <c r="H19" i="4"/>
  <c r="H20" i="4" s="1"/>
  <c r="W20" i="3"/>
  <c r="Y20" i="3" s="1"/>
  <c r="K20" i="3"/>
  <c r="V20" i="3" s="1"/>
  <c r="X20" i="3" s="1"/>
  <c r="E21" i="3"/>
  <c r="AA20" i="3"/>
  <c r="L20" i="3"/>
  <c r="I20" i="3"/>
  <c r="N20" i="3"/>
  <c r="P20" i="3"/>
  <c r="M20" i="3"/>
  <c r="H21" i="3"/>
  <c r="Q20" i="3"/>
  <c r="AB20" i="3" s="1"/>
  <c r="G21" i="3"/>
  <c r="F21" i="3"/>
  <c r="R19" i="3"/>
  <c r="S19" i="3" s="1"/>
  <c r="AC20" i="3" l="1"/>
  <c r="AD20" i="3" s="1"/>
  <c r="Q19" i="4"/>
  <c r="AB19" i="4" s="1"/>
  <c r="F20" i="4"/>
  <c r="G20" i="4"/>
  <c r="E20" i="4"/>
  <c r="AA19" i="4"/>
  <c r="AC19" i="4" s="1"/>
  <c r="AD19" i="4" s="1"/>
  <c r="N19" i="4"/>
  <c r="L19" i="4"/>
  <c r="W19" i="4"/>
  <c r="Y19" i="4" s="1"/>
  <c r="M19" i="4"/>
  <c r="P19" i="4"/>
  <c r="R19" i="4" s="1"/>
  <c r="S19" i="4" s="1"/>
  <c r="K19" i="4"/>
  <c r="V19" i="4" s="1"/>
  <c r="X19" i="4" s="1"/>
  <c r="I19" i="4"/>
  <c r="R18" i="4"/>
  <c r="S18" i="4" s="1"/>
  <c r="AC18" i="4"/>
  <c r="AD18" i="4" s="1"/>
  <c r="F22" i="3"/>
  <c r="G22" i="3"/>
  <c r="Q21" i="3"/>
  <c r="AB21" i="3" s="1"/>
  <c r="H22" i="3"/>
  <c r="K21" i="3"/>
  <c r="V21" i="3" s="1"/>
  <c r="X21" i="3" s="1"/>
  <c r="N21" i="3"/>
  <c r="AA21" i="3"/>
  <c r="L21" i="3"/>
  <c r="P21" i="3"/>
  <c r="I21" i="3"/>
  <c r="W21" i="3"/>
  <c r="Y21" i="3" s="1"/>
  <c r="M21" i="3"/>
  <c r="E22" i="3"/>
  <c r="R20" i="3"/>
  <c r="S20" i="3" s="1"/>
  <c r="K20" i="4" l="1"/>
  <c r="V20" i="4" s="1"/>
  <c r="X20" i="4" s="1"/>
  <c r="P20" i="4"/>
  <c r="E21" i="4"/>
  <c r="W20" i="4"/>
  <c r="Y20" i="4" s="1"/>
  <c r="L20" i="4"/>
  <c r="M20" i="4"/>
  <c r="N20" i="4"/>
  <c r="AA20" i="4"/>
  <c r="I20" i="4"/>
  <c r="Q20" i="4"/>
  <c r="AB20" i="4" s="1"/>
  <c r="G21" i="4"/>
  <c r="F21" i="4"/>
  <c r="H21" i="4"/>
  <c r="W22" i="3"/>
  <c r="Y22" i="3" s="1"/>
  <c r="P22" i="3"/>
  <c r="I22" i="3"/>
  <c r="AA22" i="3"/>
  <c r="M22" i="3"/>
  <c r="E23" i="3"/>
  <c r="L22" i="3"/>
  <c r="K22" i="3"/>
  <c r="V22" i="3" s="1"/>
  <c r="X22" i="3" s="1"/>
  <c r="N22" i="3"/>
  <c r="H23" i="3"/>
  <c r="R21" i="3"/>
  <c r="S21" i="3" s="1"/>
  <c r="F23" i="3"/>
  <c r="G23" i="3"/>
  <c r="Q22" i="3"/>
  <c r="AB22" i="3" s="1"/>
  <c r="AC21" i="3"/>
  <c r="AD21" i="3" s="1"/>
  <c r="H22" i="4" l="1"/>
  <c r="Q21" i="4"/>
  <c r="AB21" i="4" s="1"/>
  <c r="F22" i="4"/>
  <c r="G22" i="4"/>
  <c r="AC20" i="4"/>
  <c r="AD20" i="4" s="1"/>
  <c r="R20" i="4"/>
  <c r="S20" i="4" s="1"/>
  <c r="AC22" i="3"/>
  <c r="AD22" i="3" s="1"/>
  <c r="R22" i="3"/>
  <c r="S22" i="3" s="1"/>
  <c r="M21" i="4"/>
  <c r="I21" i="4"/>
  <c r="N21" i="4"/>
  <c r="AA21" i="4"/>
  <c r="AC21" i="4" s="1"/>
  <c r="AD21" i="4" s="1"/>
  <c r="L21" i="4"/>
  <c r="E22" i="4"/>
  <c r="W21" i="4"/>
  <c r="Y21" i="4" s="1"/>
  <c r="K21" i="4"/>
  <c r="V21" i="4" s="1"/>
  <c r="X21" i="4" s="1"/>
  <c r="P21" i="4"/>
  <c r="R21" i="4" s="1"/>
  <c r="S21" i="4" s="1"/>
  <c r="W23" i="3"/>
  <c r="Y23" i="3" s="1"/>
  <c r="I23" i="3"/>
  <c r="E24" i="3"/>
  <c r="K23" i="3"/>
  <c r="V23" i="3" s="1"/>
  <c r="X23" i="3" s="1"/>
  <c r="AA23" i="3"/>
  <c r="M23" i="3"/>
  <c r="N23" i="3"/>
  <c r="P23" i="3"/>
  <c r="L23" i="3"/>
  <c r="H24" i="3"/>
  <c r="G24" i="3"/>
  <c r="F24" i="3"/>
  <c r="Q23" i="3"/>
  <c r="AB23" i="3" s="1"/>
  <c r="G23" i="4" l="1"/>
  <c r="F23" i="4"/>
  <c r="Q22" i="4"/>
  <c r="AB22" i="4" s="1"/>
  <c r="AC23" i="3"/>
  <c r="AD23" i="3" s="1"/>
  <c r="E23" i="4"/>
  <c r="I22" i="4"/>
  <c r="H23" i="4"/>
  <c r="H24" i="4" s="1"/>
  <c r="P22" i="4"/>
  <c r="N22" i="4"/>
  <c r="M22" i="4"/>
  <c r="L22" i="4"/>
  <c r="AA22" i="4"/>
  <c r="K22" i="4"/>
  <c r="V22" i="4" s="1"/>
  <c r="X22" i="4" s="1"/>
  <c r="W22" i="4"/>
  <c r="Y22" i="4" s="1"/>
  <c r="Q24" i="3"/>
  <c r="AB24" i="3" s="1"/>
  <c r="F25" i="3"/>
  <c r="G25" i="3"/>
  <c r="M24" i="3"/>
  <c r="E25" i="3"/>
  <c r="N24" i="3"/>
  <c r="AA24" i="3"/>
  <c r="P24" i="3"/>
  <c r="W24" i="3"/>
  <c r="Y24" i="3" s="1"/>
  <c r="L24" i="3"/>
  <c r="K24" i="3"/>
  <c r="V24" i="3" s="1"/>
  <c r="X24" i="3" s="1"/>
  <c r="I24" i="3"/>
  <c r="H25" i="3"/>
  <c r="H26" i="3" s="1"/>
  <c r="R23" i="3"/>
  <c r="S23" i="3" s="1"/>
  <c r="AC22" i="4" l="1"/>
  <c r="AD22" i="4" s="1"/>
  <c r="R22" i="4"/>
  <c r="S22" i="4" s="1"/>
  <c r="G24" i="4"/>
  <c r="F24" i="4"/>
  <c r="Q23" i="4"/>
  <c r="AB23" i="4" s="1"/>
  <c r="M23" i="4"/>
  <c r="K23" i="4"/>
  <c r="V23" i="4" s="1"/>
  <c r="X23" i="4" s="1"/>
  <c r="I23" i="4"/>
  <c r="W23" i="4"/>
  <c r="Y23" i="4" s="1"/>
  <c r="L23" i="4"/>
  <c r="AA23" i="4"/>
  <c r="AC23" i="4" s="1"/>
  <c r="AD23" i="4" s="1"/>
  <c r="E24" i="4"/>
  <c r="N23" i="4"/>
  <c r="P23" i="4"/>
  <c r="R24" i="3"/>
  <c r="S24" i="3" s="1"/>
  <c r="M25" i="3"/>
  <c r="W25" i="3"/>
  <c r="Y25" i="3" s="1"/>
  <c r="AA25" i="3"/>
  <c r="L25" i="3"/>
  <c r="P25" i="3"/>
  <c r="I25" i="3"/>
  <c r="E26" i="3"/>
  <c r="K25" i="3"/>
  <c r="V25" i="3" s="1"/>
  <c r="X25" i="3" s="1"/>
  <c r="N25" i="3"/>
  <c r="Q25" i="3"/>
  <c r="AB25" i="3" s="1"/>
  <c r="F26" i="3"/>
  <c r="G26" i="3"/>
  <c r="AC24" i="3"/>
  <c r="AD24" i="3" s="1"/>
  <c r="R25" i="3" l="1"/>
  <c r="S25" i="3" s="1"/>
  <c r="AC25" i="3"/>
  <c r="AD25" i="3" s="1"/>
  <c r="R23" i="4"/>
  <c r="S23" i="4" s="1"/>
  <c r="H25" i="4"/>
  <c r="E25" i="4"/>
  <c r="K24" i="4"/>
  <c r="V24" i="4" s="1"/>
  <c r="X24" i="4" s="1"/>
  <c r="AA24" i="4"/>
  <c r="M24" i="4"/>
  <c r="W24" i="4"/>
  <c r="Y24" i="4" s="1"/>
  <c r="L24" i="4"/>
  <c r="N24" i="4"/>
  <c r="P24" i="4"/>
  <c r="I24" i="4"/>
  <c r="G25" i="4"/>
  <c r="Q24" i="4"/>
  <c r="AB24" i="4" s="1"/>
  <c r="F25" i="4"/>
  <c r="F27" i="3"/>
  <c r="Q26" i="3"/>
  <c r="AB26" i="3" s="1"/>
  <c r="G27" i="3"/>
  <c r="P26" i="3"/>
  <c r="L26" i="3"/>
  <c r="E27" i="3"/>
  <c r="I26" i="3"/>
  <c r="AA26" i="3"/>
  <c r="N26" i="3"/>
  <c r="W26" i="3"/>
  <c r="Y26" i="3" s="1"/>
  <c r="K26" i="3"/>
  <c r="V26" i="3" s="1"/>
  <c r="X26" i="3" s="1"/>
  <c r="M26" i="3"/>
  <c r="H27" i="3"/>
  <c r="R24" i="4" l="1"/>
  <c r="S24" i="4" s="1"/>
  <c r="AC26" i="3"/>
  <c r="AD26" i="3" s="1"/>
  <c r="R26" i="3"/>
  <c r="S26" i="3" s="1"/>
  <c r="AC24" i="4"/>
  <c r="AD24" i="4" s="1"/>
  <c r="E26" i="4"/>
  <c r="P25" i="4"/>
  <c r="I25" i="4"/>
  <c r="K25" i="4"/>
  <c r="V25" i="4" s="1"/>
  <c r="X25" i="4" s="1"/>
  <c r="L25" i="4"/>
  <c r="W25" i="4"/>
  <c r="Y25" i="4" s="1"/>
  <c r="N25" i="4"/>
  <c r="AA25" i="4"/>
  <c r="M25" i="4"/>
  <c r="F26" i="4"/>
  <c r="G26" i="4"/>
  <c r="Q25" i="4"/>
  <c r="AB25" i="4" s="1"/>
  <c r="H26" i="4"/>
  <c r="P27" i="3"/>
  <c r="L27" i="3"/>
  <c r="K27" i="3"/>
  <c r="V27" i="3" s="1"/>
  <c r="X27" i="3" s="1"/>
  <c r="M27" i="3"/>
  <c r="AA27" i="3"/>
  <c r="W27" i="3"/>
  <c r="Y27" i="3" s="1"/>
  <c r="N27" i="3"/>
  <c r="I27" i="3"/>
  <c r="E28" i="3"/>
  <c r="H28" i="3"/>
  <c r="G28" i="3"/>
  <c r="Q27" i="3"/>
  <c r="AB27" i="3" s="1"/>
  <c r="F28" i="3"/>
  <c r="H29" i="3" l="1"/>
  <c r="H27" i="4"/>
  <c r="E27" i="4"/>
  <c r="W26" i="4"/>
  <c r="Y26" i="4" s="1"/>
  <c r="I26" i="4"/>
  <c r="P26" i="4"/>
  <c r="M26" i="4"/>
  <c r="K26" i="4"/>
  <c r="V26" i="4" s="1"/>
  <c r="X26" i="4" s="1"/>
  <c r="AA26" i="4"/>
  <c r="N26" i="4"/>
  <c r="L26" i="4"/>
  <c r="F27" i="4"/>
  <c r="Q26" i="4"/>
  <c r="AB26" i="4" s="1"/>
  <c r="G27" i="4"/>
  <c r="AC25" i="4"/>
  <c r="AD25" i="4" s="1"/>
  <c r="R25" i="4"/>
  <c r="S25" i="4" s="1"/>
  <c r="AC27" i="3"/>
  <c r="AD27" i="3" s="1"/>
  <c r="E29" i="3"/>
  <c r="AA28" i="3"/>
  <c r="L28" i="3"/>
  <c r="I28" i="3"/>
  <c r="P28" i="3"/>
  <c r="K28" i="3"/>
  <c r="V28" i="3" s="1"/>
  <c r="X28" i="3" s="1"/>
  <c r="N28" i="3"/>
  <c r="W28" i="3"/>
  <c r="Y28" i="3" s="1"/>
  <c r="M28" i="3"/>
  <c r="R27" i="3"/>
  <c r="S27" i="3" s="1"/>
  <c r="F29" i="3"/>
  <c r="G29" i="3"/>
  <c r="Q28" i="3"/>
  <c r="AB28" i="3" s="1"/>
  <c r="H30" i="3" l="1"/>
  <c r="AC28" i="3"/>
  <c r="AD28" i="3" s="1"/>
  <c r="G28" i="4"/>
  <c r="F28" i="4"/>
  <c r="Q27" i="4"/>
  <c r="AB27" i="4" s="1"/>
  <c r="R26" i="4"/>
  <c r="S26" i="4" s="1"/>
  <c r="H28" i="4"/>
  <c r="R28" i="3"/>
  <c r="S28" i="3" s="1"/>
  <c r="AC26" i="4"/>
  <c r="AD26" i="4" s="1"/>
  <c r="M27" i="4"/>
  <c r="L27" i="4"/>
  <c r="P27" i="4"/>
  <c r="N27" i="4"/>
  <c r="E28" i="4"/>
  <c r="I27" i="4"/>
  <c r="K27" i="4"/>
  <c r="V27" i="4" s="1"/>
  <c r="X27" i="4" s="1"/>
  <c r="W27" i="4"/>
  <c r="Y27" i="4" s="1"/>
  <c r="AA27" i="4"/>
  <c r="W29" i="3"/>
  <c r="Y29" i="3" s="1"/>
  <c r="K29" i="3"/>
  <c r="V29" i="3" s="1"/>
  <c r="X29" i="3" s="1"/>
  <c r="M29" i="3"/>
  <c r="AA29" i="3"/>
  <c r="I29" i="3"/>
  <c r="P29" i="3"/>
  <c r="N29" i="3"/>
  <c r="L29" i="3"/>
  <c r="E30" i="3"/>
  <c r="Q29" i="3"/>
  <c r="AB29" i="3" s="1"/>
  <c r="F30" i="3"/>
  <c r="G30" i="3"/>
  <c r="AC27" i="4" l="1"/>
  <c r="AD27" i="4" s="1"/>
  <c r="R27" i="4"/>
  <c r="S27" i="4" s="1"/>
  <c r="H29" i="4"/>
  <c r="I28" i="4"/>
  <c r="E29" i="4"/>
  <c r="N28" i="4"/>
  <c r="W28" i="4"/>
  <c r="Y28" i="4" s="1"/>
  <c r="P28" i="4"/>
  <c r="K28" i="4"/>
  <c r="V28" i="4" s="1"/>
  <c r="X28" i="4" s="1"/>
  <c r="L28" i="4"/>
  <c r="M28" i="4"/>
  <c r="AA28" i="4"/>
  <c r="G29" i="4"/>
  <c r="F29" i="4"/>
  <c r="Q28" i="4"/>
  <c r="AB28" i="4" s="1"/>
  <c r="F31" i="3"/>
  <c r="G31" i="3"/>
  <c r="Q30" i="3"/>
  <c r="AB30" i="3" s="1"/>
  <c r="AC29" i="3"/>
  <c r="AD29" i="3" s="1"/>
  <c r="H31" i="3"/>
  <c r="I30" i="3"/>
  <c r="AA30" i="3"/>
  <c r="L30" i="3"/>
  <c r="W30" i="3"/>
  <c r="Y30" i="3" s="1"/>
  <c r="K30" i="3"/>
  <c r="V30" i="3" s="1"/>
  <c r="X30" i="3" s="1"/>
  <c r="P30" i="3"/>
  <c r="R30" i="3" s="1"/>
  <c r="S30" i="3" s="1"/>
  <c r="N30" i="3"/>
  <c r="E31" i="3"/>
  <c r="M30" i="3"/>
  <c r="R29" i="3"/>
  <c r="S29" i="3" s="1"/>
  <c r="F30" i="4" l="1"/>
  <c r="G30" i="4"/>
  <c r="Q29" i="4"/>
  <c r="AB29" i="4" s="1"/>
  <c r="AC28" i="4"/>
  <c r="AD28" i="4" s="1"/>
  <c r="R28" i="4"/>
  <c r="S28" i="4" s="1"/>
  <c r="E30" i="4"/>
  <c r="AA29" i="4"/>
  <c r="AC29" i="4" s="1"/>
  <c r="AD29" i="4" s="1"/>
  <c r="N29" i="4"/>
  <c r="M29" i="4"/>
  <c r="K29" i="4"/>
  <c r="V29" i="4" s="1"/>
  <c r="X29" i="4" s="1"/>
  <c r="I29" i="4"/>
  <c r="L29" i="4"/>
  <c r="P29" i="4"/>
  <c r="R29" i="4" s="1"/>
  <c r="S29" i="4" s="1"/>
  <c r="W29" i="4"/>
  <c r="Y29" i="4" s="1"/>
  <c r="H30" i="4"/>
  <c r="H31" i="4" s="1"/>
  <c r="AC30" i="3"/>
  <c r="AD30" i="3" s="1"/>
  <c r="AA31" i="3"/>
  <c r="K31" i="3"/>
  <c r="V31" i="3" s="1"/>
  <c r="X31" i="3" s="1"/>
  <c r="N31" i="3"/>
  <c r="M31" i="3"/>
  <c r="I31" i="3"/>
  <c r="L31" i="3"/>
  <c r="P31" i="3"/>
  <c r="E32" i="3"/>
  <c r="W31" i="3"/>
  <c r="Y31" i="3" s="1"/>
  <c r="H32" i="3"/>
  <c r="F32" i="3"/>
  <c r="G32" i="3"/>
  <c r="Q31" i="3"/>
  <c r="AB31" i="3" s="1"/>
  <c r="H33" i="3" l="1"/>
  <c r="E31" i="4"/>
  <c r="M30" i="4"/>
  <c r="P30" i="4"/>
  <c r="N30" i="4"/>
  <c r="AA30" i="4"/>
  <c r="L30" i="4"/>
  <c r="K30" i="4"/>
  <c r="V30" i="4" s="1"/>
  <c r="X30" i="4" s="1"/>
  <c r="W30" i="4"/>
  <c r="Y30" i="4" s="1"/>
  <c r="I30" i="4"/>
  <c r="AC31" i="3"/>
  <c r="AD31" i="3" s="1"/>
  <c r="G31" i="4"/>
  <c r="F31" i="4"/>
  <c r="Q30" i="4"/>
  <c r="AB30" i="4" s="1"/>
  <c r="L32" i="3"/>
  <c r="E33" i="3"/>
  <c r="K32" i="3"/>
  <c r="V32" i="3" s="1"/>
  <c r="X32" i="3" s="1"/>
  <c r="AA32" i="3"/>
  <c r="I32" i="3"/>
  <c r="P32" i="3"/>
  <c r="N32" i="3"/>
  <c r="M32" i="3"/>
  <c r="W32" i="3"/>
  <c r="Y32" i="3" s="1"/>
  <c r="R31" i="3"/>
  <c r="S31" i="3" s="1"/>
  <c r="Q32" i="3"/>
  <c r="AB32" i="3" s="1"/>
  <c r="G33" i="3"/>
  <c r="F33" i="3"/>
  <c r="AC30" i="4" l="1"/>
  <c r="AD30" i="4" s="1"/>
  <c r="R30" i="4"/>
  <c r="S30" i="4" s="1"/>
  <c r="H32" i="4"/>
  <c r="E32" i="4"/>
  <c r="K31" i="4"/>
  <c r="V31" i="4" s="1"/>
  <c r="X31" i="4" s="1"/>
  <c r="P31" i="4"/>
  <c r="L31" i="4"/>
  <c r="M31" i="4"/>
  <c r="N31" i="4"/>
  <c r="AA31" i="4"/>
  <c r="W31" i="4"/>
  <c r="Y31" i="4" s="1"/>
  <c r="I31" i="4"/>
  <c r="F32" i="4"/>
  <c r="Q31" i="4"/>
  <c r="AB31" i="4" s="1"/>
  <c r="G32" i="4"/>
  <c r="F34" i="3"/>
  <c r="Q33" i="3"/>
  <c r="AB33" i="3" s="1"/>
  <c r="G34" i="3"/>
  <c r="R32" i="3"/>
  <c r="S32" i="3" s="1"/>
  <c r="AC32" i="3"/>
  <c r="AD32" i="3" s="1"/>
  <c r="P33" i="3"/>
  <c r="L33" i="3"/>
  <c r="E34" i="3"/>
  <c r="M33" i="3"/>
  <c r="W33" i="3"/>
  <c r="Y33" i="3" s="1"/>
  <c r="AA33" i="3"/>
  <c r="N33" i="3"/>
  <c r="I33" i="3"/>
  <c r="K33" i="3"/>
  <c r="V33" i="3" s="1"/>
  <c r="X33" i="3" s="1"/>
  <c r="H34" i="3"/>
  <c r="AC33" i="3" l="1"/>
  <c r="AD33" i="3" s="1"/>
  <c r="AC31" i="4"/>
  <c r="AD31" i="4" s="1"/>
  <c r="R31" i="4"/>
  <c r="S31" i="4" s="1"/>
  <c r="AA32" i="4"/>
  <c r="N32" i="4"/>
  <c r="I32" i="4"/>
  <c r="E33" i="4"/>
  <c r="W32" i="4"/>
  <c r="Y32" i="4" s="1"/>
  <c r="K32" i="4"/>
  <c r="V32" i="4" s="1"/>
  <c r="X32" i="4" s="1"/>
  <c r="M32" i="4"/>
  <c r="L32" i="4"/>
  <c r="P32" i="4"/>
  <c r="Q32" i="4"/>
  <c r="AB32" i="4" s="1"/>
  <c r="F33" i="4"/>
  <c r="G33" i="4"/>
  <c r="H33" i="4"/>
  <c r="H35" i="3"/>
  <c r="AA34" i="3"/>
  <c r="W34" i="3"/>
  <c r="Y34" i="3" s="1"/>
  <c r="I34" i="3"/>
  <c r="K34" i="3"/>
  <c r="V34" i="3" s="1"/>
  <c r="X34" i="3" s="1"/>
  <c r="N34" i="3"/>
  <c r="L34" i="3"/>
  <c r="E35" i="3"/>
  <c r="P34" i="3"/>
  <c r="M34" i="3"/>
  <c r="R33" i="3"/>
  <c r="S33" i="3" s="1"/>
  <c r="F35" i="3"/>
  <c r="Q34" i="3"/>
  <c r="AB34" i="3" s="1"/>
  <c r="G35" i="3"/>
  <c r="H34" i="4" l="1"/>
  <c r="R32" i="4"/>
  <c r="S32" i="4" s="1"/>
  <c r="H36" i="3"/>
  <c r="E34" i="4"/>
  <c r="P33" i="4"/>
  <c r="I33" i="4"/>
  <c r="W33" i="4"/>
  <c r="Y33" i="4" s="1"/>
  <c r="AA33" i="4"/>
  <c r="L33" i="4"/>
  <c r="M33" i="4"/>
  <c r="K33" i="4"/>
  <c r="V33" i="4" s="1"/>
  <c r="X33" i="4" s="1"/>
  <c r="N33" i="4"/>
  <c r="F34" i="4"/>
  <c r="G34" i="4"/>
  <c r="Q33" i="4"/>
  <c r="AB33" i="4" s="1"/>
  <c r="AC32" i="4"/>
  <c r="AD32" i="4" s="1"/>
  <c r="AC34" i="3"/>
  <c r="AD34" i="3" s="1"/>
  <c r="R34" i="3"/>
  <c r="S34" i="3" s="1"/>
  <c r="Q35" i="3"/>
  <c r="AB35" i="3" s="1"/>
  <c r="F36" i="3"/>
  <c r="G36" i="3"/>
  <c r="L35" i="3"/>
  <c r="AA35" i="3"/>
  <c r="AC35" i="3" s="1"/>
  <c r="AD35" i="3" s="1"/>
  <c r="N35" i="3"/>
  <c r="P35" i="3"/>
  <c r="R35" i="3" s="1"/>
  <c r="S35" i="3" s="1"/>
  <c r="M35" i="3"/>
  <c r="I35" i="3"/>
  <c r="E36" i="3"/>
  <c r="W35" i="3"/>
  <c r="Y35" i="3" s="1"/>
  <c r="K35" i="3"/>
  <c r="V35" i="3" s="1"/>
  <c r="X35" i="3" s="1"/>
  <c r="H37" i="3" l="1"/>
  <c r="AC33" i="4"/>
  <c r="AD33" i="4" s="1"/>
  <c r="I34" i="4"/>
  <c r="AA34" i="4"/>
  <c r="P34" i="4"/>
  <c r="M34" i="4"/>
  <c r="H35" i="4"/>
  <c r="E35" i="4"/>
  <c r="N34" i="4"/>
  <c r="K34" i="4"/>
  <c r="V34" i="4" s="1"/>
  <c r="X34" i="4" s="1"/>
  <c r="W34" i="4"/>
  <c r="Y34" i="4" s="1"/>
  <c r="L34" i="4"/>
  <c r="Q34" i="4"/>
  <c r="AB34" i="4" s="1"/>
  <c r="F35" i="4"/>
  <c r="G35" i="4"/>
  <c r="R33" i="4"/>
  <c r="S33" i="4" s="1"/>
  <c r="M36" i="3"/>
  <c r="W36" i="3"/>
  <c r="Y36" i="3" s="1"/>
  <c r="N36" i="3"/>
  <c r="AA36" i="3"/>
  <c r="I36" i="3"/>
  <c r="P36" i="3"/>
  <c r="K36" i="3"/>
  <c r="V36" i="3" s="1"/>
  <c r="X36" i="3" s="1"/>
  <c r="L36" i="3"/>
  <c r="E37" i="3"/>
  <c r="G37" i="3"/>
  <c r="F37" i="3"/>
  <c r="Q36" i="3"/>
  <c r="AB36" i="3" s="1"/>
  <c r="AC34" i="4" l="1"/>
  <c r="AD34" i="4" s="1"/>
  <c r="H36" i="4"/>
  <c r="R34" i="4"/>
  <c r="S34" i="4" s="1"/>
  <c r="R36" i="3"/>
  <c r="S36" i="3" s="1"/>
  <c r="Q35" i="4"/>
  <c r="AB35" i="4" s="1"/>
  <c r="F36" i="4"/>
  <c r="G36" i="4"/>
  <c r="N35" i="4"/>
  <c r="L35" i="4"/>
  <c r="I35" i="4"/>
  <c r="M35" i="4"/>
  <c r="E36" i="4"/>
  <c r="W35" i="4"/>
  <c r="Y35" i="4" s="1"/>
  <c r="P35" i="4"/>
  <c r="AA35" i="4"/>
  <c r="AC35" i="4" s="1"/>
  <c r="AD35" i="4" s="1"/>
  <c r="K35" i="4"/>
  <c r="V35" i="4" s="1"/>
  <c r="X35" i="4" s="1"/>
  <c r="G38" i="3"/>
  <c r="Q37" i="3"/>
  <c r="AB37" i="3" s="1"/>
  <c r="F38" i="3"/>
  <c r="W37" i="3"/>
  <c r="Y37" i="3" s="1"/>
  <c r="I37" i="3"/>
  <c r="AA37" i="3"/>
  <c r="AC37" i="3" s="1"/>
  <c r="AD37" i="3" s="1"/>
  <c r="N37" i="3"/>
  <c r="P37" i="3"/>
  <c r="R37" i="3" s="1"/>
  <c r="S37" i="3" s="1"/>
  <c r="K37" i="3"/>
  <c r="V37" i="3" s="1"/>
  <c r="X37" i="3" s="1"/>
  <c r="M37" i="3"/>
  <c r="L37" i="3"/>
  <c r="E38" i="3"/>
  <c r="AC36" i="3"/>
  <c r="AD36" i="3" s="1"/>
  <c r="H38" i="3"/>
  <c r="H39" i="3" l="1"/>
  <c r="R35" i="4"/>
  <c r="S35" i="4" s="1"/>
  <c r="K36" i="4"/>
  <c r="V36" i="4" s="1"/>
  <c r="X36" i="4" s="1"/>
  <c r="P36" i="4"/>
  <c r="L36" i="4"/>
  <c r="AA36" i="4"/>
  <c r="E37" i="4"/>
  <c r="I36" i="4"/>
  <c r="W36" i="4"/>
  <c r="Y36" i="4" s="1"/>
  <c r="M36" i="4"/>
  <c r="N36" i="4"/>
  <c r="G37" i="4"/>
  <c r="Q36" i="4"/>
  <c r="AB36" i="4" s="1"/>
  <c r="F37" i="4"/>
  <c r="H37" i="4"/>
  <c r="H38" i="4" s="1"/>
  <c r="K38" i="3"/>
  <c r="V38" i="3" s="1"/>
  <c r="X38" i="3" s="1"/>
  <c r="M38" i="3"/>
  <c r="AA38" i="3"/>
  <c r="L38" i="3"/>
  <c r="E39" i="3"/>
  <c r="W38" i="3"/>
  <c r="Y38" i="3" s="1"/>
  <c r="P38" i="3"/>
  <c r="N38" i="3"/>
  <c r="I38" i="3"/>
  <c r="F39" i="3"/>
  <c r="Q38" i="3"/>
  <c r="AB38" i="3" s="1"/>
  <c r="G39" i="3"/>
  <c r="H40" i="3" l="1"/>
  <c r="AC38" i="3"/>
  <c r="AD38" i="3" s="1"/>
  <c r="F38" i="4"/>
  <c r="Q37" i="4"/>
  <c r="AB37" i="4" s="1"/>
  <c r="G38" i="4"/>
  <c r="AC36" i="4"/>
  <c r="AD36" i="4" s="1"/>
  <c r="R36" i="4"/>
  <c r="S36" i="4" s="1"/>
  <c r="K37" i="4"/>
  <c r="V37" i="4" s="1"/>
  <c r="X37" i="4" s="1"/>
  <c r="W37" i="4"/>
  <c r="Y37" i="4" s="1"/>
  <c r="E38" i="4"/>
  <c r="N37" i="4"/>
  <c r="AA37" i="4"/>
  <c r="AC37" i="4" s="1"/>
  <c r="AD37" i="4" s="1"/>
  <c r="I37" i="4"/>
  <c r="L37" i="4"/>
  <c r="P37" i="4"/>
  <c r="R37" i="4" s="1"/>
  <c r="S37" i="4" s="1"/>
  <c r="M37" i="4"/>
  <c r="R38" i="3"/>
  <c r="S38" i="3" s="1"/>
  <c r="G40" i="3"/>
  <c r="F40" i="3"/>
  <c r="Q39" i="3"/>
  <c r="AB39" i="3" s="1"/>
  <c r="E40" i="3"/>
  <c r="K39" i="3"/>
  <c r="V39" i="3" s="1"/>
  <c r="X39" i="3" s="1"/>
  <c r="AA39" i="3"/>
  <c r="M39" i="3"/>
  <c r="W39" i="3"/>
  <c r="Y39" i="3" s="1"/>
  <c r="L39" i="3"/>
  <c r="P39" i="3"/>
  <c r="R39" i="3" s="1"/>
  <c r="S39" i="3" s="1"/>
  <c r="I39" i="3"/>
  <c r="N39" i="3"/>
  <c r="AC39" i="3" l="1"/>
  <c r="AD39" i="3" s="1"/>
  <c r="H39" i="4"/>
  <c r="I38" i="4"/>
  <c r="L38" i="4"/>
  <c r="W38" i="4"/>
  <c r="Y38" i="4" s="1"/>
  <c r="AA38" i="4"/>
  <c r="P38" i="4"/>
  <c r="R38" i="4" s="1"/>
  <c r="S38" i="4" s="1"/>
  <c r="E39" i="4"/>
  <c r="M38" i="4"/>
  <c r="K38" i="4"/>
  <c r="V38" i="4" s="1"/>
  <c r="X38" i="4" s="1"/>
  <c r="N38" i="4"/>
  <c r="F39" i="4"/>
  <c r="G39" i="4"/>
  <c r="Q38" i="4"/>
  <c r="AB38" i="4" s="1"/>
  <c r="Q40" i="3"/>
  <c r="AB40" i="3" s="1"/>
  <c r="F41" i="3"/>
  <c r="G41" i="3"/>
  <c r="H41" i="3"/>
  <c r="M40" i="3"/>
  <c r="L40" i="3"/>
  <c r="E41" i="3"/>
  <c r="I40" i="3"/>
  <c r="K40" i="3"/>
  <c r="V40" i="3" s="1"/>
  <c r="X40" i="3" s="1"/>
  <c r="N40" i="3"/>
  <c r="W40" i="3"/>
  <c r="Y40" i="3" s="1"/>
  <c r="AA40" i="3"/>
  <c r="P40" i="3"/>
  <c r="AC40" i="3" l="1"/>
  <c r="AD40" i="3" s="1"/>
  <c r="H42" i="3"/>
  <c r="R40" i="3"/>
  <c r="S40" i="3" s="1"/>
  <c r="F40" i="4"/>
  <c r="G40" i="4"/>
  <c r="Q39" i="4"/>
  <c r="AB39" i="4" s="1"/>
  <c r="I39" i="4"/>
  <c r="L39" i="4"/>
  <c r="W39" i="4"/>
  <c r="Y39" i="4" s="1"/>
  <c r="K39" i="4"/>
  <c r="V39" i="4" s="1"/>
  <c r="X39" i="4" s="1"/>
  <c r="E40" i="4"/>
  <c r="P39" i="4"/>
  <c r="R39" i="4" s="1"/>
  <c r="S39" i="4" s="1"/>
  <c r="M39" i="4"/>
  <c r="N39" i="4"/>
  <c r="AA39" i="4"/>
  <c r="AC39" i="4" s="1"/>
  <c r="AD39" i="4" s="1"/>
  <c r="AC38" i="4"/>
  <c r="AD38" i="4" s="1"/>
  <c r="H40" i="4"/>
  <c r="H41" i="4" s="1"/>
  <c r="L41" i="3"/>
  <c r="AA41" i="3"/>
  <c r="K41" i="3"/>
  <c r="V41" i="3" s="1"/>
  <c r="X41" i="3" s="1"/>
  <c r="I41" i="3"/>
  <c r="W41" i="3"/>
  <c r="Y41" i="3" s="1"/>
  <c r="N41" i="3"/>
  <c r="E42" i="3"/>
  <c r="M41" i="3"/>
  <c r="P41" i="3"/>
  <c r="F42" i="3"/>
  <c r="Q41" i="3"/>
  <c r="AB41" i="3" s="1"/>
  <c r="G42" i="3"/>
  <c r="R41" i="3" l="1"/>
  <c r="S41" i="3" s="1"/>
  <c r="F41" i="4"/>
  <c r="G41" i="4"/>
  <c r="Q40" i="4"/>
  <c r="AB40" i="4" s="1"/>
  <c r="AC41" i="3"/>
  <c r="AD41" i="3" s="1"/>
  <c r="K40" i="4"/>
  <c r="V40" i="4" s="1"/>
  <c r="X40" i="4" s="1"/>
  <c r="M40" i="4"/>
  <c r="I40" i="4"/>
  <c r="E41" i="4"/>
  <c r="W40" i="4"/>
  <c r="Y40" i="4" s="1"/>
  <c r="AA40" i="4"/>
  <c r="AC40" i="4" s="1"/>
  <c r="AD40" i="4" s="1"/>
  <c r="N40" i="4"/>
  <c r="P40" i="4"/>
  <c r="R40" i="4" s="1"/>
  <c r="S40" i="4" s="1"/>
  <c r="L40" i="4"/>
  <c r="AA42" i="3"/>
  <c r="I42" i="3"/>
  <c r="L42" i="3"/>
  <c r="M42" i="3"/>
  <c r="N42" i="3"/>
  <c r="K42" i="3"/>
  <c r="V42" i="3" s="1"/>
  <c r="X42" i="3" s="1"/>
  <c r="E43" i="3"/>
  <c r="W42" i="3"/>
  <c r="Y42" i="3" s="1"/>
  <c r="P42" i="3"/>
  <c r="F43" i="3"/>
  <c r="G43" i="3"/>
  <c r="Q42" i="3"/>
  <c r="AB42" i="3" s="1"/>
  <c r="H43" i="3"/>
  <c r="H44" i="3" s="1"/>
  <c r="E42" i="4" l="1"/>
  <c r="N41" i="4"/>
  <c r="K41" i="4"/>
  <c r="V41" i="4" s="1"/>
  <c r="X41" i="4" s="1"/>
  <c r="L41" i="4"/>
  <c r="I41" i="4"/>
  <c r="P41" i="4"/>
  <c r="AA41" i="4"/>
  <c r="W41" i="4"/>
  <c r="Y41" i="4" s="1"/>
  <c r="M41" i="4"/>
  <c r="H42" i="4"/>
  <c r="Q41" i="4"/>
  <c r="AB41" i="4" s="1"/>
  <c r="F42" i="4"/>
  <c r="G42" i="4"/>
  <c r="AA43" i="3"/>
  <c r="M43" i="3"/>
  <c r="K43" i="3"/>
  <c r="V43" i="3" s="1"/>
  <c r="X43" i="3" s="1"/>
  <c r="I43" i="3"/>
  <c r="P43" i="3"/>
  <c r="W43" i="3"/>
  <c r="Y43" i="3" s="1"/>
  <c r="N43" i="3"/>
  <c r="L43" i="3"/>
  <c r="E44" i="3"/>
  <c r="G44" i="3"/>
  <c r="Q43" i="3"/>
  <c r="AB43" i="3" s="1"/>
  <c r="F44" i="3"/>
  <c r="H45" i="3" s="1"/>
  <c r="R42" i="3"/>
  <c r="S42" i="3" s="1"/>
  <c r="AC42" i="3"/>
  <c r="AD42" i="3" s="1"/>
  <c r="R43" i="3" l="1"/>
  <c r="S43" i="3" s="1"/>
  <c r="Q42" i="4"/>
  <c r="AB42" i="4" s="1"/>
  <c r="F43" i="4"/>
  <c r="G43" i="4"/>
  <c r="H43" i="4"/>
  <c r="R41" i="4"/>
  <c r="S41" i="4" s="1"/>
  <c r="AC41" i="4"/>
  <c r="AD41" i="4" s="1"/>
  <c r="M42" i="4"/>
  <c r="N42" i="4"/>
  <c r="I42" i="4"/>
  <c r="K42" i="4"/>
  <c r="V42" i="4" s="1"/>
  <c r="X42" i="4" s="1"/>
  <c r="L42" i="4"/>
  <c r="E43" i="4"/>
  <c r="W42" i="4"/>
  <c r="Y42" i="4" s="1"/>
  <c r="P42" i="4"/>
  <c r="R42" i="4" s="1"/>
  <c r="S42" i="4" s="1"/>
  <c r="AA42" i="4"/>
  <c r="AC42" i="4" s="1"/>
  <c r="AD42" i="4" s="1"/>
  <c r="F45" i="3"/>
  <c r="G45" i="3"/>
  <c r="Q44" i="3"/>
  <c r="AB44" i="3" s="1"/>
  <c r="K44" i="3"/>
  <c r="V44" i="3" s="1"/>
  <c r="X44" i="3" s="1"/>
  <c r="E45" i="3"/>
  <c r="N44" i="3"/>
  <c r="AA44" i="3"/>
  <c r="AC44" i="3" s="1"/>
  <c r="AD44" i="3" s="1"/>
  <c r="L44" i="3"/>
  <c r="I44" i="3"/>
  <c r="P44" i="3"/>
  <c r="W44" i="3"/>
  <c r="Y44" i="3" s="1"/>
  <c r="M44" i="3"/>
  <c r="AC43" i="3"/>
  <c r="AD43" i="3" s="1"/>
  <c r="E44" i="4" l="1"/>
  <c r="AA43" i="4"/>
  <c r="L43" i="4"/>
  <c r="M43" i="4"/>
  <c r="N43" i="4"/>
  <c r="W43" i="4"/>
  <c r="Y43" i="4" s="1"/>
  <c r="P43" i="4"/>
  <c r="K43" i="4"/>
  <c r="V43" i="4" s="1"/>
  <c r="X43" i="4" s="1"/>
  <c r="I43" i="4"/>
  <c r="F44" i="4"/>
  <c r="Q43" i="4"/>
  <c r="AB43" i="4" s="1"/>
  <c r="G44" i="4"/>
  <c r="H44" i="4"/>
  <c r="H45" i="4" s="1"/>
  <c r="R44" i="3"/>
  <c r="S44" i="3" s="1"/>
  <c r="E46" i="3"/>
  <c r="W45" i="3"/>
  <c r="Y45" i="3" s="1"/>
  <c r="I45" i="3"/>
  <c r="M45" i="3"/>
  <c r="P45" i="3"/>
  <c r="AA45" i="3"/>
  <c r="L45" i="3"/>
  <c r="N45" i="3"/>
  <c r="K45" i="3"/>
  <c r="V45" i="3" s="1"/>
  <c r="X45" i="3" s="1"/>
  <c r="G46" i="3"/>
  <c r="F46" i="3"/>
  <c r="Q45" i="3"/>
  <c r="AB45" i="3" s="1"/>
  <c r="H46" i="3"/>
  <c r="H47" i="3" l="1"/>
  <c r="R45" i="3"/>
  <c r="S45" i="3" s="1"/>
  <c r="F45" i="4"/>
  <c r="G45" i="4"/>
  <c r="Q44" i="4"/>
  <c r="AB44" i="4" s="1"/>
  <c r="AC43" i="4"/>
  <c r="AD43" i="4" s="1"/>
  <c r="AC45" i="3"/>
  <c r="AD45" i="3" s="1"/>
  <c r="R43" i="4"/>
  <c r="S43" i="4" s="1"/>
  <c r="I44" i="4"/>
  <c r="E45" i="4"/>
  <c r="AA44" i="4"/>
  <c r="AC44" i="4" s="1"/>
  <c r="AD44" i="4" s="1"/>
  <c r="M44" i="4"/>
  <c r="P44" i="4"/>
  <c r="R44" i="4" s="1"/>
  <c r="S44" i="4" s="1"/>
  <c r="N44" i="4"/>
  <c r="L44" i="4"/>
  <c r="K44" i="4"/>
  <c r="V44" i="4" s="1"/>
  <c r="X44" i="4" s="1"/>
  <c r="W44" i="4"/>
  <c r="Y44" i="4" s="1"/>
  <c r="K46" i="3"/>
  <c r="V46" i="3" s="1"/>
  <c r="X46" i="3" s="1"/>
  <c r="I46" i="3"/>
  <c r="M46" i="3"/>
  <c r="AA46" i="3"/>
  <c r="N46" i="3"/>
  <c r="W46" i="3"/>
  <c r="Y46" i="3" s="1"/>
  <c r="E47" i="3"/>
  <c r="P46" i="3"/>
  <c r="L46" i="3"/>
  <c r="Q46" i="3"/>
  <c r="AB46" i="3" s="1"/>
  <c r="F47" i="3"/>
  <c r="G47" i="3"/>
  <c r="H48" i="3" l="1"/>
  <c r="G46" i="4"/>
  <c r="Q45" i="4"/>
  <c r="AB45" i="4" s="1"/>
  <c r="F46" i="4"/>
  <c r="AC46" i="3"/>
  <c r="AD46" i="3" s="1"/>
  <c r="K45" i="4"/>
  <c r="V45" i="4" s="1"/>
  <c r="X45" i="4" s="1"/>
  <c r="E46" i="4"/>
  <c r="L45" i="4"/>
  <c r="M45" i="4"/>
  <c r="H46" i="4"/>
  <c r="AA45" i="4"/>
  <c r="AC45" i="4" s="1"/>
  <c r="AD45" i="4" s="1"/>
  <c r="N45" i="4"/>
  <c r="P45" i="4"/>
  <c r="R45" i="4" s="1"/>
  <c r="S45" i="4" s="1"/>
  <c r="I45" i="4"/>
  <c r="W45" i="4"/>
  <c r="Y45" i="4" s="1"/>
  <c r="K47" i="3"/>
  <c r="V47" i="3" s="1"/>
  <c r="X47" i="3" s="1"/>
  <c r="E48" i="3"/>
  <c r="I47" i="3"/>
  <c r="N47" i="3"/>
  <c r="M47" i="3"/>
  <c r="L47" i="3"/>
  <c r="P47" i="3"/>
  <c r="AA47" i="3"/>
  <c r="W47" i="3"/>
  <c r="Y47" i="3" s="1"/>
  <c r="G48" i="3"/>
  <c r="F48" i="3"/>
  <c r="Q47" i="3"/>
  <c r="AB47" i="3" s="1"/>
  <c r="R46" i="3"/>
  <c r="S46" i="3" s="1"/>
  <c r="H47" i="4" l="1"/>
  <c r="E47" i="4"/>
  <c r="M46" i="4"/>
  <c r="W46" i="4"/>
  <c r="Y46" i="4" s="1"/>
  <c r="I46" i="4"/>
  <c r="K46" i="4"/>
  <c r="V46" i="4" s="1"/>
  <c r="X46" i="4" s="1"/>
  <c r="L46" i="4"/>
  <c r="N46" i="4"/>
  <c r="P46" i="4"/>
  <c r="AA46" i="4"/>
  <c r="H49" i="3"/>
  <c r="F47" i="4"/>
  <c r="G47" i="4"/>
  <c r="Q46" i="4"/>
  <c r="AB46" i="4" s="1"/>
  <c r="P48" i="3"/>
  <c r="M48" i="3"/>
  <c r="W48" i="3"/>
  <c r="Y48" i="3" s="1"/>
  <c r="I48" i="3"/>
  <c r="AA48" i="3"/>
  <c r="N48" i="3"/>
  <c r="K48" i="3"/>
  <c r="V48" i="3" s="1"/>
  <c r="X48" i="3" s="1"/>
  <c r="L48" i="3"/>
  <c r="E49" i="3"/>
  <c r="AC47" i="3"/>
  <c r="AD47" i="3" s="1"/>
  <c r="Q48" i="3"/>
  <c r="AB48" i="3" s="1"/>
  <c r="G49" i="3"/>
  <c r="F49" i="3"/>
  <c r="R47" i="3"/>
  <c r="S47" i="3" s="1"/>
  <c r="R46" i="4" l="1"/>
  <c r="S46" i="4" s="1"/>
  <c r="F48" i="4"/>
  <c r="G48" i="4"/>
  <c r="Q47" i="4"/>
  <c r="AB47" i="4" s="1"/>
  <c r="AC46" i="4"/>
  <c r="AD46" i="4" s="1"/>
  <c r="H48" i="4"/>
  <c r="E48" i="4"/>
  <c r="N47" i="4"/>
  <c r="W47" i="4"/>
  <c r="Y47" i="4" s="1"/>
  <c r="I47" i="4"/>
  <c r="AA47" i="4"/>
  <c r="AC47" i="4" s="1"/>
  <c r="AD47" i="4" s="1"/>
  <c r="L47" i="4"/>
  <c r="M47" i="4"/>
  <c r="K47" i="4"/>
  <c r="V47" i="4" s="1"/>
  <c r="X47" i="4" s="1"/>
  <c r="P47" i="4"/>
  <c r="R47" i="4" s="1"/>
  <c r="S47" i="4" s="1"/>
  <c r="G50" i="3"/>
  <c r="Q49" i="3"/>
  <c r="AB49" i="3" s="1"/>
  <c r="F50" i="3"/>
  <c r="AC48" i="3"/>
  <c r="AD48" i="3" s="1"/>
  <c r="P49" i="3"/>
  <c r="N49" i="3"/>
  <c r="E50" i="3"/>
  <c r="K49" i="3"/>
  <c r="V49" i="3" s="1"/>
  <c r="X49" i="3" s="1"/>
  <c r="AA49" i="3"/>
  <c r="M49" i="3"/>
  <c r="L49" i="3"/>
  <c r="W49" i="3"/>
  <c r="Y49" i="3" s="1"/>
  <c r="I49" i="3"/>
  <c r="R48" i="3"/>
  <c r="S48" i="3" s="1"/>
  <c r="H50" i="3"/>
  <c r="AC49" i="3" l="1"/>
  <c r="AD49" i="3" s="1"/>
  <c r="R49" i="3"/>
  <c r="S49" i="3" s="1"/>
  <c r="H51" i="3"/>
  <c r="H49" i="4"/>
  <c r="Q48" i="4"/>
  <c r="AB48" i="4" s="1"/>
  <c r="F49" i="4"/>
  <c r="G49" i="4"/>
  <c r="E49" i="4"/>
  <c r="W48" i="4"/>
  <c r="Y48" i="4" s="1"/>
  <c r="K48" i="4"/>
  <c r="V48" i="4" s="1"/>
  <c r="X48" i="4" s="1"/>
  <c r="N48" i="4"/>
  <c r="M48" i="4"/>
  <c r="AA48" i="4"/>
  <c r="AC48" i="4" s="1"/>
  <c r="AD48" i="4" s="1"/>
  <c r="I48" i="4"/>
  <c r="P48" i="4"/>
  <c r="R48" i="4" s="1"/>
  <c r="S48" i="4" s="1"/>
  <c r="L48" i="4"/>
  <c r="P50" i="3"/>
  <c r="L50" i="3"/>
  <c r="I50" i="3"/>
  <c r="E51" i="3"/>
  <c r="N50" i="3"/>
  <c r="K50" i="3"/>
  <c r="V50" i="3" s="1"/>
  <c r="X50" i="3" s="1"/>
  <c r="AA50" i="3"/>
  <c r="M50" i="3"/>
  <c r="W50" i="3"/>
  <c r="Y50" i="3" s="1"/>
  <c r="Q50" i="3"/>
  <c r="AB50" i="3" s="1"/>
  <c r="G51" i="3"/>
  <c r="F51" i="3"/>
  <c r="Q51" i="3" s="1"/>
  <c r="W49" i="4" l="1"/>
  <c r="Y49" i="4" s="1"/>
  <c r="P49" i="4"/>
  <c r="L49" i="4"/>
  <c r="N49" i="4"/>
  <c r="I49" i="4"/>
  <c r="E50" i="4"/>
  <c r="K49" i="4"/>
  <c r="V49" i="4" s="1"/>
  <c r="X49" i="4" s="1"/>
  <c r="M49" i="4"/>
  <c r="AA49" i="4"/>
  <c r="AC49" i="4" s="1"/>
  <c r="AD49" i="4" s="1"/>
  <c r="G50" i="4"/>
  <c r="F50" i="4"/>
  <c r="Q49" i="4"/>
  <c r="AB49" i="4" s="1"/>
  <c r="H50" i="4"/>
  <c r="H51" i="4" s="1"/>
  <c r="AB51" i="3"/>
  <c r="AB54" i="3" s="1"/>
  <c r="AB55" i="3" s="1"/>
  <c r="Q54" i="3"/>
  <c r="Q55" i="3" s="1"/>
  <c r="AC50" i="3"/>
  <c r="AD50" i="3" s="1"/>
  <c r="W51" i="3"/>
  <c r="K51" i="3"/>
  <c r="K54" i="3" s="1"/>
  <c r="L51" i="3"/>
  <c r="L54" i="3" s="1"/>
  <c r="L55" i="3" s="1"/>
  <c r="AA51" i="3"/>
  <c r="I51" i="3"/>
  <c r="N51" i="3"/>
  <c r="N54" i="3" s="1"/>
  <c r="N55" i="3" s="1"/>
  <c r="M51" i="3"/>
  <c r="M54" i="3" s="1"/>
  <c r="M55" i="3" s="1"/>
  <c r="P51" i="3"/>
  <c r="R50" i="3"/>
  <c r="S50" i="3" s="1"/>
  <c r="E51" i="4" l="1"/>
  <c r="I50" i="4"/>
  <c r="K50" i="4"/>
  <c r="V50" i="4" s="1"/>
  <c r="X50" i="4" s="1"/>
  <c r="P50" i="4"/>
  <c r="AA50" i="4"/>
  <c r="W50" i="4"/>
  <c r="Y50" i="4" s="1"/>
  <c r="M50" i="4"/>
  <c r="N50" i="4"/>
  <c r="L50" i="4"/>
  <c r="R49" i="4"/>
  <c r="S49" i="4" s="1"/>
  <c r="Q50" i="4"/>
  <c r="F51" i="4"/>
  <c r="Q51" i="4" s="1"/>
  <c r="AB51" i="4" s="1"/>
  <c r="G51" i="4"/>
  <c r="V51" i="3"/>
  <c r="K55" i="3"/>
  <c r="Y51" i="3"/>
  <c r="Y54" i="3" s="1"/>
  <c r="Y55" i="3" s="1"/>
  <c r="W54" i="3"/>
  <c r="W55" i="3" s="1"/>
  <c r="AC51" i="3"/>
  <c r="AA54" i="3"/>
  <c r="AA55" i="3" s="1"/>
  <c r="R51" i="3"/>
  <c r="P54" i="3"/>
  <c r="P55" i="3" s="1"/>
  <c r="F9" i="5"/>
  <c r="M4" i="6"/>
  <c r="E9" i="5"/>
  <c r="N4" i="6"/>
  <c r="R50" i="4" l="1"/>
  <c r="S50" i="4" s="1"/>
  <c r="AB50" i="4"/>
  <c r="Q54" i="4"/>
  <c r="Q55" i="4" s="1"/>
  <c r="W51" i="4"/>
  <c r="AA51" i="4"/>
  <c r="M51" i="4"/>
  <c r="M54" i="4" s="1"/>
  <c r="M55" i="4" s="1"/>
  <c r="N51" i="4"/>
  <c r="N54" i="4" s="1"/>
  <c r="N55" i="4" s="1"/>
  <c r="L51" i="4"/>
  <c r="L54" i="4" s="1"/>
  <c r="L55" i="4" s="1"/>
  <c r="K51" i="4"/>
  <c r="I51" i="4"/>
  <c r="P51" i="4"/>
  <c r="AD51" i="3"/>
  <c r="AD54" i="3" s="1"/>
  <c r="AD55" i="3" s="1"/>
  <c r="AC54" i="3"/>
  <c r="AC55" i="3" s="1"/>
  <c r="S51" i="3"/>
  <c r="S54" i="3" s="1"/>
  <c r="S55" i="3" s="1"/>
  <c r="R54" i="3"/>
  <c r="R55" i="3" s="1"/>
  <c r="X51" i="3"/>
  <c r="X54" i="3" s="1"/>
  <c r="X55" i="3" s="1"/>
  <c r="V54" i="3"/>
  <c r="V55" i="3" s="1"/>
  <c r="F10" i="5" l="1"/>
  <c r="F11" i="5" s="1"/>
  <c r="P4" i="6"/>
  <c r="Y51" i="4"/>
  <c r="Y54" i="4" s="1"/>
  <c r="Y55" i="4" s="1"/>
  <c r="W54" i="4"/>
  <c r="W55" i="4" s="1"/>
  <c r="AC50" i="4"/>
  <c r="AB54" i="4"/>
  <c r="AB55" i="4" s="1"/>
  <c r="R51" i="4"/>
  <c r="P54" i="4"/>
  <c r="P55" i="4" s="1"/>
  <c r="K54" i="4"/>
  <c r="K55" i="4" s="1"/>
  <c r="V51" i="4"/>
  <c r="E10" i="5"/>
  <c r="E11" i="5" s="1"/>
  <c r="Q4" i="6"/>
  <c r="AC51" i="4"/>
  <c r="AD51" i="4" s="1"/>
  <c r="AA54" i="4"/>
  <c r="AA55" i="4" s="1"/>
  <c r="L4" i="6"/>
  <c r="D9" i="5"/>
  <c r="S51" i="4" l="1"/>
  <c r="S54" i="4" s="1"/>
  <c r="S55" i="4" s="1"/>
  <c r="R54" i="4"/>
  <c r="R55" i="4" s="1"/>
  <c r="AD50" i="4"/>
  <c r="AC54" i="4"/>
  <c r="AC55" i="4" s="1"/>
  <c r="X51" i="4"/>
  <c r="X54" i="4" s="1"/>
  <c r="X55" i="4" s="1"/>
  <c r="V54" i="4"/>
  <c r="V55" i="4" s="1"/>
  <c r="AD54" i="4"/>
  <c r="AD55" i="4" s="1"/>
  <c r="D10" i="5" l="1"/>
  <c r="D11" i="5" s="1"/>
  <c r="O4" i="6"/>
  <c r="F14" i="5" l="1"/>
  <c r="E14" i="5"/>
</calcChain>
</file>

<file path=xl/sharedStrings.xml><?xml version="1.0" encoding="utf-8"?>
<sst xmlns="http://schemas.openxmlformats.org/spreadsheetml/2006/main" count="212" uniqueCount="107">
  <si>
    <t>Markov state diagram</t>
  </si>
  <si>
    <t>The states are represented by ovals and possible transitions between states are shown by arrows.</t>
  </si>
  <si>
    <t>State costs</t>
  </si>
  <si>
    <t>Transition costs</t>
  </si>
  <si>
    <t>Utilities</t>
  </si>
  <si>
    <t>Transition probabilities</t>
  </si>
  <si>
    <r>
      <t xml:space="preserve">Transition probabilities shown in </t>
    </r>
    <r>
      <rPr>
        <b/>
        <sz val="10"/>
        <color indexed="12"/>
        <rFont val="Arial"/>
        <family val="2"/>
      </rPr>
      <t>blue</t>
    </r>
  </si>
  <si>
    <r>
      <t xml:space="preserve">State utilities shown in </t>
    </r>
    <r>
      <rPr>
        <b/>
        <sz val="10"/>
        <color indexed="17"/>
        <rFont val="Arial"/>
        <family val="2"/>
      </rPr>
      <t>green</t>
    </r>
  </si>
  <si>
    <r>
      <t xml:space="preserve">Transition costs shown in </t>
    </r>
    <r>
      <rPr>
        <b/>
        <sz val="10"/>
        <color indexed="14"/>
        <rFont val="Arial"/>
        <family val="2"/>
      </rPr>
      <t>pink</t>
    </r>
  </si>
  <si>
    <r>
      <t xml:space="preserve">State costs shown in  </t>
    </r>
    <r>
      <rPr>
        <b/>
        <sz val="10"/>
        <color indexed="10"/>
        <rFont val="Arial"/>
        <family val="2"/>
      </rPr>
      <t>red</t>
    </r>
  </si>
  <si>
    <t>Parameters</t>
  </si>
  <si>
    <t>Costs</t>
  </si>
  <si>
    <t>cAsymp</t>
  </si>
  <si>
    <t>cProg</t>
  </si>
  <si>
    <t>cDrug</t>
  </si>
  <si>
    <t>cDeath</t>
  </si>
  <si>
    <t>Quality of life adjustments</t>
  </si>
  <si>
    <t>uAsymp</t>
  </si>
  <si>
    <t>uProg</t>
  </si>
  <si>
    <t>tpProg</t>
  </si>
  <si>
    <t>tpDcm</t>
  </si>
  <si>
    <t>natDeath</t>
  </si>
  <si>
    <t>Other parameters</t>
  </si>
  <si>
    <t>Eff</t>
  </si>
  <si>
    <t>ini_age</t>
  </si>
  <si>
    <t>oDR</t>
  </si>
  <si>
    <t>cDR</t>
  </si>
  <si>
    <r>
      <t xml:space="preserve">Parameter values and description in </t>
    </r>
    <r>
      <rPr>
        <b/>
        <sz val="10"/>
        <rFont val="Arial"/>
        <family val="2"/>
      </rPr>
      <t>&lt;Parameters&gt;</t>
    </r>
  </si>
  <si>
    <t>Name</t>
  </si>
  <si>
    <t>probabilistic sensitivity analysis</t>
  </si>
  <si>
    <t>Live value</t>
  </si>
  <si>
    <t>Probabilistic Sensitivity Analysis only</t>
  </si>
  <si>
    <t>probabilistic</t>
  </si>
  <si>
    <t>deterministic</t>
  </si>
  <si>
    <t>distribution</t>
  </si>
  <si>
    <t>Description</t>
  </si>
  <si>
    <t>Cost of one cycle in the asymptomatic disease state</t>
  </si>
  <si>
    <t>Cost associated with transition to the dead state</t>
  </si>
  <si>
    <t>Cost of drug for one cycle</t>
  </si>
  <si>
    <t>Probability of dying from the disease in a single cycle</t>
  </si>
  <si>
    <t>Cost of one cycle in the progressive disease state</t>
  </si>
  <si>
    <t>Effectiveness of drug in terms of reducing disease progression</t>
  </si>
  <si>
    <t>Coefficent of increase for probability of entering the progressive disease state</t>
  </si>
  <si>
    <t>Quality of life weight for one cycle in the asymptomatic disease state</t>
  </si>
  <si>
    <t>Quality of life weight for one cycle in the progressive disease state</t>
  </si>
  <si>
    <t>Other cause mortality for age 55-64</t>
  </si>
  <si>
    <t>Other cause mortality for age 65-74</t>
  </si>
  <si>
    <t>Other cause mortality for age 75-84</t>
  </si>
  <si>
    <t>Other cause mortality for age 85 and over</t>
  </si>
  <si>
    <t>natDeath55</t>
  </si>
  <si>
    <t>natDeath65</t>
  </si>
  <si>
    <t>natDeath75</t>
  </si>
  <si>
    <t>natDeath85</t>
  </si>
  <si>
    <t>The initial age at which patients are deemed to start the model</t>
  </si>
  <si>
    <t>Discount rate for costs</t>
  </si>
  <si>
    <t>Discount rate for outcomes</t>
  </si>
  <si>
    <t>Log-Normal</t>
  </si>
  <si>
    <t>Note that parameters coloured blue are used in the</t>
  </si>
  <si>
    <t>All other parameters are deterministic</t>
  </si>
  <si>
    <t>Cycle</t>
  </si>
  <si>
    <t>QALYs</t>
  </si>
  <si>
    <t>StateCost</t>
  </si>
  <si>
    <t>TransCost</t>
  </si>
  <si>
    <t>TotalCost</t>
  </si>
  <si>
    <t>Total</t>
  </si>
  <si>
    <t>per patient</t>
  </si>
  <si>
    <t>No drug therapy</t>
  </si>
  <si>
    <t>Asymptomatic</t>
  </si>
  <si>
    <t>Progressive disease</t>
  </si>
  <si>
    <t>Check</t>
  </si>
  <si>
    <t>Life years</t>
  </si>
  <si>
    <t>Discounted</t>
  </si>
  <si>
    <t>Total cost</t>
  </si>
  <si>
    <t>Drug therapy</t>
  </si>
  <si>
    <t>Cost-effectiveness of drug therapy</t>
  </si>
  <si>
    <t>Results</t>
  </si>
  <si>
    <t>Cost</t>
  </si>
  <si>
    <t>ICERs:</t>
  </si>
  <si>
    <t>per QALY</t>
  </si>
  <si>
    <t>Life-years</t>
  </si>
  <si>
    <t>Drug v no Drug</t>
  </si>
  <si>
    <t>per Life year</t>
  </si>
  <si>
    <t>Difference</t>
  </si>
  <si>
    <t>Trial</t>
  </si>
  <si>
    <t>Effectiveness</t>
  </si>
  <si>
    <t>Cost-effectiveness results</t>
  </si>
  <si>
    <t xml:space="preserve">Cost  </t>
  </si>
  <si>
    <t>Mean</t>
  </si>
  <si>
    <t>Results (probabilistic)</t>
  </si>
  <si>
    <t>Dead from disease</t>
  </si>
  <si>
    <t>Dead other causes</t>
  </si>
  <si>
    <r>
      <t>strat</t>
    </r>
    <r>
      <rPr>
        <sz val="10"/>
        <rFont val="Arial"/>
        <family val="2"/>
      </rPr>
      <t>=1 if drug therapy and =0 if no drug therapy</t>
    </r>
  </si>
  <si>
    <t>Halfcycle correction</t>
  </si>
  <si>
    <t>standard error of the mean</t>
  </si>
  <si>
    <t>Gamma*</t>
  </si>
  <si>
    <t>*alpha and beta estimate using method of moments</t>
  </si>
  <si>
    <t>alpha/mean of logs</t>
  </si>
  <si>
    <t>beta/lambda/standard error of logs</t>
  </si>
  <si>
    <t>Beta*</t>
  </si>
  <si>
    <t>Net monetary benefits</t>
  </si>
  <si>
    <t>Cost-effective?</t>
  </si>
  <si>
    <t>Acceptability curves</t>
  </si>
  <si>
    <t xml:space="preserve">Ceiling ratio </t>
  </si>
  <si>
    <t>Ceiling ratio</t>
  </si>
  <si>
    <t>D5=0 for deterministic analysis; D5=1 for Probabilistic analysis</t>
  </si>
  <si>
    <t>Discounted; no half-cycle correction</t>
  </si>
  <si>
    <t>Discounted; half-cycle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</si>
</sst>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"/>
    <numFmt numFmtId="165" formatCode="_-&quot;£&quot;* #,##0_-;\-&quot;£&quot;* #,##0_-;_-&quot;£&quot;* &quot;-&quot;??_-;_-@_-"/>
    <numFmt numFmtId="166" formatCode="0.0"/>
  </numFmts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4"/>
      <name val="Arial"/>
      <family val="2"/>
    </font>
    <font>
      <b/>
      <sz val="10"/>
      <color indexed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4"/>
      <color indexed="58"/>
      <name val="Arial"/>
      <family val="2"/>
    </font>
    <font>
      <sz val="10"/>
      <color indexed="58"/>
      <name val="Arial"/>
      <family val="2"/>
    </font>
    <font>
      <sz val="10"/>
      <color indexed="59"/>
      <name val="Arial"/>
      <family val="2"/>
    </font>
    <font>
      <sz val="14"/>
      <color indexed="59"/>
      <name val="Arial"/>
      <family val="2"/>
    </font>
    <font>
      <b/>
      <sz val="10"/>
      <color indexed="59"/>
      <name val="Arial"/>
      <family val="2"/>
    </font>
    <font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b/>
      <u/>
      <sz val="10"/>
      <color indexed="18"/>
      <name val="Arial"/>
      <family val="2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58"/>
      </left>
      <right/>
      <top style="double">
        <color indexed="58"/>
      </top>
      <bottom/>
      <diagonal/>
    </border>
    <border>
      <left/>
      <right/>
      <top style="double">
        <color indexed="58"/>
      </top>
      <bottom/>
      <diagonal/>
    </border>
    <border>
      <left/>
      <right style="double">
        <color indexed="58"/>
      </right>
      <top style="double">
        <color indexed="58"/>
      </top>
      <bottom/>
      <diagonal/>
    </border>
    <border>
      <left style="double">
        <color indexed="58"/>
      </left>
      <right/>
      <top/>
      <bottom/>
      <diagonal/>
    </border>
    <border>
      <left/>
      <right style="double">
        <color indexed="58"/>
      </right>
      <top/>
      <bottom/>
      <diagonal/>
    </border>
    <border>
      <left style="double">
        <color indexed="58"/>
      </left>
      <right/>
      <top/>
      <bottom style="double">
        <color indexed="58"/>
      </bottom>
      <diagonal/>
    </border>
    <border>
      <left/>
      <right/>
      <top/>
      <bottom style="double">
        <color indexed="58"/>
      </bottom>
      <diagonal/>
    </border>
    <border>
      <left/>
      <right style="double">
        <color indexed="58"/>
      </right>
      <top/>
      <bottom style="double">
        <color indexed="5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0" fillId="2" borderId="0" xfId="0" applyFont="1" applyFill="1"/>
    <xf numFmtId="0" fontId="17" fillId="2" borderId="0" xfId="0" applyFont="1" applyFill="1" applyBorder="1" applyAlignment="1">
      <alignment horizontal="center"/>
    </xf>
    <xf numFmtId="0" fontId="0" fillId="2" borderId="0" xfId="0" applyFill="1"/>
    <xf numFmtId="0" fontId="11" fillId="2" borderId="0" xfId="0" applyFont="1" applyFill="1" applyBorder="1" applyAlignment="1">
      <alignment horizontal="center"/>
    </xf>
    <xf numFmtId="2" fontId="0" fillId="0" borderId="0" xfId="0" applyNumberFormat="1"/>
    <xf numFmtId="0" fontId="18" fillId="3" borderId="2" xfId="0" applyFont="1" applyFill="1" applyBorder="1" applyAlignment="1">
      <alignment horizontal="left"/>
    </xf>
    <xf numFmtId="0" fontId="4" fillId="0" borderId="0" xfId="0" applyFont="1"/>
    <xf numFmtId="1" fontId="0" fillId="0" borderId="0" xfId="0" applyNumberFormat="1"/>
    <xf numFmtId="0" fontId="16" fillId="0" borderId="0" xfId="0" applyFont="1" applyAlignment="1">
      <alignment horizontal="center"/>
    </xf>
    <xf numFmtId="0" fontId="16" fillId="0" borderId="3" xfId="0" applyFont="1" applyBorder="1"/>
    <xf numFmtId="165" fontId="0" fillId="0" borderId="0" xfId="2" applyNumberFormat="1" applyFont="1"/>
    <xf numFmtId="0" fontId="0" fillId="4" borderId="1" xfId="0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165" fontId="0" fillId="4" borderId="1" xfId="2" applyNumberFormat="1" applyFont="1" applyFill="1" applyBorder="1"/>
    <xf numFmtId="0" fontId="16" fillId="0" borderId="0" xfId="0" applyFont="1" applyBorder="1"/>
    <xf numFmtId="0" fontId="0" fillId="5" borderId="0" xfId="0" applyFill="1" applyBorder="1"/>
    <xf numFmtId="0" fontId="0" fillId="5" borderId="0" xfId="0" applyFill="1" applyBorder="1" applyAlignment="1">
      <alignment horizontal="right"/>
    </xf>
    <xf numFmtId="165" fontId="0" fillId="5" borderId="0" xfId="2" applyNumberFormat="1" applyFont="1" applyFill="1" applyBorder="1" applyAlignment="1">
      <alignment horizontal="right"/>
    </xf>
    <xf numFmtId="2" fontId="0" fillId="5" borderId="0" xfId="0" applyNumberFormat="1" applyFill="1" applyBorder="1" applyAlignment="1">
      <alignment horizontal="right"/>
    </xf>
    <xf numFmtId="0" fontId="0" fillId="5" borderId="0" xfId="0" applyFill="1"/>
    <xf numFmtId="0" fontId="20" fillId="5" borderId="4" xfId="0" applyFont="1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2" fontId="0" fillId="5" borderId="8" xfId="0" applyNumberFormat="1" applyFill="1" applyBorder="1"/>
    <xf numFmtId="0" fontId="0" fillId="5" borderId="9" xfId="0" applyFill="1" applyBorder="1"/>
    <xf numFmtId="0" fontId="0" fillId="5" borderId="10" xfId="0" applyFill="1" applyBorder="1"/>
    <xf numFmtId="165" fontId="0" fillId="5" borderId="10" xfId="2" applyNumberFormat="1" applyFont="1" applyFill="1" applyBorder="1"/>
    <xf numFmtId="0" fontId="0" fillId="5" borderId="11" xfId="0" applyFill="1" applyBorder="1"/>
    <xf numFmtId="0" fontId="3" fillId="5" borderId="0" xfId="0" applyFont="1" applyFill="1" applyBorder="1" applyAlignment="1">
      <alignment horizontal="center"/>
    </xf>
    <xf numFmtId="0" fontId="17" fillId="4" borderId="1" xfId="0" applyFont="1" applyFill="1" applyBorder="1"/>
    <xf numFmtId="0" fontId="16" fillId="0" borderId="3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center" vertical="top" wrapText="1"/>
    </xf>
    <xf numFmtId="0" fontId="16" fillId="0" borderId="12" xfId="0" applyFont="1" applyBorder="1"/>
    <xf numFmtId="0" fontId="19" fillId="5" borderId="13" xfId="0" applyFont="1" applyFill="1" applyBorder="1" applyAlignment="1">
      <alignment horizontal="center"/>
    </xf>
    <xf numFmtId="1" fontId="0" fillId="4" borderId="0" xfId="0" applyNumberFormat="1" applyFill="1" applyBorder="1"/>
    <xf numFmtId="165" fontId="0" fillId="0" borderId="0" xfId="0" applyNumberFormat="1"/>
    <xf numFmtId="44" fontId="0" fillId="4" borderId="1" xfId="2" applyNumberFormat="1" applyFont="1" applyFill="1" applyBorder="1"/>
    <xf numFmtId="0" fontId="5" fillId="0" borderId="0" xfId="0" applyFont="1"/>
    <xf numFmtId="164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0" xfId="0" applyFill="1"/>
    <xf numFmtId="1" fontId="0" fillId="0" borderId="0" xfId="1" applyNumberFormat="1" applyFont="1"/>
    <xf numFmtId="0" fontId="11" fillId="0" borderId="0" xfId="0" applyFont="1"/>
    <xf numFmtId="0" fontId="22" fillId="5" borderId="0" xfId="0" applyFont="1" applyFill="1" applyBorder="1" applyAlignment="1">
      <alignment horizontal="left"/>
    </xf>
    <xf numFmtId="0" fontId="16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86010362694301"/>
          <c:y val="4.9488054607508533E-2"/>
          <c:w val="0.75854922279792747"/>
          <c:h val="0.750853242320819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'No drug'!$A$1</c:f>
              <c:strCache>
                <c:ptCount val="1"/>
                <c:pt idx="0">
                  <c:v>No drug therapy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PSA!$Y$6:$Y$63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PSA!$Z$6:$Z$63</c:f>
              <c:numCache>
                <c:formatCode>General</c:formatCode>
                <c:ptCount val="58"/>
              </c:numCache>
            </c:numRef>
          </c:yVal>
          <c:smooth val="1"/>
        </c:ser>
        <c:ser>
          <c:idx val="1"/>
          <c:order val="1"/>
          <c:tx>
            <c:strRef>
              <c:f>Drug!$A$1</c:f>
              <c:strCache>
                <c:ptCount val="1"/>
                <c:pt idx="0">
                  <c:v>Drug therapy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PSA!$Y$6:$Y$63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PSA!$AA$6:$AA$63</c:f>
              <c:numCache>
                <c:formatCode>General</c:formatCode>
                <c:ptCount val="5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67136"/>
        <c:axId val="122458880"/>
      </c:scatterChart>
      <c:valAx>
        <c:axId val="118667136"/>
        <c:scaling>
          <c:orientation val="minMax"/>
          <c:max val="50000"/>
        </c:scaling>
        <c:delete val="0"/>
        <c:axPos val="b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3740933162170928"/>
              <c:y val="0.88737201365187712"/>
            </c:manualLayout>
          </c:layout>
          <c:overlay val="0"/>
          <c:spPr>
            <a:noFill/>
            <a:ln w="25400">
              <a:noFill/>
            </a:ln>
          </c:spPr>
        </c:title>
        <c:numFmt formatCode="_-\£* #,##0_-;\-\£* #,##0_-;_-\£* &quot;-&quot;??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8880"/>
        <c:crosses val="autoZero"/>
        <c:crossBetween val="midCat"/>
        <c:majorUnit val="10000"/>
        <c:minorUnit val="1000"/>
      </c:valAx>
      <c:valAx>
        <c:axId val="122458880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7616536250725668E-2"/>
              <c:y val="0.139931740614334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 ;\-#,##0.00\ 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6671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131879543094501"/>
          <c:y val="0.13822525597269625"/>
          <c:w val="0.1796469366562824"/>
          <c:h val="9.04436860068259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workbookViewId="0"/>
  </sheetViews>
  <pageMargins left="0.75" right="0.75" top="1" bottom="1" header="0.5" footer="0.5"/>
  <headerFooter alignWithMargins="0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123825</xdr:rowOff>
    </xdr:from>
    <xdr:to>
      <xdr:col>11</xdr:col>
      <xdr:colOff>504825</xdr:colOff>
      <xdr:row>23</xdr:row>
      <xdr:rowOff>9525</xdr:rowOff>
    </xdr:to>
    <xdr:sp macro="" textlink="">
      <xdr:nvSpPr>
        <xdr:cNvPr id="1168" name="Rectangle 38"/>
        <xdr:cNvSpPr>
          <a:spLocks noChangeArrowheads="1"/>
        </xdr:cNvSpPr>
      </xdr:nvSpPr>
      <xdr:spPr bwMode="auto">
        <a:xfrm>
          <a:off x="123825" y="676275"/>
          <a:ext cx="6686550" cy="31242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76200</xdr:colOff>
      <xdr:row>6</xdr:row>
      <xdr:rowOff>0</xdr:rowOff>
    </xdr:from>
    <xdr:to>
      <xdr:col>3</xdr:col>
      <xdr:colOff>457200</xdr:colOff>
      <xdr:row>9</xdr:row>
      <xdr:rowOff>104775</xdr:rowOff>
    </xdr:to>
    <xdr:sp macro="" textlink="">
      <xdr:nvSpPr>
        <xdr:cNvPr id="1025" name="Oval 1"/>
        <xdr:cNvSpPr>
          <a:spLocks noChangeArrowheads="1"/>
        </xdr:cNvSpPr>
      </xdr:nvSpPr>
      <xdr:spPr bwMode="auto">
        <a:xfrm>
          <a:off x="285750" y="1038225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Asymptomatic</a:t>
          </a:r>
        </a:p>
      </xdr:txBody>
    </xdr:sp>
    <xdr:clientData/>
  </xdr:twoCellAnchor>
  <xdr:twoCellAnchor>
    <xdr:from>
      <xdr:col>3</xdr:col>
      <xdr:colOff>438150</xdr:colOff>
      <xdr:row>7</xdr:row>
      <xdr:rowOff>95250</xdr:rowOff>
    </xdr:from>
    <xdr:to>
      <xdr:col>5</xdr:col>
      <xdr:colOff>323850</xdr:colOff>
      <xdr:row>7</xdr:row>
      <xdr:rowOff>95250</xdr:rowOff>
    </xdr:to>
    <xdr:sp macro="" textlink="">
      <xdr:nvSpPr>
        <xdr:cNvPr id="1170" name="Line 6"/>
        <xdr:cNvSpPr>
          <a:spLocks noChangeShapeType="1"/>
        </xdr:cNvSpPr>
      </xdr:nvSpPr>
      <xdr:spPr bwMode="auto">
        <a:xfrm>
          <a:off x="1866900" y="1295400"/>
          <a:ext cx="1104900" cy="0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476250</xdr:colOff>
      <xdr:row>8</xdr:row>
      <xdr:rowOff>0</xdr:rowOff>
    </xdr:from>
    <xdr:to>
      <xdr:col>9</xdr:col>
      <xdr:colOff>352425</xdr:colOff>
      <xdr:row>11</xdr:row>
      <xdr:rowOff>142875</xdr:rowOff>
    </xdr:to>
    <xdr:sp macro="" textlink="">
      <xdr:nvSpPr>
        <xdr:cNvPr id="1171" name="Line 7"/>
        <xdr:cNvSpPr>
          <a:spLocks noChangeShapeType="1"/>
        </xdr:cNvSpPr>
      </xdr:nvSpPr>
      <xdr:spPr bwMode="auto">
        <a:xfrm>
          <a:off x="4343400" y="1362075"/>
          <a:ext cx="1095375" cy="628650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314325</xdr:colOff>
      <xdr:row>9</xdr:row>
      <xdr:rowOff>104775</xdr:rowOff>
    </xdr:from>
    <xdr:to>
      <xdr:col>6</xdr:col>
      <xdr:colOff>352425</xdr:colOff>
      <xdr:row>18</xdr:row>
      <xdr:rowOff>9525</xdr:rowOff>
    </xdr:to>
    <xdr:sp macro="" textlink="">
      <xdr:nvSpPr>
        <xdr:cNvPr id="1172" name="Line 8"/>
        <xdr:cNvSpPr>
          <a:spLocks noChangeShapeType="1"/>
        </xdr:cNvSpPr>
      </xdr:nvSpPr>
      <xdr:spPr bwMode="auto">
        <a:xfrm>
          <a:off x="3571875" y="1628775"/>
          <a:ext cx="38100" cy="1362075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485775</xdr:colOff>
      <xdr:row>9</xdr:row>
      <xdr:rowOff>85725</xdr:rowOff>
    </xdr:from>
    <xdr:to>
      <xdr:col>5</xdr:col>
      <xdr:colOff>257175</xdr:colOff>
      <xdr:row>19</xdr:row>
      <xdr:rowOff>0</xdr:rowOff>
    </xdr:to>
    <xdr:sp macro="" textlink="">
      <xdr:nvSpPr>
        <xdr:cNvPr id="1173" name="Line 9"/>
        <xdr:cNvSpPr>
          <a:spLocks noChangeShapeType="1"/>
        </xdr:cNvSpPr>
      </xdr:nvSpPr>
      <xdr:spPr bwMode="auto">
        <a:xfrm>
          <a:off x="1304925" y="1609725"/>
          <a:ext cx="1600200" cy="1533525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4</xdr:row>
      <xdr:rowOff>152400</xdr:rowOff>
    </xdr:from>
    <xdr:to>
      <xdr:col>1</xdr:col>
      <xdr:colOff>590550</xdr:colOff>
      <xdr:row>6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219075" y="86677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cAsymp</a:t>
          </a:r>
        </a:p>
      </xdr:txBody>
    </xdr:sp>
    <xdr:clientData/>
  </xdr:twoCellAnchor>
  <xdr:twoCellAnchor>
    <xdr:from>
      <xdr:col>5</xdr:col>
      <xdr:colOff>304800</xdr:colOff>
      <xdr:row>4</xdr:row>
      <xdr:rowOff>133350</xdr:rowOff>
    </xdr:from>
    <xdr:to>
      <xdr:col>7</xdr:col>
      <xdr:colOff>285750</xdr:colOff>
      <xdr:row>6</xdr:row>
      <xdr:rowOff>47625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2952750" y="847725"/>
          <a:ext cx="12001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cProg+cDrug*strat</a:t>
          </a:r>
        </a:p>
      </xdr:txBody>
    </xdr:sp>
    <xdr:clientData/>
  </xdr:twoCellAnchor>
  <xdr:twoCellAnchor>
    <xdr:from>
      <xdr:col>8</xdr:col>
      <xdr:colOff>600075</xdr:colOff>
      <xdr:row>9</xdr:row>
      <xdr:rowOff>114300</xdr:rowOff>
    </xdr:from>
    <xdr:to>
      <xdr:col>9</xdr:col>
      <xdr:colOff>571500</xdr:colOff>
      <xdr:row>11</xdr:row>
      <xdr:rowOff>28575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5076825" y="1638300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FF"/>
              </a:solidFill>
              <a:latin typeface="Arial"/>
              <a:cs typeface="Arial"/>
            </a:rPr>
            <a:t>cDeath</a:t>
          </a:r>
        </a:p>
      </xdr:txBody>
    </xdr:sp>
    <xdr:clientData/>
  </xdr:twoCellAnchor>
  <xdr:twoCellAnchor>
    <xdr:from>
      <xdr:col>1</xdr:col>
      <xdr:colOff>0</xdr:colOff>
      <xdr:row>9</xdr:row>
      <xdr:rowOff>28575</xdr:rowOff>
    </xdr:from>
    <xdr:to>
      <xdr:col>1</xdr:col>
      <xdr:colOff>581025</xdr:colOff>
      <xdr:row>10</xdr:row>
      <xdr:rowOff>104775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209550" y="155257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8000"/>
              </a:solidFill>
              <a:latin typeface="Arial"/>
              <a:cs typeface="Arial"/>
            </a:rPr>
            <a:t>uAsymp</a:t>
          </a:r>
        </a:p>
      </xdr:txBody>
    </xdr:sp>
    <xdr:clientData/>
  </xdr:twoCellAnchor>
  <xdr:twoCellAnchor>
    <xdr:from>
      <xdr:col>5</xdr:col>
      <xdr:colOff>276225</xdr:colOff>
      <xdr:row>9</xdr:row>
      <xdr:rowOff>47625</xdr:rowOff>
    </xdr:from>
    <xdr:to>
      <xdr:col>6</xdr:col>
      <xdr:colOff>247650</xdr:colOff>
      <xdr:row>10</xdr:row>
      <xdr:rowOff>123825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2924175" y="157162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8000"/>
              </a:solidFill>
              <a:latin typeface="Arial"/>
              <a:cs typeface="Arial"/>
            </a:rPr>
            <a:t>uProg</a:t>
          </a:r>
        </a:p>
      </xdr:txBody>
    </xdr:sp>
    <xdr:clientData/>
  </xdr:twoCellAnchor>
  <xdr:twoCellAnchor>
    <xdr:from>
      <xdr:col>3</xdr:col>
      <xdr:colOff>438150</xdr:colOff>
      <xdr:row>6</xdr:row>
      <xdr:rowOff>47625</xdr:rowOff>
    </xdr:from>
    <xdr:to>
      <xdr:col>5</xdr:col>
      <xdr:colOff>285750</xdr:colOff>
      <xdr:row>7</xdr:row>
      <xdr:rowOff>123825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1866900" y="1085850"/>
          <a:ext cx="10668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tpProg[cycle+1]</a:t>
          </a:r>
        </a:p>
      </xdr:txBody>
    </xdr:sp>
    <xdr:clientData/>
  </xdr:twoCellAnchor>
  <xdr:twoCellAnchor>
    <xdr:from>
      <xdr:col>8</xdr:col>
      <xdr:colOff>295275</xdr:colOff>
      <xdr:row>8</xdr:row>
      <xdr:rowOff>85725</xdr:rowOff>
    </xdr:from>
    <xdr:to>
      <xdr:col>9</xdr:col>
      <xdr:colOff>266700</xdr:colOff>
      <xdr:row>10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772025" y="1447800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tpDcm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4</xdr:col>
      <xdr:colOff>352425</xdr:colOff>
      <xdr:row>16</xdr:row>
      <xdr:rowOff>85725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1428750" y="25050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natDeath[age]</a:t>
          </a:r>
        </a:p>
      </xdr:txBody>
    </xdr:sp>
    <xdr:clientData/>
  </xdr:twoCellAnchor>
  <xdr:twoCellAnchor>
    <xdr:from>
      <xdr:col>3</xdr:col>
      <xdr:colOff>9525</xdr:colOff>
      <xdr:row>4</xdr:row>
      <xdr:rowOff>95250</xdr:rowOff>
    </xdr:from>
    <xdr:to>
      <xdr:col>3</xdr:col>
      <xdr:colOff>352425</xdr:colOff>
      <xdr:row>6</xdr:row>
      <xdr:rowOff>57150</xdr:rowOff>
    </xdr:to>
    <xdr:grpSp>
      <xdr:nvGrpSpPr>
        <xdr:cNvPr id="1182" name="Group 35"/>
        <xdr:cNvGrpSpPr>
          <a:grpSpLocks/>
        </xdr:cNvGrpSpPr>
      </xdr:nvGrpSpPr>
      <xdr:grpSpPr bwMode="auto">
        <a:xfrm>
          <a:off x="1438275" y="809625"/>
          <a:ext cx="342900" cy="285750"/>
          <a:chOff x="151" y="85"/>
          <a:chExt cx="36" cy="30"/>
        </a:xfrm>
      </xdr:grpSpPr>
      <xdr:sp macro="" textlink="">
        <xdr:nvSpPr>
          <xdr:cNvPr id="1195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6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</xdr:col>
      <xdr:colOff>361950</xdr:colOff>
      <xdr:row>15</xdr:row>
      <xdr:rowOff>9525</xdr:rowOff>
    </xdr:from>
    <xdr:to>
      <xdr:col>8</xdr:col>
      <xdr:colOff>104775</xdr:colOff>
      <xdr:row>16</xdr:row>
      <xdr:rowOff>85725</xdr:rowOff>
    </xdr:to>
    <xdr:sp macro="" textlink="">
      <xdr:nvSpPr>
        <xdr:cNvPr id="1052" name="Text Box 28"/>
        <xdr:cNvSpPr txBox="1">
          <a:spLocks noChangeArrowheads="1"/>
        </xdr:cNvSpPr>
      </xdr:nvSpPr>
      <xdr:spPr bwMode="auto">
        <a:xfrm>
          <a:off x="3619500" y="25050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natDeath[age]</a:t>
          </a:r>
        </a:p>
      </xdr:txBody>
    </xdr:sp>
    <xdr:clientData/>
  </xdr:twoCellAnchor>
  <xdr:twoCellAnchor>
    <xdr:from>
      <xdr:col>5</xdr:col>
      <xdr:colOff>314325</xdr:colOff>
      <xdr:row>5</xdr:row>
      <xdr:rowOff>152400</xdr:rowOff>
    </xdr:from>
    <xdr:to>
      <xdr:col>8</xdr:col>
      <xdr:colOff>85725</xdr:colOff>
      <xdr:row>9</xdr:row>
      <xdr:rowOff>95250</xdr:rowOff>
    </xdr:to>
    <xdr:sp macro="" textlink="">
      <xdr:nvSpPr>
        <xdr:cNvPr id="1054" name="Oval 30"/>
        <xdr:cNvSpPr>
          <a:spLocks noChangeArrowheads="1"/>
        </xdr:cNvSpPr>
      </xdr:nvSpPr>
      <xdr:spPr bwMode="auto">
        <a:xfrm>
          <a:off x="2962275" y="1028700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Progressive disease</a:t>
          </a:r>
        </a:p>
      </xdr:txBody>
    </xdr:sp>
    <xdr:clientData/>
  </xdr:twoCellAnchor>
  <xdr:twoCellAnchor>
    <xdr:from>
      <xdr:col>8</xdr:col>
      <xdr:colOff>485775</xdr:colOff>
      <xdr:row>11</xdr:row>
      <xdr:rowOff>142875</xdr:rowOff>
    </xdr:from>
    <xdr:to>
      <xdr:col>11</xdr:col>
      <xdr:colOff>257175</xdr:colOff>
      <xdr:row>15</xdr:row>
      <xdr:rowOff>85725</xdr:rowOff>
    </xdr:to>
    <xdr:sp macro="" textlink="">
      <xdr:nvSpPr>
        <xdr:cNvPr id="1055" name="Oval 31"/>
        <xdr:cNvSpPr>
          <a:spLocks noChangeArrowheads="1"/>
        </xdr:cNvSpPr>
      </xdr:nvSpPr>
      <xdr:spPr bwMode="auto">
        <a:xfrm>
          <a:off x="4962525" y="1990725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Dead from disease</a:t>
          </a:r>
        </a:p>
      </xdr:txBody>
    </xdr:sp>
    <xdr:clientData/>
  </xdr:twoCellAnchor>
  <xdr:twoCellAnchor>
    <xdr:from>
      <xdr:col>5</xdr:col>
      <xdr:colOff>190500</xdr:colOff>
      <xdr:row>18</xdr:row>
      <xdr:rowOff>47625</xdr:rowOff>
    </xdr:from>
    <xdr:to>
      <xdr:col>7</xdr:col>
      <xdr:colOff>571500</xdr:colOff>
      <xdr:row>21</xdr:row>
      <xdr:rowOff>152400</xdr:rowOff>
    </xdr:to>
    <xdr:sp macro="" textlink="">
      <xdr:nvSpPr>
        <xdr:cNvPr id="1056" name="Oval 32"/>
        <xdr:cNvSpPr>
          <a:spLocks noChangeArrowheads="1"/>
        </xdr:cNvSpPr>
      </xdr:nvSpPr>
      <xdr:spPr bwMode="auto">
        <a:xfrm>
          <a:off x="2838450" y="3028950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Dead from other causes</a:t>
          </a:r>
        </a:p>
      </xdr:txBody>
    </xdr:sp>
    <xdr:clientData/>
  </xdr:twoCellAnchor>
  <xdr:twoCellAnchor>
    <xdr:from>
      <xdr:col>7</xdr:col>
      <xdr:colOff>285750</xdr:colOff>
      <xdr:row>4</xdr:row>
      <xdr:rowOff>85725</xdr:rowOff>
    </xdr:from>
    <xdr:to>
      <xdr:col>8</xdr:col>
      <xdr:colOff>19050</xdr:colOff>
      <xdr:row>6</xdr:row>
      <xdr:rowOff>47625</xdr:rowOff>
    </xdr:to>
    <xdr:sp macro="" textlink="">
      <xdr:nvSpPr>
        <xdr:cNvPr id="1187" name="Oval 36"/>
        <xdr:cNvSpPr>
          <a:spLocks noChangeArrowheads="1"/>
        </xdr:cNvSpPr>
      </xdr:nvSpPr>
      <xdr:spPr bwMode="auto">
        <a:xfrm>
          <a:off x="4152900" y="800100"/>
          <a:ext cx="342900" cy="285750"/>
        </a:xfrm>
        <a:prstGeom prst="ellipse">
          <a:avLst/>
        </a:prstGeom>
        <a:solidFill>
          <a:srgbClr val="FFFFFF"/>
        </a:solidFill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8</xdr:col>
      <xdr:colOff>9525</xdr:colOff>
      <xdr:row>5</xdr:row>
      <xdr:rowOff>28575</xdr:rowOff>
    </xdr:from>
    <xdr:to>
      <xdr:col>8</xdr:col>
      <xdr:colOff>19050</xdr:colOff>
      <xdr:row>5</xdr:row>
      <xdr:rowOff>123825</xdr:rowOff>
    </xdr:to>
    <xdr:sp macro="" textlink="">
      <xdr:nvSpPr>
        <xdr:cNvPr id="1188" name="Line 37"/>
        <xdr:cNvSpPr>
          <a:spLocks noChangeShapeType="1"/>
        </xdr:cNvSpPr>
      </xdr:nvSpPr>
      <xdr:spPr bwMode="auto">
        <a:xfrm>
          <a:off x="4486275" y="904875"/>
          <a:ext cx="9525" cy="95250"/>
        </a:xfrm>
        <a:prstGeom prst="line">
          <a:avLst/>
        </a:prstGeom>
        <a:noFill/>
        <a:ln w="38100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542925</xdr:colOff>
      <xdr:row>16</xdr:row>
      <xdr:rowOff>114300</xdr:rowOff>
    </xdr:from>
    <xdr:to>
      <xdr:col>7</xdr:col>
      <xdr:colOff>276225</xdr:colOff>
      <xdr:row>18</xdr:row>
      <xdr:rowOff>76200</xdr:rowOff>
    </xdr:to>
    <xdr:grpSp>
      <xdr:nvGrpSpPr>
        <xdr:cNvPr id="1189" name="Group 35"/>
        <xdr:cNvGrpSpPr>
          <a:grpSpLocks/>
        </xdr:cNvGrpSpPr>
      </xdr:nvGrpSpPr>
      <xdr:grpSpPr bwMode="auto">
        <a:xfrm>
          <a:off x="3800475" y="2771775"/>
          <a:ext cx="342900" cy="285750"/>
          <a:chOff x="151" y="85"/>
          <a:chExt cx="36" cy="30"/>
        </a:xfrm>
      </xdr:grpSpPr>
      <xdr:sp macro="" textlink="">
        <xdr:nvSpPr>
          <xdr:cNvPr id="1193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4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142875</xdr:colOff>
      <xdr:row>10</xdr:row>
      <xdr:rowOff>19050</xdr:rowOff>
    </xdr:from>
    <xdr:to>
      <xdr:col>10</xdr:col>
      <xdr:colOff>485775</xdr:colOff>
      <xdr:row>11</xdr:row>
      <xdr:rowOff>142875</xdr:rowOff>
    </xdr:to>
    <xdr:grpSp>
      <xdr:nvGrpSpPr>
        <xdr:cNvPr id="1190" name="Group 35"/>
        <xdr:cNvGrpSpPr>
          <a:grpSpLocks/>
        </xdr:cNvGrpSpPr>
      </xdr:nvGrpSpPr>
      <xdr:grpSpPr bwMode="auto">
        <a:xfrm>
          <a:off x="5838825" y="1704975"/>
          <a:ext cx="342900" cy="285750"/>
          <a:chOff x="151" y="85"/>
          <a:chExt cx="36" cy="30"/>
        </a:xfrm>
      </xdr:grpSpPr>
      <xdr:sp macro="" textlink="">
        <xdr:nvSpPr>
          <xdr:cNvPr id="1191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2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562014</xdr:colOff>
      <xdr:row>2</xdr:row>
      <xdr:rowOff>29101</xdr:rowOff>
    </xdr:from>
    <xdr:ext cx="2501647" cy="223203"/>
    <xdr:sp macro="[0]!PSA" textlink="">
      <xdr:nvSpPr>
        <xdr:cNvPr id="3074" name="Rectangle 2"/>
        <xdr:cNvSpPr>
          <a:spLocks noChangeArrowheads="1"/>
        </xdr:cNvSpPr>
      </xdr:nvSpPr>
      <xdr:spPr bwMode="auto">
        <a:xfrm>
          <a:off x="4867314" y="419626"/>
          <a:ext cx="2501647" cy="223203"/>
        </a:xfrm>
        <a:prstGeom prst="rect">
          <a:avLst/>
        </a:prstGeom>
        <a:solidFill>
          <a:srgbClr val="C0C0C0"/>
        </a:solidFill>
        <a:ln w="41275" cmpd="dbl" algn="ctr">
          <a:solidFill>
            <a:srgbClr val="003300"/>
          </a:solidFill>
          <a:miter lim="800000"/>
          <a:headEnd/>
          <a:tailEnd/>
        </a:ln>
        <a:effectLst/>
      </xdr:spPr>
      <xdr:txBody>
        <a:bodyPr wrap="none" lIns="27432" tIns="22860" rIns="27432" bIns="22860" anchor="ctr" upright="1">
          <a:spAutoFit/>
        </a:bodyPr>
        <a:lstStyle/>
        <a:p>
          <a:pPr algn="ctr" rtl="0">
            <a:defRPr sz="1000"/>
          </a:pPr>
          <a:r>
            <a:rPr lang="en-GB" sz="1200" b="0" i="0" strike="noStrike">
              <a:solidFill>
                <a:srgbClr val="000000"/>
              </a:solidFill>
              <a:latin typeface="Arial"/>
              <a:cs typeface="Arial"/>
            </a:rPr>
            <a:t>Run probabilistic sensitivity analysis</a:t>
          </a:r>
        </a:p>
      </xdr:txBody>
    </xdr:sp>
    <xdr:clientData/>
  </xdr:oneCellAnchor>
  <xdr:twoCellAnchor>
    <xdr:from>
      <xdr:col>14</xdr:col>
      <xdr:colOff>76200</xdr:colOff>
      <xdr:row>0</xdr:row>
      <xdr:rowOff>200025</xdr:rowOff>
    </xdr:from>
    <xdr:to>
      <xdr:col>16</xdr:col>
      <xdr:colOff>38100</xdr:colOff>
      <xdr:row>5</xdr:row>
      <xdr:rowOff>123825</xdr:rowOff>
    </xdr:to>
    <xdr:sp macro="[0]!CEAC" textlink="">
      <xdr:nvSpPr>
        <xdr:cNvPr id="3076" name="AutoShape 4"/>
        <xdr:cNvSpPr>
          <a:spLocks noChangeArrowheads="1"/>
        </xdr:cNvSpPr>
      </xdr:nvSpPr>
      <xdr:spPr bwMode="auto">
        <a:xfrm>
          <a:off x="8486775" y="200025"/>
          <a:ext cx="1181100" cy="857250"/>
        </a:xfrm>
        <a:prstGeom prst="star5">
          <a:avLst/>
        </a:prstGeom>
        <a:solidFill>
          <a:srgbClr val="CCFFCC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Run CEAC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0.4345</cdr:x>
      <cdr:y>0.5015</cdr:y>
    </cdr:from>
    <cdr:to>
      <cdr:x>0.44525</cdr:x>
      <cdr:y>0.536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93761" y="2799197"/>
          <a:ext cx="98810" cy="1925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aching/Modelling%20course/Oxford%2005/Exercise%20disc/Exercise%203%20-%20ceaf%20and%20evpi%20sep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Figure"/>
      <sheetName val="Analysis"/>
      <sheetName val="Parameters"/>
      <sheetName val="Life tables"/>
      <sheetName val="Hazard function"/>
      <sheetName val="Standard"/>
      <sheetName val="NP1"/>
      <sheetName val="NP2"/>
      <sheetName val="Simulation"/>
      <sheetName val="inc CE plane"/>
      <sheetName val="CEA curve"/>
      <sheetName val="CEA frontier"/>
      <sheetName val="EVPI"/>
      <sheetName val="CEA frontier vs EVPI"/>
      <sheetName val="Macros"/>
    </sheetNames>
    <sheetDataSet>
      <sheetData sheetId="0"/>
      <sheetData sheetId="1"/>
      <sheetData sheetId="2"/>
      <sheetData sheetId="3"/>
      <sheetData sheetId="4">
        <row r="32">
          <cell r="F32">
            <v>-0.10517023452774049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3"/>
  <sheetViews>
    <sheetView workbookViewId="0"/>
  </sheetViews>
  <sheetFormatPr defaultRowHeight="12.75" x14ac:dyDescent="0.2"/>
  <cols>
    <col min="1" max="1" width="3.140625" customWidth="1"/>
    <col min="16" max="16" width="11.28515625" bestFit="1" customWidth="1"/>
  </cols>
  <sheetData>
    <row r="1" spans="1:1" ht="18" x14ac:dyDescent="0.25">
      <c r="A1" s="5" t="s">
        <v>0</v>
      </c>
    </row>
    <row r="2" spans="1:1" x14ac:dyDescent="0.2">
      <c r="A2" s="4" t="s">
        <v>1</v>
      </c>
    </row>
    <row r="24" spans="1:1" ht="7.5" customHeight="1" x14ac:dyDescent="0.2"/>
    <row r="25" spans="1:1" x14ac:dyDescent="0.2">
      <c r="A25" t="s">
        <v>9</v>
      </c>
    </row>
    <row r="26" spans="1:1" x14ac:dyDescent="0.2">
      <c r="A26" t="s">
        <v>8</v>
      </c>
    </row>
    <row r="27" spans="1:1" x14ac:dyDescent="0.2">
      <c r="A27" t="s">
        <v>7</v>
      </c>
    </row>
    <row r="28" spans="1:1" x14ac:dyDescent="0.2">
      <c r="A28" t="s">
        <v>6</v>
      </c>
    </row>
    <row r="29" spans="1:1" x14ac:dyDescent="0.2">
      <c r="A29" s="50" t="s">
        <v>91</v>
      </c>
    </row>
    <row r="30" spans="1:1" x14ac:dyDescent="0.2">
      <c r="A30" s="50"/>
    </row>
    <row r="31" spans="1:1" x14ac:dyDescent="0.2">
      <c r="A31" t="s">
        <v>27</v>
      </c>
    </row>
    <row r="33" spans="2:2" x14ac:dyDescent="0.2">
      <c r="B33" s="1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9"/>
  <sheetViews>
    <sheetView tabSelected="1" workbookViewId="0">
      <selection activeCell="J23" sqref="J23"/>
    </sheetView>
  </sheetViews>
  <sheetFormatPr defaultRowHeight="12.75" x14ac:dyDescent="0.2"/>
  <cols>
    <col min="1" max="1" width="3.85546875" customWidth="1"/>
    <col min="2" max="2" width="2.7109375" customWidth="1"/>
    <col min="3" max="3" width="14.28515625" bestFit="1" customWidth="1"/>
    <col min="4" max="4" width="13.28515625" bestFit="1" customWidth="1"/>
    <col min="5" max="5" width="11.140625" bestFit="1" customWidth="1"/>
    <col min="7" max="7" width="3" customWidth="1"/>
    <col min="9" max="9" width="4.85546875" customWidth="1"/>
    <col min="10" max="10" width="15.85546875" customWidth="1"/>
    <col min="11" max="11" width="13.28515625" bestFit="1" customWidth="1"/>
    <col min="14" max="14" width="4.85546875" customWidth="1"/>
  </cols>
  <sheetData>
    <row r="1" spans="1:14" ht="18" x14ac:dyDescent="0.25">
      <c r="A1" s="2" t="s">
        <v>74</v>
      </c>
    </row>
    <row r="4" spans="1:14" ht="13.5" thickBot="1" x14ac:dyDescent="0.25"/>
    <row r="5" spans="1:14" ht="16.5" thickTop="1" x14ac:dyDescent="0.25">
      <c r="B5" s="31" t="s">
        <v>75</v>
      </c>
      <c r="C5" s="32"/>
      <c r="D5" s="32"/>
      <c r="E5" s="32"/>
      <c r="F5" s="32"/>
      <c r="G5" s="33"/>
      <c r="I5" s="31" t="s">
        <v>88</v>
      </c>
      <c r="J5" s="32"/>
      <c r="K5" s="32"/>
      <c r="L5" s="32"/>
      <c r="M5" s="32"/>
      <c r="N5" s="33"/>
    </row>
    <row r="6" spans="1:14" x14ac:dyDescent="0.2">
      <c r="B6" s="34"/>
      <c r="C6" s="26"/>
      <c r="D6" s="26"/>
      <c r="E6" s="26"/>
      <c r="F6" s="26"/>
      <c r="G6" s="35"/>
      <c r="I6" s="34"/>
      <c r="J6" s="26"/>
      <c r="K6" s="26"/>
      <c r="L6" s="26"/>
      <c r="M6" s="26"/>
      <c r="N6" s="35"/>
    </row>
    <row r="7" spans="1:14" x14ac:dyDescent="0.2">
      <c r="B7" s="34"/>
      <c r="C7" s="57" t="s">
        <v>105</v>
      </c>
      <c r="D7" s="57"/>
      <c r="E7" s="57"/>
      <c r="F7" s="57"/>
      <c r="G7" s="35"/>
      <c r="I7" s="34"/>
      <c r="J7" s="57" t="s">
        <v>105</v>
      </c>
      <c r="K7" s="57"/>
      <c r="L7" s="57"/>
      <c r="M7" s="57"/>
      <c r="N7" s="35"/>
    </row>
    <row r="8" spans="1:14" x14ac:dyDescent="0.2">
      <c r="B8" s="34"/>
      <c r="C8" s="26"/>
      <c r="D8" s="41" t="s">
        <v>76</v>
      </c>
      <c r="E8" s="41" t="s">
        <v>60</v>
      </c>
      <c r="F8" s="41" t="s">
        <v>79</v>
      </c>
      <c r="G8" s="35"/>
      <c r="I8" s="34"/>
      <c r="J8" s="26"/>
      <c r="K8" s="41" t="s">
        <v>76</v>
      </c>
      <c r="L8" s="41" t="s">
        <v>60</v>
      </c>
      <c r="M8" s="41" t="s">
        <v>79</v>
      </c>
      <c r="N8" s="35"/>
    </row>
    <row r="9" spans="1:14" x14ac:dyDescent="0.2">
      <c r="B9" s="34"/>
      <c r="C9" s="26" t="s">
        <v>66</v>
      </c>
      <c r="D9" s="24">
        <f>'No drug'!S55</f>
        <v>11831.502756269565</v>
      </c>
      <c r="E9" s="21">
        <f>'No drug'!N55</f>
        <v>9.2192204866681529</v>
      </c>
      <c r="F9" s="21">
        <f>'No drug'!M55</f>
        <v>10.237721047153583</v>
      </c>
      <c r="G9" s="36"/>
      <c r="H9" s="12"/>
      <c r="I9" s="34"/>
      <c r="J9" s="26" t="s">
        <v>66</v>
      </c>
      <c r="K9" s="24"/>
      <c r="L9" s="20"/>
      <c r="M9" s="20"/>
      <c r="N9" s="36"/>
    </row>
    <row r="10" spans="1:14" x14ac:dyDescent="0.2">
      <c r="B10" s="34"/>
      <c r="C10" s="26" t="s">
        <v>73</v>
      </c>
      <c r="D10" s="24">
        <f>Drug!S55</f>
        <v>20114.90256421817</v>
      </c>
      <c r="E10" s="21">
        <f>Drug!N55</f>
        <v>10.479464893454905</v>
      </c>
      <c r="F10" s="21">
        <f>Drug!M55</f>
        <v>11.413171398685</v>
      </c>
      <c r="G10" s="36"/>
      <c r="H10" s="12"/>
      <c r="I10" s="34"/>
      <c r="J10" s="26" t="s">
        <v>73</v>
      </c>
      <c r="K10" s="24"/>
      <c r="L10" s="20"/>
      <c r="M10" s="20"/>
      <c r="N10" s="36"/>
    </row>
    <row r="11" spans="1:14" x14ac:dyDescent="0.2">
      <c r="B11" s="34"/>
      <c r="C11" s="26" t="s">
        <v>82</v>
      </c>
      <c r="D11" s="24">
        <f>D10-D9</f>
        <v>8283.3998079486046</v>
      </c>
      <c r="E11" s="21">
        <f>E10-E9</f>
        <v>1.260244406786752</v>
      </c>
      <c r="F11" s="21">
        <f>F10-F9</f>
        <v>1.175450351531417</v>
      </c>
      <c r="G11" s="36"/>
      <c r="I11" s="34"/>
      <c r="J11" s="26" t="s">
        <v>82</v>
      </c>
      <c r="K11" s="24"/>
      <c r="L11" s="20"/>
      <c r="M11" s="20"/>
      <c r="N11" s="36"/>
    </row>
    <row r="12" spans="1:14" x14ac:dyDescent="0.2">
      <c r="B12" s="34"/>
      <c r="C12" s="26"/>
      <c r="D12" s="28"/>
      <c r="E12" s="28"/>
      <c r="F12" s="29"/>
      <c r="G12" s="36"/>
      <c r="I12" s="34"/>
      <c r="J12" s="26"/>
      <c r="K12" s="28"/>
      <c r="L12" s="28"/>
      <c r="M12" s="29"/>
      <c r="N12" s="36"/>
    </row>
    <row r="13" spans="1:14" x14ac:dyDescent="0.2">
      <c r="B13" s="34"/>
      <c r="C13" s="26"/>
      <c r="D13" s="26" t="s">
        <v>77</v>
      </c>
      <c r="E13" s="27" t="s">
        <v>78</v>
      </c>
      <c r="F13" s="26" t="s">
        <v>81</v>
      </c>
      <c r="G13" s="36"/>
      <c r="I13" s="34"/>
      <c r="J13" s="26"/>
      <c r="K13" s="26" t="s">
        <v>77</v>
      </c>
      <c r="L13" s="27" t="s">
        <v>78</v>
      </c>
      <c r="M13" s="26" t="s">
        <v>81</v>
      </c>
      <c r="N13" s="36"/>
    </row>
    <row r="14" spans="1:14" x14ac:dyDescent="0.2">
      <c r="B14" s="34"/>
      <c r="C14" s="26"/>
      <c r="D14" s="26" t="s">
        <v>80</v>
      </c>
      <c r="E14" s="24">
        <f>D11/E11</f>
        <v>6572.8518717006709</v>
      </c>
      <c r="F14" s="24">
        <f>D11/F11</f>
        <v>7047.0010044717819</v>
      </c>
      <c r="G14" s="35"/>
      <c r="I14" s="34"/>
      <c r="J14" s="26"/>
      <c r="K14" s="26" t="s">
        <v>80</v>
      </c>
      <c r="L14" s="24"/>
      <c r="M14" s="24"/>
      <c r="N14" s="35"/>
    </row>
    <row r="15" spans="1:14" x14ac:dyDescent="0.2">
      <c r="B15" s="34"/>
      <c r="C15" s="26"/>
      <c r="D15" s="28"/>
      <c r="E15" s="26"/>
      <c r="F15" s="26"/>
      <c r="G15" s="35"/>
      <c r="I15" s="34"/>
      <c r="J15" s="26"/>
      <c r="K15" s="26"/>
      <c r="L15" s="26"/>
      <c r="M15" s="26"/>
      <c r="N15" s="35"/>
    </row>
    <row r="16" spans="1:14" ht="13.5" thickBot="1" x14ac:dyDescent="0.25">
      <c r="B16" s="34"/>
      <c r="C16" s="57" t="s">
        <v>106</v>
      </c>
      <c r="D16" s="57"/>
      <c r="E16" s="57"/>
      <c r="F16" s="57"/>
      <c r="G16" s="35"/>
      <c r="I16" s="37"/>
      <c r="J16" s="38"/>
      <c r="K16" s="38"/>
      <c r="L16" s="39"/>
      <c r="M16" s="38"/>
      <c r="N16" s="40"/>
    </row>
    <row r="17" spans="2:11" ht="13.5" thickTop="1" x14ac:dyDescent="0.2">
      <c r="B17" s="34"/>
      <c r="C17" s="26"/>
      <c r="D17" s="41" t="s">
        <v>76</v>
      </c>
      <c r="E17" s="41" t="s">
        <v>60</v>
      </c>
      <c r="F17" s="41" t="s">
        <v>79</v>
      </c>
      <c r="G17" s="35"/>
    </row>
    <row r="18" spans="2:11" x14ac:dyDescent="0.2">
      <c r="B18" s="34"/>
      <c r="C18" s="26" t="s">
        <v>66</v>
      </c>
      <c r="D18" s="24">
        <f>'No drug'!AD55</f>
        <v>12081.502756269565</v>
      </c>
      <c r="E18" s="21">
        <f>'No drug'!Y55</f>
        <v>9.6942204866681507</v>
      </c>
      <c r="F18" s="21">
        <f>'No drug'!X55</f>
        <v>10.737721047153583</v>
      </c>
      <c r="G18" s="35"/>
    </row>
    <row r="19" spans="2:11" x14ac:dyDescent="0.2">
      <c r="B19" s="34"/>
      <c r="C19" s="26" t="s">
        <v>73</v>
      </c>
      <c r="D19" s="24">
        <f>Drug!AD55</f>
        <v>20864.90256421817</v>
      </c>
      <c r="E19" s="21">
        <f>Drug!Y55</f>
        <v>10.954464893454904</v>
      </c>
      <c r="F19" s="21">
        <f>Drug!X55</f>
        <v>11.913171398685</v>
      </c>
      <c r="G19" s="35"/>
    </row>
    <row r="20" spans="2:11" x14ac:dyDescent="0.2">
      <c r="B20" s="34"/>
      <c r="C20" s="26" t="s">
        <v>82</v>
      </c>
      <c r="D20" s="24">
        <f>D19-D18</f>
        <v>8783.3998079486046</v>
      </c>
      <c r="E20" s="21">
        <f>E19-E18</f>
        <v>1.2602444067867538</v>
      </c>
      <c r="F20" s="21">
        <f>F19-F18</f>
        <v>1.175450351531417</v>
      </c>
      <c r="G20" s="35"/>
    </row>
    <row r="21" spans="2:11" x14ac:dyDescent="0.2">
      <c r="B21" s="34"/>
      <c r="C21" s="26"/>
      <c r="D21" s="28"/>
      <c r="E21" s="28"/>
      <c r="F21" s="29"/>
      <c r="G21" s="35"/>
    </row>
    <row r="22" spans="2:11" x14ac:dyDescent="0.2">
      <c r="B22" s="34"/>
      <c r="C22" s="26"/>
      <c r="D22" s="26" t="s">
        <v>77</v>
      </c>
      <c r="E22" s="27" t="s">
        <v>78</v>
      </c>
      <c r="F22" s="26" t="s">
        <v>81</v>
      </c>
      <c r="G22" s="35"/>
    </row>
    <row r="23" spans="2:11" x14ac:dyDescent="0.2">
      <c r="B23" s="34"/>
      <c r="C23" s="26"/>
      <c r="D23" s="26" t="s">
        <v>80</v>
      </c>
      <c r="E23" s="24">
        <f>D20/E20</f>
        <v>6969.6003097872472</v>
      </c>
      <c r="F23" s="24">
        <f>D20/F20</f>
        <v>7472.3698848745853</v>
      </c>
      <c r="G23" s="35"/>
    </row>
    <row r="24" spans="2:11" ht="13.5" thickBot="1" x14ac:dyDescent="0.25">
      <c r="B24" s="37"/>
      <c r="C24" s="38"/>
      <c r="D24" s="38"/>
      <c r="E24" s="39"/>
      <c r="F24" s="38"/>
      <c r="G24" s="40"/>
    </row>
    <row r="25" spans="2:11" ht="13.5" thickTop="1" x14ac:dyDescent="0.2"/>
    <row r="28" spans="2:11" x14ac:dyDescent="0.2">
      <c r="J28" s="15"/>
      <c r="K28" s="12"/>
    </row>
    <row r="29" spans="2:11" x14ac:dyDescent="0.2">
      <c r="J29" s="15"/>
      <c r="K29" s="12"/>
    </row>
  </sheetData>
  <mergeCells count="3">
    <mergeCell ref="C7:F7"/>
    <mergeCell ref="C16:F16"/>
    <mergeCell ref="J7:M7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"/>
  <sheetViews>
    <sheetView workbookViewId="0">
      <selection activeCell="E12" sqref="E12:E33"/>
    </sheetView>
  </sheetViews>
  <sheetFormatPr defaultRowHeight="12.75" x14ac:dyDescent="0.2"/>
  <cols>
    <col min="1" max="1" width="12.140625" customWidth="1"/>
    <col min="2" max="2" width="10.42578125" bestFit="1" customWidth="1"/>
    <col min="3" max="3" width="13" customWidth="1"/>
    <col min="4" max="4" width="12.140625" bestFit="1" customWidth="1"/>
    <col min="5" max="5" width="18.140625" customWidth="1"/>
    <col min="6" max="6" width="11.140625" bestFit="1" customWidth="1"/>
    <col min="7" max="7" width="10.5703125" bestFit="1" customWidth="1"/>
    <col min="8" max="8" width="23" customWidth="1"/>
    <col min="9" max="9" width="65.7109375" customWidth="1"/>
  </cols>
  <sheetData>
    <row r="1" spans="1:9" ht="18" x14ac:dyDescent="0.25">
      <c r="A1" s="2" t="s">
        <v>10</v>
      </c>
      <c r="D1" s="8"/>
      <c r="E1" s="8"/>
      <c r="F1" s="9" t="s">
        <v>57</v>
      </c>
      <c r="G1" s="8"/>
      <c r="H1" s="8"/>
    </row>
    <row r="2" spans="1:9" x14ac:dyDescent="0.2">
      <c r="D2" s="8"/>
      <c r="E2" s="8"/>
      <c r="F2" s="9" t="s">
        <v>29</v>
      </c>
      <c r="G2" s="8"/>
      <c r="H2" s="8"/>
    </row>
    <row r="3" spans="1:9" x14ac:dyDescent="0.2">
      <c r="D3" s="10"/>
      <c r="E3" s="10"/>
      <c r="F3" s="11" t="s">
        <v>58</v>
      </c>
      <c r="G3" s="10"/>
      <c r="H3" s="10"/>
    </row>
    <row r="4" spans="1:9" ht="13.5" thickBot="1" x14ac:dyDescent="0.25"/>
    <row r="5" spans="1:9" ht="13.5" thickBot="1" x14ac:dyDescent="0.25">
      <c r="D5" s="46">
        <v>0</v>
      </c>
      <c r="E5" s="13" t="s">
        <v>104</v>
      </c>
      <c r="F5" s="13"/>
      <c r="G5" s="13"/>
      <c r="H5" s="13"/>
    </row>
    <row r="8" spans="1:9" x14ac:dyDescent="0.2">
      <c r="B8" s="6"/>
      <c r="D8" s="6"/>
      <c r="E8" s="45" t="s">
        <v>31</v>
      </c>
      <c r="F8" s="45"/>
      <c r="G8" s="45"/>
      <c r="H8" s="45"/>
      <c r="I8" s="6"/>
    </row>
    <row r="9" spans="1:9" ht="26.25" thickBot="1" x14ac:dyDescent="0.25">
      <c r="A9" s="43" t="s">
        <v>28</v>
      </c>
      <c r="B9" s="44" t="s">
        <v>30</v>
      </c>
      <c r="C9" s="44" t="s">
        <v>33</v>
      </c>
      <c r="D9" s="44" t="s">
        <v>32</v>
      </c>
      <c r="E9" s="44" t="s">
        <v>93</v>
      </c>
      <c r="F9" s="44" t="s">
        <v>34</v>
      </c>
      <c r="G9" s="44" t="s">
        <v>96</v>
      </c>
      <c r="H9" s="44" t="s">
        <v>97</v>
      </c>
      <c r="I9" s="44" t="s">
        <v>35</v>
      </c>
    </row>
    <row r="11" spans="1:9" x14ac:dyDescent="0.2">
      <c r="A11" s="6" t="s">
        <v>11</v>
      </c>
    </row>
    <row r="12" spans="1:9" x14ac:dyDescent="0.2">
      <c r="A12" s="7" t="s">
        <v>12</v>
      </c>
      <c r="B12" s="42">
        <f>IF($D$5=0,C12,D12)</f>
        <v>500</v>
      </c>
      <c r="C12" s="24">
        <v>500</v>
      </c>
      <c r="D12" s="24"/>
      <c r="E12" s="52">
        <v>127.6</v>
      </c>
      <c r="F12" s="53" t="s">
        <v>94</v>
      </c>
      <c r="G12" s="21"/>
      <c r="H12" s="21"/>
      <c r="I12" s="3" t="s">
        <v>36</v>
      </c>
    </row>
    <row r="13" spans="1:9" x14ac:dyDescent="0.2">
      <c r="A13" s="7" t="s">
        <v>13</v>
      </c>
      <c r="B13" s="42">
        <f>IF($D$5=0,C13,D13)</f>
        <v>3000</v>
      </c>
      <c r="C13" s="24">
        <v>3000</v>
      </c>
      <c r="D13" s="24"/>
      <c r="E13" s="52">
        <v>510.2</v>
      </c>
      <c r="F13" s="53" t="s">
        <v>94</v>
      </c>
      <c r="G13" s="21"/>
      <c r="H13" s="21"/>
      <c r="I13" s="3" t="s">
        <v>40</v>
      </c>
    </row>
    <row r="14" spans="1:9" x14ac:dyDescent="0.2">
      <c r="A14" s="7" t="s">
        <v>14</v>
      </c>
      <c r="B14" s="42">
        <f>IF($D$5=0,C14,D14)</f>
        <v>1000</v>
      </c>
      <c r="C14" s="24">
        <v>1000</v>
      </c>
      <c r="D14" s="24"/>
      <c r="E14" s="52">
        <v>102</v>
      </c>
      <c r="F14" s="53" t="s">
        <v>94</v>
      </c>
      <c r="G14" s="21"/>
      <c r="H14" s="21"/>
      <c r="I14" s="3" t="s">
        <v>38</v>
      </c>
    </row>
    <row r="15" spans="1:9" x14ac:dyDescent="0.2">
      <c r="A15" s="7" t="s">
        <v>15</v>
      </c>
      <c r="B15" s="42">
        <f>IF($D$5=0,C15,D15)</f>
        <v>1000</v>
      </c>
      <c r="C15" s="24">
        <v>1000</v>
      </c>
      <c r="D15" s="24"/>
      <c r="E15" s="52">
        <v>255.1</v>
      </c>
      <c r="F15" s="53" t="s">
        <v>94</v>
      </c>
      <c r="G15" s="21"/>
      <c r="H15" s="21"/>
      <c r="I15" s="3" t="s">
        <v>37</v>
      </c>
    </row>
    <row r="16" spans="1:9" x14ac:dyDescent="0.2">
      <c r="F16" s="54"/>
      <c r="I16" s="3"/>
    </row>
    <row r="17" spans="1:9" x14ac:dyDescent="0.2">
      <c r="F17" s="54"/>
      <c r="I17" s="3"/>
    </row>
    <row r="18" spans="1:9" x14ac:dyDescent="0.2">
      <c r="A18" s="6" t="s">
        <v>16</v>
      </c>
      <c r="F18" s="54"/>
      <c r="I18" s="3"/>
    </row>
    <row r="19" spans="1:9" x14ac:dyDescent="0.2">
      <c r="A19" s="7" t="s">
        <v>17</v>
      </c>
      <c r="B19" s="42">
        <f>IF($D$5=0,C19,D19)</f>
        <v>0.95</v>
      </c>
      <c r="C19" s="19">
        <v>0.95</v>
      </c>
      <c r="D19" s="21"/>
      <c r="E19" s="51">
        <v>2.5999999999999999E-2</v>
      </c>
      <c r="F19" s="53" t="s">
        <v>98</v>
      </c>
      <c r="G19" s="21"/>
      <c r="H19" s="21"/>
      <c r="I19" s="3" t="s">
        <v>43</v>
      </c>
    </row>
    <row r="20" spans="1:9" x14ac:dyDescent="0.2">
      <c r="A20" s="7" t="s">
        <v>18</v>
      </c>
      <c r="B20" s="42">
        <f>IF($D$5=0,C20,D20)</f>
        <v>0.75</v>
      </c>
      <c r="C20" s="19">
        <v>0.75</v>
      </c>
      <c r="D20" s="21"/>
      <c r="E20" s="51">
        <v>7.6999999999999999E-2</v>
      </c>
      <c r="F20" s="53" t="s">
        <v>98</v>
      </c>
      <c r="G20" s="21"/>
      <c r="H20" s="21"/>
      <c r="I20" s="3" t="s">
        <v>44</v>
      </c>
    </row>
    <row r="21" spans="1:9" x14ac:dyDescent="0.2">
      <c r="F21" s="54"/>
      <c r="G21" s="54"/>
      <c r="H21" s="54"/>
      <c r="I21" s="3"/>
    </row>
    <row r="22" spans="1:9" x14ac:dyDescent="0.2">
      <c r="F22" s="54"/>
      <c r="G22" s="54"/>
      <c r="H22" s="54"/>
      <c r="I22" s="3"/>
    </row>
    <row r="23" spans="1:9" x14ac:dyDescent="0.2">
      <c r="F23" s="54"/>
      <c r="I23" s="3"/>
    </row>
    <row r="24" spans="1:9" x14ac:dyDescent="0.2">
      <c r="A24" s="6" t="s">
        <v>5</v>
      </c>
      <c r="F24" s="54"/>
      <c r="I24" s="3"/>
    </row>
    <row r="25" spans="1:9" x14ac:dyDescent="0.2">
      <c r="A25" s="7" t="s">
        <v>19</v>
      </c>
      <c r="B25" s="42">
        <f>IF($D$5=0,C25,D25)</f>
        <v>0.01</v>
      </c>
      <c r="C25" s="19">
        <v>0.01</v>
      </c>
      <c r="D25" s="22"/>
      <c r="E25" s="51">
        <v>3.0000000000000001E-3</v>
      </c>
      <c r="F25" s="53" t="s">
        <v>56</v>
      </c>
      <c r="G25" s="21"/>
      <c r="H25" s="21"/>
      <c r="I25" s="3" t="s">
        <v>42</v>
      </c>
    </row>
    <row r="26" spans="1:9" x14ac:dyDescent="0.2">
      <c r="A26" s="7" t="s">
        <v>20</v>
      </c>
      <c r="B26" s="42">
        <f>IF($D$5=0,C26,D26)</f>
        <v>0.15</v>
      </c>
      <c r="C26" s="19">
        <v>0.15</v>
      </c>
      <c r="D26" s="21"/>
      <c r="E26" s="51">
        <v>2.5999999999999999E-2</v>
      </c>
      <c r="F26" s="53" t="s">
        <v>98</v>
      </c>
      <c r="G26" s="21"/>
      <c r="H26" s="21"/>
      <c r="I26" s="3" t="s">
        <v>39</v>
      </c>
    </row>
    <row r="27" spans="1:9" x14ac:dyDescent="0.2">
      <c r="A27" t="s">
        <v>49</v>
      </c>
      <c r="B27" s="22">
        <v>1.38E-2</v>
      </c>
      <c r="F27" s="54"/>
      <c r="I27" s="3" t="s">
        <v>45</v>
      </c>
    </row>
    <row r="28" spans="1:9" x14ac:dyDescent="0.2">
      <c r="A28" t="s">
        <v>50</v>
      </c>
      <c r="B28" s="22">
        <v>3.7900000000000003E-2</v>
      </c>
      <c r="F28" s="54"/>
      <c r="I28" s="3" t="s">
        <v>46</v>
      </c>
    </row>
    <row r="29" spans="1:9" x14ac:dyDescent="0.2">
      <c r="A29" t="s">
        <v>51</v>
      </c>
      <c r="B29" s="22">
        <v>9.1200000000000003E-2</v>
      </c>
      <c r="F29" s="54"/>
      <c r="I29" s="3" t="s">
        <v>47</v>
      </c>
    </row>
    <row r="30" spans="1:9" x14ac:dyDescent="0.2">
      <c r="A30" t="s">
        <v>52</v>
      </c>
      <c r="B30" s="22">
        <v>0.1958</v>
      </c>
      <c r="F30" s="54"/>
      <c r="I30" s="3" t="s">
        <v>48</v>
      </c>
    </row>
    <row r="31" spans="1:9" x14ac:dyDescent="0.2">
      <c r="F31" s="54"/>
      <c r="I31" s="3"/>
    </row>
    <row r="32" spans="1:9" x14ac:dyDescent="0.2">
      <c r="A32" s="6" t="s">
        <v>22</v>
      </c>
      <c r="F32" s="54"/>
      <c r="I32" s="3"/>
    </row>
    <row r="33" spans="1:9" x14ac:dyDescent="0.2">
      <c r="A33" s="7" t="s">
        <v>23</v>
      </c>
      <c r="B33" s="42">
        <f>IF($D$5=0,C33,D33)</f>
        <v>0.5</v>
      </c>
      <c r="C33" s="19">
        <v>0.5</v>
      </c>
      <c r="D33" s="22"/>
      <c r="E33" s="51">
        <v>5.0999999999999997E-2</v>
      </c>
      <c r="F33" s="53" t="s">
        <v>56</v>
      </c>
      <c r="G33" s="21"/>
      <c r="H33" s="21"/>
      <c r="I33" s="3" t="s">
        <v>41</v>
      </c>
    </row>
    <row r="34" spans="1:9" x14ac:dyDescent="0.2">
      <c r="I34" s="3"/>
    </row>
    <row r="35" spans="1:9" x14ac:dyDescent="0.2">
      <c r="A35" t="s">
        <v>24</v>
      </c>
      <c r="B35" s="19">
        <v>55</v>
      </c>
      <c r="I35" s="3" t="s">
        <v>53</v>
      </c>
    </row>
    <row r="36" spans="1:9" x14ac:dyDescent="0.2">
      <c r="I36" s="3"/>
    </row>
    <row r="37" spans="1:9" x14ac:dyDescent="0.2">
      <c r="A37" t="s">
        <v>25</v>
      </c>
      <c r="B37" s="19">
        <v>3.5000000000000003E-2</v>
      </c>
      <c r="I37" s="3" t="s">
        <v>54</v>
      </c>
    </row>
    <row r="38" spans="1:9" x14ac:dyDescent="0.2">
      <c r="A38" t="s">
        <v>26</v>
      </c>
      <c r="B38" s="19">
        <v>3.5000000000000003E-2</v>
      </c>
      <c r="I38" s="3" t="s">
        <v>55</v>
      </c>
    </row>
    <row r="41" spans="1:9" x14ac:dyDescent="0.2">
      <c r="B41" t="s">
        <v>95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55"/>
  <sheetViews>
    <sheetView topLeftCell="D34" workbookViewId="0">
      <selection activeCell="V52" sqref="V52:Y53"/>
    </sheetView>
  </sheetViews>
  <sheetFormatPr defaultRowHeight="12.75" x14ac:dyDescent="0.2"/>
  <cols>
    <col min="5" max="5" width="13.85546875" bestFit="1" customWidth="1"/>
    <col min="6" max="6" width="19.28515625" bestFit="1" customWidth="1"/>
    <col min="7" max="7" width="18.140625" bestFit="1" customWidth="1"/>
    <col min="8" max="8" width="18.5703125" bestFit="1" customWidth="1"/>
    <col min="9" max="9" width="11.140625" customWidth="1"/>
    <col min="10" max="10" width="10.85546875" bestFit="1" customWidth="1"/>
    <col min="11" max="11" width="9.85546875" bestFit="1" customWidth="1"/>
    <col min="13" max="13" width="9.85546875" bestFit="1" customWidth="1"/>
    <col min="15" max="15" width="2.7109375" customWidth="1"/>
    <col min="16" max="16" width="12.28515625" bestFit="1" customWidth="1"/>
    <col min="17" max="17" width="12" bestFit="1" customWidth="1"/>
    <col min="18" max="19" width="12.28515625" bestFit="1" customWidth="1"/>
    <col min="20" max="20" width="3.28515625" customWidth="1"/>
    <col min="21" max="21" width="10.85546875" bestFit="1" customWidth="1"/>
    <col min="22" max="22" width="9.85546875" bestFit="1" customWidth="1"/>
    <col min="24" max="24" width="9.85546875" bestFit="1" customWidth="1"/>
    <col min="27" max="27" width="12.28515625" bestFit="1" customWidth="1"/>
    <col min="28" max="28" width="9.85546875" bestFit="1" customWidth="1"/>
    <col min="29" max="29" width="12.28515625" bestFit="1" customWidth="1"/>
    <col min="30" max="30" width="11.28515625" bestFit="1" customWidth="1"/>
  </cols>
  <sheetData>
    <row r="1" spans="1:30" ht="18" x14ac:dyDescent="0.25">
      <c r="A1" s="2" t="s">
        <v>66</v>
      </c>
      <c r="B1" s="14"/>
      <c r="C1" s="14"/>
      <c r="D1" s="14"/>
      <c r="E1" s="14"/>
      <c r="F1" s="14"/>
      <c r="G1" s="14"/>
      <c r="H1" s="14"/>
      <c r="I1" s="14"/>
      <c r="J1" s="14"/>
      <c r="P1" s="14"/>
      <c r="Q1" s="14"/>
      <c r="R1" s="14"/>
      <c r="S1" s="14"/>
      <c r="T1" s="14"/>
      <c r="U1" s="14"/>
      <c r="V1" s="14"/>
      <c r="W1" s="14"/>
    </row>
    <row r="2" spans="1:30" x14ac:dyDescent="0.2">
      <c r="V2" s="59" t="s">
        <v>92</v>
      </c>
      <c r="W2" s="59"/>
      <c r="X2" s="59"/>
      <c r="Y2" s="59"/>
      <c r="Z2" s="59"/>
      <c r="AA2" s="59"/>
      <c r="AB2" s="59"/>
      <c r="AC2" s="59"/>
      <c r="AD2" s="59"/>
    </row>
    <row r="3" spans="1:30" x14ac:dyDescent="0.2">
      <c r="A3" s="6"/>
      <c r="B3" s="6"/>
      <c r="C3" s="6"/>
      <c r="D3" s="6"/>
      <c r="E3" s="58" t="s">
        <v>66</v>
      </c>
      <c r="F3" s="58"/>
      <c r="G3" s="58"/>
      <c r="H3" s="58"/>
      <c r="I3" s="6"/>
      <c r="J3" s="6"/>
      <c r="K3" s="6"/>
      <c r="L3" s="6"/>
      <c r="M3" s="58" t="s">
        <v>71</v>
      </c>
      <c r="N3" s="58"/>
      <c r="O3" s="16"/>
      <c r="P3" s="6"/>
      <c r="Q3" s="6"/>
      <c r="R3" s="6"/>
      <c r="S3" s="6" t="s">
        <v>71</v>
      </c>
      <c r="T3" s="6"/>
      <c r="AD3" s="6" t="s">
        <v>71</v>
      </c>
    </row>
    <row r="4" spans="1:30" ht="13.5" thickBot="1" x14ac:dyDescent="0.25">
      <c r="A4" s="6" t="s">
        <v>59</v>
      </c>
      <c r="B4" s="6"/>
      <c r="C4" s="6" t="s">
        <v>21</v>
      </c>
      <c r="D4" s="6"/>
      <c r="E4" s="17" t="s">
        <v>67</v>
      </c>
      <c r="F4" s="17" t="s">
        <v>68</v>
      </c>
      <c r="G4" s="17" t="s">
        <v>89</v>
      </c>
      <c r="H4" s="17" t="s">
        <v>90</v>
      </c>
      <c r="I4" s="6" t="s">
        <v>69</v>
      </c>
      <c r="J4" s="6"/>
      <c r="K4" s="17" t="s">
        <v>70</v>
      </c>
      <c r="L4" s="17" t="s">
        <v>60</v>
      </c>
      <c r="M4" s="17" t="s">
        <v>70</v>
      </c>
      <c r="N4" s="17" t="s">
        <v>60</v>
      </c>
      <c r="O4" s="25"/>
      <c r="P4" s="17" t="s">
        <v>61</v>
      </c>
      <c r="Q4" s="17" t="s">
        <v>62</v>
      </c>
      <c r="R4" s="17" t="s">
        <v>63</v>
      </c>
      <c r="S4" s="17" t="s">
        <v>72</v>
      </c>
      <c r="T4" s="25"/>
      <c r="V4" s="17" t="s">
        <v>70</v>
      </c>
      <c r="W4" s="17" t="s">
        <v>60</v>
      </c>
      <c r="X4" s="17" t="s">
        <v>70</v>
      </c>
      <c r="Y4" s="17" t="s">
        <v>60</v>
      </c>
      <c r="Z4" s="25"/>
      <c r="AA4" s="17" t="s">
        <v>61</v>
      </c>
      <c r="AB4" s="17" t="s">
        <v>62</v>
      </c>
      <c r="AC4" s="17" t="s">
        <v>63</v>
      </c>
      <c r="AD4" s="17" t="s">
        <v>72</v>
      </c>
    </row>
    <row r="6" spans="1:30" x14ac:dyDescent="0.2">
      <c r="A6">
        <v>0</v>
      </c>
      <c r="C6" s="19">
        <f t="shared" ref="C6:C51" si="0">IF(ini_age+A6&lt;55,"error",IF(ini_age+A6&gt;=85,natDeath85,IF(ini_age+A6&gt;=75,natDeath75,IF(ini_age+A6&gt;=65,natDeath65,IF(ini_age+A6&gt;=55,natDeath55,"error")))))</f>
        <v>1.38E-2</v>
      </c>
      <c r="E6" s="23">
        <v>1000</v>
      </c>
      <c r="F6" s="15"/>
      <c r="G6" s="15"/>
      <c r="H6" s="15"/>
      <c r="I6" s="15">
        <f>SUM(E6:H6)</f>
        <v>1000</v>
      </c>
      <c r="K6" s="15"/>
      <c r="L6" s="15"/>
      <c r="Q6" s="18">
        <f>(F6*tpDcm*cDeath)</f>
        <v>0</v>
      </c>
      <c r="V6">
        <f>E6*0.5</f>
        <v>500</v>
      </c>
      <c r="W6" s="15">
        <f>0.5*(E6*uAsymp+F6*uProg)</f>
        <v>475</v>
      </c>
      <c r="X6" s="15">
        <f t="shared" ref="X6:X51" si="1">V6/((1+oDR)^$A6)</f>
        <v>500</v>
      </c>
      <c r="Y6" s="15">
        <f t="shared" ref="Y6:Y51" si="2">W6/((1+oDR)^$A6)</f>
        <v>475</v>
      </c>
      <c r="AA6" s="18">
        <f>0.5*(E6*cAsymp+F6*cProg)</f>
        <v>250000</v>
      </c>
      <c r="AB6" s="48">
        <f>Q6</f>
        <v>0</v>
      </c>
      <c r="AC6" s="48">
        <f>AA6+AB6</f>
        <v>250000</v>
      </c>
      <c r="AD6" s="18">
        <f t="shared" ref="AD6:AD51" si="3">AC6/((1+cDR)^$A6)</f>
        <v>250000</v>
      </c>
    </row>
    <row r="7" spans="1:30" x14ac:dyDescent="0.2">
      <c r="A7">
        <v>1</v>
      </c>
      <c r="C7" s="19">
        <f t="shared" si="0"/>
        <v>1.38E-2</v>
      </c>
      <c r="E7" s="23">
        <f>E6*(1-tpProg*$A7-$C6)</f>
        <v>976.19999999999993</v>
      </c>
      <c r="F7" s="23">
        <f t="shared" ref="F7:F51" si="4">F6*(1-tpDcm-$C6)+E6*tpProg*$A7</f>
        <v>10</v>
      </c>
      <c r="G7" s="23">
        <f t="shared" ref="G7:G51" si="5">F6*tpDcm+G6</f>
        <v>0</v>
      </c>
      <c r="H7" s="23">
        <f>H6+E6*$C6+F6*$C6</f>
        <v>13.799999999999999</v>
      </c>
      <c r="I7" s="15">
        <f t="shared" ref="I7:I51" si="6">SUM(E7:H7)</f>
        <v>999.99999999999989</v>
      </c>
      <c r="K7" s="15">
        <f>E7+F7</f>
        <v>986.19999999999993</v>
      </c>
      <c r="L7" s="15">
        <f>E7*uAsymp+F7*uProg</f>
        <v>934.88999999999987</v>
      </c>
      <c r="M7" s="15">
        <f>(E7+F7)/((1+oDR)^$A7)</f>
        <v>952.85024154589371</v>
      </c>
      <c r="N7" s="15">
        <f>(E7*uAsymp+F7*uProg)/((1+oDR)^$A7)</f>
        <v>903.27536231884051</v>
      </c>
      <c r="O7" s="15"/>
      <c r="P7" s="18">
        <f>(E7*cAsymp+F7*cProg)</f>
        <v>518099.99999999994</v>
      </c>
      <c r="Q7" s="18">
        <f>(F7*tpDcm*cDeath)</f>
        <v>1500</v>
      </c>
      <c r="R7" s="18">
        <f>P7+Q7</f>
        <v>519599.99999999994</v>
      </c>
      <c r="S7" s="18">
        <f>R7/((1+cDR)^$A7)</f>
        <v>502028.98550724634</v>
      </c>
      <c r="T7" s="18"/>
      <c r="V7" s="15">
        <f>K7</f>
        <v>986.19999999999993</v>
      </c>
      <c r="W7" s="15">
        <f t="shared" ref="W7:W51" si="7">E7*uAsymp+F7*uProg</f>
        <v>934.88999999999987</v>
      </c>
      <c r="X7" s="15">
        <f t="shared" si="1"/>
        <v>952.85024154589371</v>
      </c>
      <c r="Y7" s="15">
        <f t="shared" si="2"/>
        <v>903.27536231884051</v>
      </c>
      <c r="AA7" s="18">
        <f t="shared" ref="AA7:AA51" si="8">(E7*cAsymp+F7*cProg)</f>
        <v>518099.99999999994</v>
      </c>
      <c r="AB7" s="48">
        <f>Q7</f>
        <v>1500</v>
      </c>
      <c r="AC7" s="48">
        <f t="shared" ref="AC7:AC51" si="9">AA7+AB7</f>
        <v>519599.99999999994</v>
      </c>
      <c r="AD7" s="18">
        <f t="shared" si="3"/>
        <v>502028.98550724634</v>
      </c>
    </row>
    <row r="8" spans="1:30" x14ac:dyDescent="0.2">
      <c r="A8">
        <v>2</v>
      </c>
      <c r="C8" s="19">
        <f t="shared" si="0"/>
        <v>1.38E-2</v>
      </c>
      <c r="E8" s="23">
        <f t="shared" ref="E8:E51" si="10">E7*(1-tpProg*$A8-$C7)</f>
        <v>943.20443999999986</v>
      </c>
      <c r="F8" s="23">
        <f t="shared" si="4"/>
        <v>27.885999999999996</v>
      </c>
      <c r="G8" s="23">
        <f t="shared" si="5"/>
        <v>1.5</v>
      </c>
      <c r="H8" s="23">
        <f t="shared" ref="H8:H51" si="11">H7+E7*$C7+F7*$C7</f>
        <v>27.409559999999999</v>
      </c>
      <c r="I8" s="15">
        <f t="shared" si="6"/>
        <v>999.99999999999977</v>
      </c>
      <c r="K8" s="15">
        <f t="shared" ref="K8:K51" si="12">E8+F8</f>
        <v>971.09043999999983</v>
      </c>
      <c r="L8" s="15">
        <f t="shared" ref="L8:L51" si="13">E8*uAsymp+F8*uProg</f>
        <v>916.95871799999975</v>
      </c>
      <c r="M8" s="15">
        <f t="shared" ref="M8:M51" si="14">(E8+F8)/((1+oDR)^$A8)</f>
        <v>906.52331676351832</v>
      </c>
      <c r="N8" s="15">
        <f t="shared" ref="N8:N51" si="15">(E8*uAsymp+F8*uProg)/((1+oDR)^$A8)</f>
        <v>855.99077504725881</v>
      </c>
      <c r="O8" s="15"/>
      <c r="P8" s="18">
        <f t="shared" ref="P8:P51" si="16">(E8*cAsymp+F8*cProg)</f>
        <v>555260.21999999986</v>
      </c>
      <c r="Q8" s="18">
        <f t="shared" ref="Q8:Q51" si="17">(F8*tpDcm*cDeath)</f>
        <v>4182.8999999999987</v>
      </c>
      <c r="R8" s="18">
        <f t="shared" ref="R8:R28" si="18">P8+Q8</f>
        <v>559443.11999999988</v>
      </c>
      <c r="S8" s="18">
        <f t="shared" ref="S8:S51" si="19">R8/((1+cDR)^$A8)</f>
        <v>522246.13876636553</v>
      </c>
      <c r="T8" s="18"/>
      <c r="V8" s="15">
        <f t="shared" ref="V8:V51" si="20">K8</f>
        <v>971.09043999999983</v>
      </c>
      <c r="W8" s="15">
        <f t="shared" si="7"/>
        <v>916.95871799999975</v>
      </c>
      <c r="X8" s="15">
        <f t="shared" si="1"/>
        <v>906.52331676351832</v>
      </c>
      <c r="Y8" s="15">
        <f t="shared" si="2"/>
        <v>855.99077504725881</v>
      </c>
      <c r="AA8" s="18">
        <f t="shared" si="8"/>
        <v>555260.21999999986</v>
      </c>
      <c r="AB8" s="48">
        <f t="shared" ref="AB8:AB50" si="21">Q8</f>
        <v>4182.8999999999987</v>
      </c>
      <c r="AC8" s="48">
        <f t="shared" si="9"/>
        <v>559443.11999999988</v>
      </c>
      <c r="AD8" s="18">
        <f t="shared" si="3"/>
        <v>522246.13876636553</v>
      </c>
    </row>
    <row r="9" spans="1:30" x14ac:dyDescent="0.2">
      <c r="A9">
        <v>3</v>
      </c>
      <c r="C9" s="19">
        <f t="shared" si="0"/>
        <v>1.38E-2</v>
      </c>
      <c r="E9" s="23">
        <f t="shared" si="10"/>
        <v>901.89208552799982</v>
      </c>
      <c r="F9" s="23">
        <f t="shared" si="4"/>
        <v>51.614406399999993</v>
      </c>
      <c r="G9" s="23">
        <f t="shared" si="5"/>
        <v>5.6828999999999992</v>
      </c>
      <c r="H9" s="23">
        <f t="shared" si="11"/>
        <v>40.810608071999994</v>
      </c>
      <c r="I9" s="15">
        <f t="shared" si="6"/>
        <v>999.99999999999989</v>
      </c>
      <c r="K9" s="15">
        <f t="shared" si="12"/>
        <v>953.50649192799983</v>
      </c>
      <c r="L9" s="15">
        <f t="shared" si="13"/>
        <v>895.50828605159984</v>
      </c>
      <c r="M9" s="15">
        <f t="shared" si="14"/>
        <v>860.00822520156453</v>
      </c>
      <c r="N9" s="15">
        <f t="shared" si="15"/>
        <v>807.69716646951326</v>
      </c>
      <c r="O9" s="15"/>
      <c r="P9" s="18">
        <f t="shared" si="16"/>
        <v>605789.26196399983</v>
      </c>
      <c r="Q9" s="18">
        <f t="shared" si="17"/>
        <v>7742.1609599999983</v>
      </c>
      <c r="R9" s="18">
        <f t="shared" si="18"/>
        <v>613531.42292399984</v>
      </c>
      <c r="S9" s="18">
        <f t="shared" si="19"/>
        <v>553370.19160442415</v>
      </c>
      <c r="T9" s="18"/>
      <c r="V9" s="15">
        <f t="shared" si="20"/>
        <v>953.50649192799983</v>
      </c>
      <c r="W9" s="15">
        <f t="shared" si="7"/>
        <v>895.50828605159984</v>
      </c>
      <c r="X9" s="15">
        <f t="shared" si="1"/>
        <v>860.00822520156453</v>
      </c>
      <c r="Y9" s="15">
        <f t="shared" si="2"/>
        <v>807.69716646951326</v>
      </c>
      <c r="AA9" s="18">
        <f t="shared" si="8"/>
        <v>605789.26196399983</v>
      </c>
      <c r="AB9" s="48">
        <f t="shared" si="21"/>
        <v>7742.1609599999983</v>
      </c>
      <c r="AC9" s="48">
        <f t="shared" si="9"/>
        <v>613531.42292399984</v>
      </c>
      <c r="AD9" s="18">
        <f t="shared" si="3"/>
        <v>553370.19160442415</v>
      </c>
    </row>
    <row r="10" spans="1:30" x14ac:dyDescent="0.2">
      <c r="A10">
        <v>4</v>
      </c>
      <c r="C10" s="19">
        <f t="shared" si="0"/>
        <v>1.38E-2</v>
      </c>
      <c r="E10" s="23">
        <f t="shared" si="10"/>
        <v>853.37029132659336</v>
      </c>
      <c r="F10" s="23">
        <f t="shared" si="4"/>
        <v>79.235650052799997</v>
      </c>
      <c r="G10" s="23">
        <f t="shared" si="5"/>
        <v>13.425060959999998</v>
      </c>
      <c r="H10" s="23">
        <f t="shared" si="11"/>
        <v>53.968997660606391</v>
      </c>
      <c r="I10" s="15">
        <f t="shared" si="6"/>
        <v>999.99999999999977</v>
      </c>
      <c r="K10" s="15">
        <f t="shared" si="12"/>
        <v>932.60594137939336</v>
      </c>
      <c r="L10" s="15">
        <f t="shared" si="13"/>
        <v>870.1285142998637</v>
      </c>
      <c r="M10" s="15">
        <f t="shared" si="14"/>
        <v>812.7121991205828</v>
      </c>
      <c r="N10" s="15">
        <f t="shared" si="15"/>
        <v>758.26673088552229</v>
      </c>
      <c r="O10" s="15"/>
      <c r="P10" s="18">
        <f t="shared" si="16"/>
        <v>664392.09582169668</v>
      </c>
      <c r="Q10" s="18">
        <f t="shared" si="17"/>
        <v>11885.347507919998</v>
      </c>
      <c r="R10" s="18">
        <f t="shared" si="18"/>
        <v>676277.44332961668</v>
      </c>
      <c r="S10" s="18">
        <f t="shared" si="19"/>
        <v>589336.72175745619</v>
      </c>
      <c r="T10" s="18"/>
      <c r="V10" s="15">
        <f t="shared" si="20"/>
        <v>932.60594137939336</v>
      </c>
      <c r="W10" s="15">
        <f t="shared" si="7"/>
        <v>870.1285142998637</v>
      </c>
      <c r="X10" s="15">
        <f t="shared" si="1"/>
        <v>812.7121991205828</v>
      </c>
      <c r="Y10" s="15">
        <f t="shared" si="2"/>
        <v>758.26673088552229</v>
      </c>
      <c r="AA10" s="18">
        <f t="shared" si="8"/>
        <v>664392.09582169668</v>
      </c>
      <c r="AB10" s="48">
        <f t="shared" si="21"/>
        <v>11885.347507919998</v>
      </c>
      <c r="AC10" s="48">
        <f t="shared" si="9"/>
        <v>676277.44332961668</v>
      </c>
      <c r="AD10" s="18">
        <f t="shared" si="3"/>
        <v>589336.72175745619</v>
      </c>
    </row>
    <row r="11" spans="1:30" x14ac:dyDescent="0.2">
      <c r="A11">
        <v>5</v>
      </c>
      <c r="C11" s="19">
        <f t="shared" si="0"/>
        <v>1.38E-2</v>
      </c>
      <c r="E11" s="23">
        <f t="shared" si="10"/>
        <v>798.92526673995667</v>
      </c>
      <c r="F11" s="23">
        <f t="shared" si="4"/>
        <v>108.92536514048103</v>
      </c>
      <c r="G11" s="23">
        <f t="shared" si="5"/>
        <v>25.310408467919999</v>
      </c>
      <c r="H11" s="23">
        <f t="shared" si="11"/>
        <v>66.838959651642014</v>
      </c>
      <c r="I11" s="15">
        <f t="shared" si="6"/>
        <v>999.99999999999966</v>
      </c>
      <c r="K11" s="15">
        <f t="shared" si="12"/>
        <v>907.85063188043773</v>
      </c>
      <c r="L11" s="15">
        <f t="shared" si="13"/>
        <v>840.67302725831962</v>
      </c>
      <c r="M11" s="15">
        <f t="shared" si="14"/>
        <v>764.38587155888445</v>
      </c>
      <c r="N11" s="15">
        <f t="shared" si="15"/>
        <v>707.82413105322973</v>
      </c>
      <c r="O11" s="15"/>
      <c r="P11" s="18">
        <f t="shared" si="16"/>
        <v>726238.72879142151</v>
      </c>
      <c r="Q11" s="18">
        <f t="shared" si="17"/>
        <v>16338.804771072155</v>
      </c>
      <c r="R11" s="18">
        <f t="shared" si="18"/>
        <v>742577.53356249363</v>
      </c>
      <c r="S11" s="18">
        <f t="shared" si="19"/>
        <v>625230.35757160478</v>
      </c>
      <c r="T11" s="18"/>
      <c r="V11" s="15">
        <f t="shared" si="20"/>
        <v>907.85063188043773</v>
      </c>
      <c r="W11" s="15">
        <f t="shared" si="7"/>
        <v>840.67302725831962</v>
      </c>
      <c r="X11" s="15">
        <f t="shared" si="1"/>
        <v>764.38587155888445</v>
      </c>
      <c r="Y11" s="15">
        <f t="shared" si="2"/>
        <v>707.82413105322973</v>
      </c>
      <c r="AA11" s="18">
        <f t="shared" si="8"/>
        <v>726238.72879142151</v>
      </c>
      <c r="AB11" s="48">
        <f t="shared" si="21"/>
        <v>16338.804771072155</v>
      </c>
      <c r="AC11" s="48">
        <f t="shared" si="9"/>
        <v>742577.53356249363</v>
      </c>
      <c r="AD11" s="18">
        <f t="shared" si="3"/>
        <v>625230.35757160478</v>
      </c>
    </row>
    <row r="12" spans="1:30" x14ac:dyDescent="0.2">
      <c r="A12">
        <v>6</v>
      </c>
      <c r="C12" s="19">
        <f t="shared" si="0"/>
        <v>1.38E-2</v>
      </c>
      <c r="E12" s="23">
        <f t="shared" si="10"/>
        <v>739.9645820545478</v>
      </c>
      <c r="F12" s="23">
        <f t="shared" si="4"/>
        <v>139.01890633486764</v>
      </c>
      <c r="G12" s="23">
        <f t="shared" si="5"/>
        <v>41.649213238992154</v>
      </c>
      <c r="H12" s="23">
        <f t="shared" si="11"/>
        <v>79.367298371592057</v>
      </c>
      <c r="I12" s="15">
        <f t="shared" si="6"/>
        <v>999.99999999999966</v>
      </c>
      <c r="K12" s="15">
        <f t="shared" si="12"/>
        <v>878.98348838941547</v>
      </c>
      <c r="L12" s="15">
        <f t="shared" si="13"/>
        <v>807.230532702971</v>
      </c>
      <c r="M12" s="15">
        <f t="shared" si="14"/>
        <v>715.05363414066562</v>
      </c>
      <c r="N12" s="15">
        <f t="shared" si="15"/>
        <v>656.6825584587574</v>
      </c>
      <c r="O12" s="15"/>
      <c r="P12" s="18">
        <f t="shared" si="16"/>
        <v>787039.01003187685</v>
      </c>
      <c r="Q12" s="18">
        <f t="shared" si="17"/>
        <v>20852.835950230143</v>
      </c>
      <c r="R12" s="18">
        <f t="shared" si="18"/>
        <v>807891.84598210698</v>
      </c>
      <c r="S12" s="18">
        <f t="shared" si="19"/>
        <v>657220.53723742382</v>
      </c>
      <c r="T12" s="18"/>
      <c r="V12" s="15">
        <f t="shared" si="20"/>
        <v>878.98348838941547</v>
      </c>
      <c r="W12" s="15">
        <f t="shared" si="7"/>
        <v>807.230532702971</v>
      </c>
      <c r="X12" s="15">
        <f t="shared" si="1"/>
        <v>715.05363414066562</v>
      </c>
      <c r="Y12" s="15">
        <f t="shared" si="2"/>
        <v>656.6825584587574</v>
      </c>
      <c r="AA12" s="18">
        <f t="shared" si="8"/>
        <v>787039.01003187685</v>
      </c>
      <c r="AB12" s="48">
        <f t="shared" si="21"/>
        <v>20852.835950230143</v>
      </c>
      <c r="AC12" s="48">
        <f t="shared" si="9"/>
        <v>807891.84598210698</v>
      </c>
      <c r="AD12" s="18">
        <f t="shared" si="3"/>
        <v>657220.53723742382</v>
      </c>
    </row>
    <row r="13" spans="1:30" x14ac:dyDescent="0.2">
      <c r="A13">
        <v>7</v>
      </c>
      <c r="C13" s="19">
        <f t="shared" si="0"/>
        <v>1.38E-2</v>
      </c>
      <c r="E13" s="23">
        <f t="shared" si="10"/>
        <v>677.95555007837663</v>
      </c>
      <c r="F13" s="23">
        <f t="shared" si="4"/>
        <v>168.04513022103467</v>
      </c>
      <c r="G13" s="23">
        <f t="shared" si="5"/>
        <v>62.502049189222298</v>
      </c>
      <c r="H13" s="23">
        <f t="shared" si="11"/>
        <v>91.497270511365997</v>
      </c>
      <c r="I13" s="15">
        <f t="shared" si="6"/>
        <v>999.99999999999955</v>
      </c>
      <c r="K13" s="15">
        <f t="shared" si="12"/>
        <v>846.00068029941133</v>
      </c>
      <c r="L13" s="15">
        <f t="shared" si="13"/>
        <v>770.09162024023374</v>
      </c>
      <c r="M13" s="15">
        <f t="shared" si="14"/>
        <v>664.94888744769889</v>
      </c>
      <c r="N13" s="15">
        <f t="shared" si="15"/>
        <v>605.28505240718016</v>
      </c>
      <c r="O13" s="15"/>
      <c r="P13" s="18">
        <f t="shared" si="16"/>
        <v>843113.16570229235</v>
      </c>
      <c r="Q13" s="18">
        <f t="shared" si="17"/>
        <v>25206.769533155199</v>
      </c>
      <c r="R13" s="18">
        <f t="shared" si="18"/>
        <v>868319.9352354476</v>
      </c>
      <c r="S13" s="18">
        <f t="shared" si="19"/>
        <v>682491.62007662107</v>
      </c>
      <c r="T13" s="18"/>
      <c r="V13" s="15">
        <f t="shared" si="20"/>
        <v>846.00068029941133</v>
      </c>
      <c r="W13" s="15">
        <f t="shared" si="7"/>
        <v>770.09162024023374</v>
      </c>
      <c r="X13" s="15">
        <f t="shared" si="1"/>
        <v>664.94888744769889</v>
      </c>
      <c r="Y13" s="15">
        <f t="shared" si="2"/>
        <v>605.28505240718016</v>
      </c>
      <c r="AA13" s="18">
        <f t="shared" si="8"/>
        <v>843113.16570229235</v>
      </c>
      <c r="AB13" s="48">
        <f t="shared" si="21"/>
        <v>25206.769533155199</v>
      </c>
      <c r="AC13" s="48">
        <f t="shared" si="9"/>
        <v>868319.9352354476</v>
      </c>
      <c r="AD13" s="18">
        <f t="shared" si="3"/>
        <v>682491.62007662107</v>
      </c>
    </row>
    <row r="14" spans="1:30" x14ac:dyDescent="0.2">
      <c r="A14">
        <v>8</v>
      </c>
      <c r="C14" s="19">
        <f t="shared" si="0"/>
        <v>1.38E-2</v>
      </c>
      <c r="E14" s="23">
        <f t="shared" si="10"/>
        <v>614.36331948102486</v>
      </c>
      <c r="F14" s="23">
        <f t="shared" si="4"/>
        <v>194.75578189709933</v>
      </c>
      <c r="G14" s="23">
        <f t="shared" si="5"/>
        <v>87.708818722377501</v>
      </c>
      <c r="H14" s="23">
        <f t="shared" si="11"/>
        <v>103.17207989949787</v>
      </c>
      <c r="I14" s="15">
        <f t="shared" si="6"/>
        <v>999.99999999999955</v>
      </c>
      <c r="K14" s="15">
        <f t="shared" si="12"/>
        <v>809.11910137812424</v>
      </c>
      <c r="L14" s="15">
        <f t="shared" si="13"/>
        <v>729.71198992979805</v>
      </c>
      <c r="M14" s="15">
        <f t="shared" si="14"/>
        <v>614.45439594185552</v>
      </c>
      <c r="N14" s="15">
        <f t="shared" si="15"/>
        <v>554.15171786224494</v>
      </c>
      <c r="O14" s="15"/>
      <c r="P14" s="18">
        <f t="shared" si="16"/>
        <v>891449.00543181039</v>
      </c>
      <c r="Q14" s="18">
        <f t="shared" si="17"/>
        <v>29213.367284564894</v>
      </c>
      <c r="R14" s="18">
        <f t="shared" si="18"/>
        <v>920662.37271637528</v>
      </c>
      <c r="S14" s="18">
        <f t="shared" si="19"/>
        <v>699161.64521428826</v>
      </c>
      <c r="T14" s="18"/>
      <c r="V14" s="15">
        <f t="shared" si="20"/>
        <v>809.11910137812424</v>
      </c>
      <c r="W14" s="15">
        <f t="shared" si="7"/>
        <v>729.71198992979805</v>
      </c>
      <c r="X14" s="15">
        <f t="shared" si="1"/>
        <v>614.45439594185552</v>
      </c>
      <c r="Y14" s="15">
        <f t="shared" si="2"/>
        <v>554.15171786224494</v>
      </c>
      <c r="AA14" s="18">
        <f t="shared" si="8"/>
        <v>891449.00543181039</v>
      </c>
      <c r="AB14" s="48">
        <f t="shared" si="21"/>
        <v>29213.367284564894</v>
      </c>
      <c r="AC14" s="48">
        <f t="shared" si="9"/>
        <v>920662.37271637528</v>
      </c>
      <c r="AD14" s="18">
        <f t="shared" si="3"/>
        <v>699161.64521428826</v>
      </c>
    </row>
    <row r="15" spans="1:30" x14ac:dyDescent="0.2">
      <c r="A15">
        <v>9</v>
      </c>
      <c r="C15" s="19">
        <f t="shared" si="0"/>
        <v>1.38E-2</v>
      </c>
      <c r="E15" s="23">
        <f t="shared" si="10"/>
        <v>550.59240691889443</v>
      </c>
      <c r="F15" s="23">
        <f t="shared" si="4"/>
        <v>218.14748357564667</v>
      </c>
      <c r="G15" s="23">
        <f t="shared" si="5"/>
        <v>116.9221860069424</v>
      </c>
      <c r="H15" s="23">
        <f t="shared" si="11"/>
        <v>114.33792349851599</v>
      </c>
      <c r="I15" s="15">
        <f t="shared" si="6"/>
        <v>999.99999999999955</v>
      </c>
      <c r="K15" s="15">
        <f t="shared" si="12"/>
        <v>768.7398904945411</v>
      </c>
      <c r="L15" s="15">
        <f t="shared" si="13"/>
        <v>686.67339925468468</v>
      </c>
      <c r="M15" s="15">
        <f t="shared" si="14"/>
        <v>564.04826721349718</v>
      </c>
      <c r="N15" s="15">
        <f t="shared" si="15"/>
        <v>503.83354081188685</v>
      </c>
      <c r="O15" s="15"/>
      <c r="P15" s="18">
        <f t="shared" si="16"/>
        <v>929738.65418638731</v>
      </c>
      <c r="Q15" s="18">
        <f t="shared" si="17"/>
        <v>32722.122536347</v>
      </c>
      <c r="R15" s="18">
        <f t="shared" si="18"/>
        <v>962460.77672273433</v>
      </c>
      <c r="S15" s="18">
        <f t="shared" si="19"/>
        <v>706187.28139914304</v>
      </c>
      <c r="T15" s="18"/>
      <c r="V15" s="15">
        <f t="shared" si="20"/>
        <v>768.7398904945411</v>
      </c>
      <c r="W15" s="15">
        <f t="shared" si="7"/>
        <v>686.67339925468468</v>
      </c>
      <c r="X15" s="15">
        <f t="shared" si="1"/>
        <v>564.04826721349718</v>
      </c>
      <c r="Y15" s="15">
        <f t="shared" si="2"/>
        <v>503.83354081188685</v>
      </c>
      <c r="AA15" s="18">
        <f t="shared" si="8"/>
        <v>929738.65418638731</v>
      </c>
      <c r="AB15" s="48">
        <f t="shared" si="21"/>
        <v>32722.122536347</v>
      </c>
      <c r="AC15" s="48">
        <f t="shared" si="9"/>
        <v>962460.77672273433</v>
      </c>
      <c r="AD15" s="18">
        <f t="shared" si="3"/>
        <v>706187.28139914304</v>
      </c>
    </row>
    <row r="16" spans="1:30" x14ac:dyDescent="0.2">
      <c r="A16">
        <v>10</v>
      </c>
      <c r="C16" s="19">
        <f t="shared" si="0"/>
        <v>3.7900000000000003E-2</v>
      </c>
      <c r="E16" s="23">
        <f t="shared" si="10"/>
        <v>487.93499101152423</v>
      </c>
      <c r="F16" s="23">
        <f t="shared" si="4"/>
        <v>237.47416645784517</v>
      </c>
      <c r="G16" s="23">
        <f t="shared" si="5"/>
        <v>149.64430854328941</v>
      </c>
      <c r="H16" s="23">
        <f t="shared" si="11"/>
        <v>124.94653398734066</v>
      </c>
      <c r="I16" s="15">
        <f t="shared" si="6"/>
        <v>999.99999999999943</v>
      </c>
      <c r="K16" s="15">
        <f t="shared" si="12"/>
        <v>725.40915746936935</v>
      </c>
      <c r="L16" s="15">
        <f t="shared" si="13"/>
        <v>641.64386630433182</v>
      </c>
      <c r="M16" s="15">
        <f t="shared" si="14"/>
        <v>514.25619936739065</v>
      </c>
      <c r="N16" s="15">
        <f t="shared" si="15"/>
        <v>454.87340852461858</v>
      </c>
      <c r="O16" s="15"/>
      <c r="P16" s="18">
        <f t="shared" si="16"/>
        <v>956389.99487929768</v>
      </c>
      <c r="Q16" s="18">
        <f t="shared" si="17"/>
        <v>35621.124968676777</v>
      </c>
      <c r="R16" s="18">
        <f t="shared" si="18"/>
        <v>992011.11984797451</v>
      </c>
      <c r="S16" s="18">
        <f t="shared" si="19"/>
        <v>703255.34626952873</v>
      </c>
      <c r="T16" s="18"/>
      <c r="V16" s="15">
        <f t="shared" si="20"/>
        <v>725.40915746936935</v>
      </c>
      <c r="W16" s="15">
        <f t="shared" si="7"/>
        <v>641.64386630433182</v>
      </c>
      <c r="X16" s="15">
        <f t="shared" si="1"/>
        <v>514.25619936739065</v>
      </c>
      <c r="Y16" s="15">
        <f t="shared" si="2"/>
        <v>454.87340852461858</v>
      </c>
      <c r="AA16" s="18">
        <f t="shared" si="8"/>
        <v>956389.99487929768</v>
      </c>
      <c r="AB16" s="48">
        <f t="shared" si="21"/>
        <v>35621.124968676777</v>
      </c>
      <c r="AC16" s="48">
        <f t="shared" si="9"/>
        <v>992011.11984797451</v>
      </c>
      <c r="AD16" s="18">
        <f t="shared" si="3"/>
        <v>703255.34626952873</v>
      </c>
    </row>
    <row r="17" spans="1:30" x14ac:dyDescent="0.2">
      <c r="A17">
        <v>11</v>
      </c>
      <c r="C17" s="19">
        <f t="shared" si="0"/>
        <v>3.7900000000000003E-2</v>
      </c>
      <c r="E17" s="23">
        <f t="shared" si="10"/>
        <v>415.76940584091977</v>
      </c>
      <c r="F17" s="23">
        <f t="shared" si="4"/>
        <v>246.52561959168369</v>
      </c>
      <c r="G17" s="23">
        <f t="shared" si="5"/>
        <v>185.26543351196619</v>
      </c>
      <c r="H17" s="23">
        <f t="shared" si="11"/>
        <v>152.43954105542974</v>
      </c>
      <c r="I17" s="15">
        <f t="shared" si="6"/>
        <v>999.99999999999932</v>
      </c>
      <c r="K17" s="15">
        <f t="shared" si="12"/>
        <v>662.29502543260344</v>
      </c>
      <c r="L17" s="15">
        <f t="shared" si="13"/>
        <v>579.87515024263655</v>
      </c>
      <c r="M17" s="15">
        <f t="shared" si="14"/>
        <v>453.63613889426534</v>
      </c>
      <c r="N17" s="15">
        <f t="shared" si="15"/>
        <v>397.18299865679785</v>
      </c>
      <c r="O17" s="15"/>
      <c r="P17" s="18">
        <f t="shared" si="16"/>
        <v>947461.56169551099</v>
      </c>
      <c r="Q17" s="18">
        <f t="shared" si="17"/>
        <v>36978.842938752547</v>
      </c>
      <c r="R17" s="18">
        <f t="shared" si="18"/>
        <v>984440.40463426348</v>
      </c>
      <c r="S17" s="18">
        <f t="shared" si="19"/>
        <v>674288.23557612579</v>
      </c>
      <c r="T17" s="18"/>
      <c r="V17" s="15">
        <f t="shared" si="20"/>
        <v>662.29502543260344</v>
      </c>
      <c r="W17" s="15">
        <f t="shared" si="7"/>
        <v>579.87515024263655</v>
      </c>
      <c r="X17" s="15">
        <f t="shared" si="1"/>
        <v>453.63613889426534</v>
      </c>
      <c r="Y17" s="15">
        <f t="shared" si="2"/>
        <v>397.18299865679785</v>
      </c>
      <c r="AA17" s="18">
        <f t="shared" si="8"/>
        <v>947461.56169551099</v>
      </c>
      <c r="AB17" s="48">
        <f t="shared" si="21"/>
        <v>36978.842938752547</v>
      </c>
      <c r="AC17" s="48">
        <f t="shared" si="9"/>
        <v>984440.40463426348</v>
      </c>
      <c r="AD17" s="18">
        <f t="shared" si="3"/>
        <v>674288.23557612579</v>
      </c>
    </row>
    <row r="18" spans="1:30" x14ac:dyDescent="0.2">
      <c r="A18">
        <v>12</v>
      </c>
      <c r="C18" s="19">
        <f t="shared" si="0"/>
        <v>3.7900000000000003E-2</v>
      </c>
      <c r="E18" s="23">
        <f t="shared" si="10"/>
        <v>350.1194166586385</v>
      </c>
      <c r="F18" s="23">
        <f t="shared" si="4"/>
        <v>250.09578437131665</v>
      </c>
      <c r="G18" s="23">
        <f t="shared" si="5"/>
        <v>222.24427645071876</v>
      </c>
      <c r="H18" s="23">
        <f t="shared" si="11"/>
        <v>177.54052251932541</v>
      </c>
      <c r="I18" s="15">
        <f t="shared" si="6"/>
        <v>999.99999999999932</v>
      </c>
      <c r="K18" s="15">
        <f t="shared" si="12"/>
        <v>600.2152010299551</v>
      </c>
      <c r="L18" s="15">
        <f t="shared" si="13"/>
        <v>520.18528410419401</v>
      </c>
      <c r="M18" s="15">
        <f t="shared" si="14"/>
        <v>397.21239542087631</v>
      </c>
      <c r="N18" s="15">
        <f t="shared" si="15"/>
        <v>344.24993303594113</v>
      </c>
      <c r="O18" s="15"/>
      <c r="P18" s="18">
        <f t="shared" si="16"/>
        <v>925347.06144326925</v>
      </c>
      <c r="Q18" s="18">
        <f t="shared" si="17"/>
        <v>37514.367655697497</v>
      </c>
      <c r="R18" s="18">
        <f t="shared" si="18"/>
        <v>962861.42909896676</v>
      </c>
      <c r="S18" s="18">
        <f t="shared" si="19"/>
        <v>637205.61234449851</v>
      </c>
      <c r="T18" s="18"/>
      <c r="V18" s="15">
        <f t="shared" si="20"/>
        <v>600.2152010299551</v>
      </c>
      <c r="W18" s="15">
        <f t="shared" si="7"/>
        <v>520.18528410419401</v>
      </c>
      <c r="X18" s="15">
        <f t="shared" si="1"/>
        <v>397.21239542087631</v>
      </c>
      <c r="Y18" s="15">
        <f t="shared" si="2"/>
        <v>344.24993303594113</v>
      </c>
      <c r="AA18" s="18">
        <f t="shared" si="8"/>
        <v>925347.06144326925</v>
      </c>
      <c r="AB18" s="48">
        <f t="shared" si="21"/>
        <v>37514.367655697497</v>
      </c>
      <c r="AC18" s="48">
        <f t="shared" si="9"/>
        <v>962861.42909896676</v>
      </c>
      <c r="AD18" s="18">
        <f t="shared" si="3"/>
        <v>637205.61234449851</v>
      </c>
    </row>
    <row r="19" spans="1:30" x14ac:dyDescent="0.2">
      <c r="A19">
        <v>13</v>
      </c>
      <c r="C19" s="19">
        <f t="shared" si="0"/>
        <v>3.7900000000000003E-2</v>
      </c>
      <c r="E19" s="23">
        <f t="shared" si="10"/>
        <v>291.33436660165307</v>
      </c>
      <c r="F19" s="23">
        <f t="shared" si="4"/>
        <v>248.61831065356927</v>
      </c>
      <c r="G19" s="23">
        <f t="shared" si="5"/>
        <v>259.75864410641623</v>
      </c>
      <c r="H19" s="23">
        <f t="shared" si="11"/>
        <v>200.28867863836072</v>
      </c>
      <c r="I19" s="15">
        <f t="shared" si="6"/>
        <v>999.99999999999932</v>
      </c>
      <c r="K19" s="15">
        <f t="shared" si="12"/>
        <v>539.9526772552224</v>
      </c>
      <c r="L19" s="15">
        <f t="shared" si="13"/>
        <v>463.23138126174734</v>
      </c>
      <c r="M19" s="15">
        <f t="shared" si="14"/>
        <v>345.24798422609342</v>
      </c>
      <c r="N19" s="15">
        <f t="shared" si="15"/>
        <v>296.19206894920603</v>
      </c>
      <c r="O19" s="15"/>
      <c r="P19" s="18">
        <f t="shared" si="16"/>
        <v>891522.11526153423</v>
      </c>
      <c r="Q19" s="18">
        <f t="shared" si="17"/>
        <v>37292.746598035388</v>
      </c>
      <c r="R19" s="18">
        <f t="shared" si="18"/>
        <v>928814.86185956956</v>
      </c>
      <c r="S19" s="18">
        <f t="shared" si="19"/>
        <v>593888.07998201717</v>
      </c>
      <c r="T19" s="18"/>
      <c r="V19" s="15">
        <f t="shared" si="20"/>
        <v>539.9526772552224</v>
      </c>
      <c r="W19" s="15">
        <f t="shared" si="7"/>
        <v>463.23138126174734</v>
      </c>
      <c r="X19" s="15">
        <f t="shared" si="1"/>
        <v>345.24798422609342</v>
      </c>
      <c r="Y19" s="15">
        <f t="shared" si="2"/>
        <v>296.19206894920603</v>
      </c>
      <c r="AA19" s="18">
        <f t="shared" si="8"/>
        <v>891522.11526153423</v>
      </c>
      <c r="AB19" s="48">
        <f t="shared" si="21"/>
        <v>37292.746598035388</v>
      </c>
      <c r="AC19" s="48">
        <f t="shared" si="9"/>
        <v>928814.86185956956</v>
      </c>
      <c r="AD19" s="18">
        <f t="shared" si="3"/>
        <v>593888.07998201717</v>
      </c>
    </row>
    <row r="20" spans="1:30" x14ac:dyDescent="0.2">
      <c r="A20">
        <v>14</v>
      </c>
      <c r="C20" s="19">
        <f t="shared" si="0"/>
        <v>3.7900000000000003E-2</v>
      </c>
      <c r="E20" s="23">
        <f t="shared" si="10"/>
        <v>239.50598278321897</v>
      </c>
      <c r="F20" s="23">
        <f t="shared" si="4"/>
        <v>242.68974140599499</v>
      </c>
      <c r="G20" s="23">
        <f t="shared" si="5"/>
        <v>297.05139070445159</v>
      </c>
      <c r="H20" s="23">
        <f t="shared" si="11"/>
        <v>220.75288510633365</v>
      </c>
      <c r="I20" s="15">
        <f t="shared" si="6"/>
        <v>999.9999999999992</v>
      </c>
      <c r="K20" s="15">
        <f t="shared" si="12"/>
        <v>482.19572418921393</v>
      </c>
      <c r="L20" s="15">
        <f t="shared" si="13"/>
        <v>409.54798969855426</v>
      </c>
      <c r="M20" s="15">
        <f t="shared" si="14"/>
        <v>297.89173775336945</v>
      </c>
      <c r="N20" s="15">
        <f t="shared" si="15"/>
        <v>253.01129028018528</v>
      </c>
      <c r="O20" s="15"/>
      <c r="P20" s="18">
        <f t="shared" si="16"/>
        <v>847822.21560959448</v>
      </c>
      <c r="Q20" s="18">
        <f t="shared" si="17"/>
        <v>36403.461210899244</v>
      </c>
      <c r="R20" s="18">
        <f t="shared" si="18"/>
        <v>884225.67682049377</v>
      </c>
      <c r="S20" s="18">
        <f t="shared" si="19"/>
        <v>546258.52163476753</v>
      </c>
      <c r="T20" s="18"/>
      <c r="V20" s="15">
        <f t="shared" si="20"/>
        <v>482.19572418921393</v>
      </c>
      <c r="W20" s="15">
        <f t="shared" si="7"/>
        <v>409.54798969855426</v>
      </c>
      <c r="X20" s="15">
        <f t="shared" si="1"/>
        <v>297.89173775336945</v>
      </c>
      <c r="Y20" s="15">
        <f t="shared" si="2"/>
        <v>253.01129028018528</v>
      </c>
      <c r="AA20" s="18">
        <f t="shared" si="8"/>
        <v>847822.21560959448</v>
      </c>
      <c r="AB20" s="48">
        <f t="shared" si="21"/>
        <v>36403.461210899244</v>
      </c>
      <c r="AC20" s="48">
        <f t="shared" si="9"/>
        <v>884225.67682049377</v>
      </c>
      <c r="AD20" s="18">
        <f t="shared" si="3"/>
        <v>546258.52163476753</v>
      </c>
    </row>
    <row r="21" spans="1:30" x14ac:dyDescent="0.2">
      <c r="A21">
        <v>15</v>
      </c>
      <c r="C21" s="19">
        <f t="shared" si="0"/>
        <v>3.7900000000000003E-2</v>
      </c>
      <c r="E21" s="23">
        <f t="shared" si="10"/>
        <v>194.50280861825212</v>
      </c>
      <c r="F21" s="23">
        <f t="shared" si="4"/>
        <v>233.01423641329137</v>
      </c>
      <c r="G21" s="23">
        <f t="shared" si="5"/>
        <v>333.45485191535084</v>
      </c>
      <c r="H21" s="23">
        <f t="shared" si="11"/>
        <v>239.02810305310487</v>
      </c>
      <c r="I21" s="15">
        <f t="shared" si="6"/>
        <v>999.99999999999909</v>
      </c>
      <c r="K21" s="15">
        <f t="shared" si="12"/>
        <v>427.51704503154349</v>
      </c>
      <c r="L21" s="15">
        <f t="shared" si="13"/>
        <v>359.538345497308</v>
      </c>
      <c r="M21" s="15">
        <f t="shared" si="14"/>
        <v>255.18091348152657</v>
      </c>
      <c r="N21" s="15">
        <f t="shared" si="15"/>
        <v>214.60506546322702</v>
      </c>
      <c r="O21" s="15"/>
      <c r="P21" s="18">
        <f t="shared" si="16"/>
        <v>796294.11354900023</v>
      </c>
      <c r="Q21" s="18">
        <f t="shared" si="17"/>
        <v>34952.135461993705</v>
      </c>
      <c r="R21" s="18">
        <f t="shared" si="18"/>
        <v>831246.24901099398</v>
      </c>
      <c r="S21" s="18">
        <f t="shared" si="19"/>
        <v>496163.08780172083</v>
      </c>
      <c r="T21" s="18"/>
      <c r="V21" s="15">
        <f t="shared" si="20"/>
        <v>427.51704503154349</v>
      </c>
      <c r="W21" s="15">
        <f t="shared" si="7"/>
        <v>359.538345497308</v>
      </c>
      <c r="X21" s="15">
        <f t="shared" si="1"/>
        <v>255.18091348152657</v>
      </c>
      <c r="Y21" s="15">
        <f t="shared" si="2"/>
        <v>214.60506546322702</v>
      </c>
      <c r="AA21" s="18">
        <f t="shared" si="8"/>
        <v>796294.11354900023</v>
      </c>
      <c r="AB21" s="48">
        <f t="shared" si="21"/>
        <v>34952.135461993705</v>
      </c>
      <c r="AC21" s="48">
        <f t="shared" si="9"/>
        <v>831246.24901099398</v>
      </c>
      <c r="AD21" s="18">
        <f t="shared" si="3"/>
        <v>496163.08780172083</v>
      </c>
    </row>
    <row r="22" spans="1:30" x14ac:dyDescent="0.2">
      <c r="A22">
        <v>16</v>
      </c>
      <c r="C22" s="19">
        <f t="shared" si="0"/>
        <v>3.7900000000000003E-2</v>
      </c>
      <c r="E22" s="23">
        <f t="shared" si="10"/>
        <v>156.01070279270002</v>
      </c>
      <c r="F22" s="23">
        <f t="shared" si="4"/>
        <v>220.35131077015424</v>
      </c>
      <c r="G22" s="23">
        <f t="shared" si="5"/>
        <v>368.40698737734454</v>
      </c>
      <c r="H22" s="23">
        <f t="shared" si="11"/>
        <v>255.23099905980038</v>
      </c>
      <c r="I22" s="15">
        <f t="shared" si="6"/>
        <v>999.9999999999992</v>
      </c>
      <c r="K22" s="15">
        <f t="shared" si="12"/>
        <v>376.36201356285426</v>
      </c>
      <c r="L22" s="15">
        <f t="shared" si="13"/>
        <v>313.47365073068067</v>
      </c>
      <c r="M22" s="15">
        <f t="shared" si="14"/>
        <v>217.05019816657909</v>
      </c>
      <c r="N22" s="15">
        <f t="shared" si="15"/>
        <v>180.78210754320006</v>
      </c>
      <c r="O22" s="15"/>
      <c r="P22" s="18">
        <f t="shared" si="16"/>
        <v>739059.28370681265</v>
      </c>
      <c r="Q22" s="18">
        <f t="shared" si="17"/>
        <v>33052.696615523135</v>
      </c>
      <c r="R22" s="18">
        <f t="shared" si="18"/>
        <v>772111.98032233585</v>
      </c>
      <c r="S22" s="18">
        <f t="shared" si="19"/>
        <v>445281.54355770274</v>
      </c>
      <c r="T22" s="18"/>
      <c r="V22" s="15">
        <f t="shared" si="20"/>
        <v>376.36201356285426</v>
      </c>
      <c r="W22" s="15">
        <f t="shared" si="7"/>
        <v>313.47365073068067</v>
      </c>
      <c r="X22" s="15">
        <f t="shared" si="1"/>
        <v>217.05019816657909</v>
      </c>
      <c r="Y22" s="15">
        <f t="shared" si="2"/>
        <v>180.78210754320006</v>
      </c>
      <c r="AA22" s="18">
        <f t="shared" si="8"/>
        <v>739059.28370681265</v>
      </c>
      <c r="AB22" s="48">
        <f t="shared" si="21"/>
        <v>33052.696615523135</v>
      </c>
      <c r="AC22" s="48">
        <f t="shared" si="9"/>
        <v>772111.98032233585</v>
      </c>
      <c r="AD22" s="18">
        <f t="shared" si="3"/>
        <v>445281.54355770274</v>
      </c>
    </row>
    <row r="23" spans="1:30" x14ac:dyDescent="0.2">
      <c r="A23">
        <v>17</v>
      </c>
      <c r="C23" s="19">
        <f t="shared" si="0"/>
        <v>3.7900000000000003E-2</v>
      </c>
      <c r="E23" s="23">
        <f t="shared" si="10"/>
        <v>123.57607768209768</v>
      </c>
      <c r="F23" s="23">
        <f t="shared" si="4"/>
        <v>205.46911895120127</v>
      </c>
      <c r="G23" s="23">
        <f t="shared" si="5"/>
        <v>401.45968399286767</v>
      </c>
      <c r="H23" s="23">
        <f t="shared" si="11"/>
        <v>269.49511937383255</v>
      </c>
      <c r="I23" s="15">
        <f t="shared" si="6"/>
        <v>999.99999999999909</v>
      </c>
      <c r="K23" s="15">
        <f t="shared" si="12"/>
        <v>329.04519663329893</v>
      </c>
      <c r="L23" s="15">
        <f t="shared" si="13"/>
        <v>271.49911301139372</v>
      </c>
      <c r="M23" s="15">
        <f t="shared" si="14"/>
        <v>183.34522716886781</v>
      </c>
      <c r="N23" s="15">
        <f t="shared" si="15"/>
        <v>151.28033188308399</v>
      </c>
      <c r="O23" s="15"/>
      <c r="P23" s="18">
        <f t="shared" si="16"/>
        <v>678195.39569465269</v>
      </c>
      <c r="Q23" s="18">
        <f t="shared" si="17"/>
        <v>30820.367842680189</v>
      </c>
      <c r="R23" s="18">
        <f t="shared" si="18"/>
        <v>709015.76353733288</v>
      </c>
      <c r="S23" s="18">
        <f t="shared" si="19"/>
        <v>395066.26312169444</v>
      </c>
      <c r="T23" s="18"/>
      <c r="V23" s="15">
        <f t="shared" si="20"/>
        <v>329.04519663329893</v>
      </c>
      <c r="W23" s="15">
        <f t="shared" si="7"/>
        <v>271.49911301139372</v>
      </c>
      <c r="X23" s="15">
        <f t="shared" si="1"/>
        <v>183.34522716886781</v>
      </c>
      <c r="Y23" s="15">
        <f t="shared" si="2"/>
        <v>151.28033188308399</v>
      </c>
      <c r="AA23" s="18">
        <f t="shared" si="8"/>
        <v>678195.39569465269</v>
      </c>
      <c r="AB23" s="48">
        <f t="shared" si="21"/>
        <v>30820.367842680189</v>
      </c>
      <c r="AC23" s="48">
        <f t="shared" si="9"/>
        <v>709015.76353733288</v>
      </c>
      <c r="AD23" s="18">
        <f t="shared" si="3"/>
        <v>395066.26312169444</v>
      </c>
    </row>
    <row r="24" spans="1:30" x14ac:dyDescent="0.2">
      <c r="A24">
        <v>18</v>
      </c>
      <c r="C24" s="19">
        <f t="shared" si="0"/>
        <v>3.7900000000000003E-2</v>
      </c>
      <c r="E24" s="23">
        <f t="shared" si="10"/>
        <v>96.648850355168591</v>
      </c>
      <c r="F24" s="23">
        <f t="shared" si="4"/>
        <v>189.10516548304813</v>
      </c>
      <c r="G24" s="23">
        <f t="shared" si="5"/>
        <v>432.28005183554785</v>
      </c>
      <c r="H24" s="23">
        <f t="shared" si="11"/>
        <v>281.96593232623457</v>
      </c>
      <c r="I24" s="15">
        <f t="shared" si="6"/>
        <v>999.9999999999992</v>
      </c>
      <c r="K24" s="15">
        <f t="shared" si="12"/>
        <v>285.75401583821673</v>
      </c>
      <c r="L24" s="15">
        <f t="shared" si="13"/>
        <v>233.64528194969625</v>
      </c>
      <c r="M24" s="15">
        <f t="shared" si="14"/>
        <v>153.83885759774148</v>
      </c>
      <c r="N24" s="15">
        <f t="shared" si="15"/>
        <v>125.78554024099341</v>
      </c>
      <c r="O24" s="15"/>
      <c r="P24" s="18">
        <f t="shared" si="16"/>
        <v>615639.92162672861</v>
      </c>
      <c r="Q24" s="18">
        <f t="shared" si="17"/>
        <v>28365.774822457221</v>
      </c>
      <c r="R24" s="18">
        <f t="shared" si="18"/>
        <v>644005.69644918584</v>
      </c>
      <c r="S24" s="18">
        <f t="shared" si="19"/>
        <v>346707.64061727875</v>
      </c>
      <c r="T24" s="18"/>
      <c r="V24" s="15">
        <f t="shared" si="20"/>
        <v>285.75401583821673</v>
      </c>
      <c r="W24" s="15">
        <f t="shared" si="7"/>
        <v>233.64528194969625</v>
      </c>
      <c r="X24" s="15">
        <f t="shared" si="1"/>
        <v>153.83885759774148</v>
      </c>
      <c r="Y24" s="15">
        <f t="shared" si="2"/>
        <v>125.78554024099341</v>
      </c>
      <c r="AA24" s="18">
        <f t="shared" si="8"/>
        <v>615639.92162672861</v>
      </c>
      <c r="AB24" s="48">
        <f t="shared" si="21"/>
        <v>28365.774822457221</v>
      </c>
      <c r="AC24" s="48">
        <f t="shared" si="9"/>
        <v>644005.69644918584</v>
      </c>
      <c r="AD24" s="18">
        <f t="shared" si="3"/>
        <v>346707.64061727875</v>
      </c>
    </row>
    <row r="25" spans="1:30" x14ac:dyDescent="0.2">
      <c r="A25">
        <v>19</v>
      </c>
      <c r="C25" s="19">
        <f t="shared" si="0"/>
        <v>3.7900000000000003E-2</v>
      </c>
      <c r="E25" s="23">
        <f t="shared" si="10"/>
        <v>74.622577359225673</v>
      </c>
      <c r="F25" s="23">
        <f t="shared" si="4"/>
        <v>171.93558645626541</v>
      </c>
      <c r="G25" s="23">
        <f t="shared" si="5"/>
        <v>460.64582665800509</v>
      </c>
      <c r="H25" s="23">
        <f t="shared" si="11"/>
        <v>292.79600952650298</v>
      </c>
      <c r="I25" s="15">
        <f t="shared" si="6"/>
        <v>999.99999999999909</v>
      </c>
      <c r="K25" s="15">
        <f t="shared" si="12"/>
        <v>246.55816381549107</v>
      </c>
      <c r="L25" s="15">
        <f t="shared" si="13"/>
        <v>199.84313833346346</v>
      </c>
      <c r="M25" s="15">
        <f t="shared" si="14"/>
        <v>128.24863191994334</v>
      </c>
      <c r="N25" s="15">
        <f t="shared" si="15"/>
        <v>103.94954558890328</v>
      </c>
      <c r="O25" s="15"/>
      <c r="P25" s="18">
        <f t="shared" si="16"/>
        <v>553118.04804840905</v>
      </c>
      <c r="Q25" s="18">
        <f t="shared" si="17"/>
        <v>25790.33796843981</v>
      </c>
      <c r="R25" s="18">
        <f t="shared" si="18"/>
        <v>578908.38601684885</v>
      </c>
      <c r="S25" s="18">
        <f t="shared" si="19"/>
        <v>301122.49119929003</v>
      </c>
      <c r="T25" s="18"/>
      <c r="V25" s="15">
        <f t="shared" si="20"/>
        <v>246.55816381549107</v>
      </c>
      <c r="W25" s="15">
        <f t="shared" si="7"/>
        <v>199.84313833346346</v>
      </c>
      <c r="X25" s="15">
        <f t="shared" si="1"/>
        <v>128.24863191994334</v>
      </c>
      <c r="Y25" s="15">
        <f t="shared" si="2"/>
        <v>103.94954558890328</v>
      </c>
      <c r="AA25" s="18">
        <f t="shared" si="8"/>
        <v>553118.04804840905</v>
      </c>
      <c r="AB25" s="48">
        <f t="shared" si="21"/>
        <v>25790.33796843981</v>
      </c>
      <c r="AC25" s="48">
        <f t="shared" si="9"/>
        <v>578908.38601684885</v>
      </c>
      <c r="AD25" s="18">
        <f t="shared" si="3"/>
        <v>301122.49119929003</v>
      </c>
    </row>
    <row r="26" spans="1:30" x14ac:dyDescent="0.2">
      <c r="A26">
        <v>20</v>
      </c>
      <c r="C26" s="19">
        <f t="shared" si="0"/>
        <v>9.1200000000000003E-2</v>
      </c>
      <c r="E26" s="23">
        <f t="shared" si="10"/>
        <v>56.869866205465883</v>
      </c>
      <c r="F26" s="23">
        <f t="shared" si="4"/>
        <v>154.55340523297826</v>
      </c>
      <c r="G26" s="23">
        <f t="shared" si="5"/>
        <v>486.43616462644491</v>
      </c>
      <c r="H26" s="23">
        <f t="shared" si="11"/>
        <v>302.14056393511009</v>
      </c>
      <c r="I26" s="15">
        <f t="shared" si="6"/>
        <v>999.99999999999909</v>
      </c>
      <c r="K26" s="15">
        <f t="shared" si="12"/>
        <v>211.42327143844415</v>
      </c>
      <c r="L26" s="15">
        <f t="shared" si="13"/>
        <v>169.94142681992628</v>
      </c>
      <c r="M26" s="15">
        <f t="shared" si="14"/>
        <v>106.25412339989886</v>
      </c>
      <c r="N26" s="15">
        <f t="shared" si="15"/>
        <v>85.406763471336291</v>
      </c>
      <c r="O26" s="15"/>
      <c r="P26" s="18">
        <f t="shared" si="16"/>
        <v>492095.14880166773</v>
      </c>
      <c r="Q26" s="18">
        <f t="shared" si="17"/>
        <v>23183.010784946739</v>
      </c>
      <c r="R26" s="18">
        <f t="shared" si="18"/>
        <v>515278.15958661446</v>
      </c>
      <c r="S26" s="18">
        <f t="shared" si="19"/>
        <v>258961.22400097043</v>
      </c>
      <c r="T26" s="18"/>
      <c r="V26" s="15">
        <f t="shared" si="20"/>
        <v>211.42327143844415</v>
      </c>
      <c r="W26" s="15">
        <f t="shared" si="7"/>
        <v>169.94142681992628</v>
      </c>
      <c r="X26" s="15">
        <f t="shared" si="1"/>
        <v>106.25412339989886</v>
      </c>
      <c r="Y26" s="15">
        <f t="shared" si="2"/>
        <v>85.406763471336291</v>
      </c>
      <c r="AA26" s="18">
        <f t="shared" si="8"/>
        <v>492095.14880166773</v>
      </c>
      <c r="AB26" s="48">
        <f t="shared" si="21"/>
        <v>23183.010784946739</v>
      </c>
      <c r="AC26" s="48">
        <f t="shared" si="9"/>
        <v>515278.15958661446</v>
      </c>
      <c r="AD26" s="18">
        <f t="shared" si="3"/>
        <v>258961.22400097043</v>
      </c>
    </row>
    <row r="27" spans="1:30" x14ac:dyDescent="0.2">
      <c r="A27">
        <v>21</v>
      </c>
      <c r="C27" s="19">
        <f t="shared" si="0"/>
        <v>9.1200000000000003E-2</v>
      </c>
      <c r="E27" s="23">
        <f t="shared" si="10"/>
        <v>39.740662504379564</v>
      </c>
      <c r="F27" s="23">
        <f t="shared" si="4"/>
        <v>129.21779579393171</v>
      </c>
      <c r="G27" s="23">
        <f t="shared" si="5"/>
        <v>509.61917541139167</v>
      </c>
      <c r="H27" s="23">
        <f t="shared" si="11"/>
        <v>321.42236629029617</v>
      </c>
      <c r="I27" s="15">
        <f t="shared" si="6"/>
        <v>999.99999999999909</v>
      </c>
      <c r="K27" s="15">
        <f t="shared" si="12"/>
        <v>168.95845829831129</v>
      </c>
      <c r="L27" s="15">
        <f t="shared" si="13"/>
        <v>134.66697622460936</v>
      </c>
      <c r="M27" s="15">
        <f t="shared" si="14"/>
        <v>82.041311137103733</v>
      </c>
      <c r="N27" s="15">
        <f t="shared" si="15"/>
        <v>65.390365227110706</v>
      </c>
      <c r="O27" s="15"/>
      <c r="P27" s="18">
        <f t="shared" si="16"/>
        <v>407523.71863398491</v>
      </c>
      <c r="Q27" s="18">
        <f t="shared" si="17"/>
        <v>19382.669369089759</v>
      </c>
      <c r="R27" s="18">
        <f t="shared" si="18"/>
        <v>426906.38800307468</v>
      </c>
      <c r="S27" s="18">
        <f t="shared" si="19"/>
        <v>207293.32024762823</v>
      </c>
      <c r="T27" s="18"/>
      <c r="V27" s="15">
        <f t="shared" si="20"/>
        <v>168.95845829831129</v>
      </c>
      <c r="W27" s="15">
        <f t="shared" si="7"/>
        <v>134.66697622460936</v>
      </c>
      <c r="X27" s="15">
        <f t="shared" si="1"/>
        <v>82.041311137103733</v>
      </c>
      <c r="Y27" s="15">
        <f t="shared" si="2"/>
        <v>65.390365227110706</v>
      </c>
      <c r="AA27" s="18">
        <f t="shared" si="8"/>
        <v>407523.71863398491</v>
      </c>
      <c r="AB27" s="48">
        <f t="shared" si="21"/>
        <v>19382.669369089759</v>
      </c>
      <c r="AC27" s="48">
        <f t="shared" si="9"/>
        <v>426906.38800307468</v>
      </c>
      <c r="AD27" s="18">
        <f t="shared" si="3"/>
        <v>207293.32024762823</v>
      </c>
    </row>
    <row r="28" spans="1:30" x14ac:dyDescent="0.2">
      <c r="A28">
        <v>22</v>
      </c>
      <c r="C28" s="19">
        <f t="shared" si="0"/>
        <v>9.1200000000000003E-2</v>
      </c>
      <c r="E28" s="23">
        <f t="shared" si="10"/>
        <v>27.373368333016646</v>
      </c>
      <c r="F28" s="23">
        <f t="shared" si="4"/>
        <v>106.79340919939888</v>
      </c>
      <c r="G28" s="23">
        <f t="shared" si="5"/>
        <v>529.00184478048141</v>
      </c>
      <c r="H28" s="23">
        <f t="shared" si="11"/>
        <v>336.83137768710219</v>
      </c>
      <c r="I28" s="15">
        <f t="shared" si="6"/>
        <v>999.99999999999909</v>
      </c>
      <c r="K28" s="15">
        <f t="shared" si="12"/>
        <v>134.16677753241552</v>
      </c>
      <c r="L28" s="15">
        <f t="shared" si="13"/>
        <v>106.09975681591497</v>
      </c>
      <c r="M28" s="15">
        <f t="shared" si="14"/>
        <v>62.944428305842017</v>
      </c>
      <c r="N28" s="15">
        <f t="shared" si="15"/>
        <v>49.776767833252109</v>
      </c>
      <c r="O28" s="15"/>
      <c r="P28" s="18">
        <f t="shared" si="16"/>
        <v>334066.91176470497</v>
      </c>
      <c r="Q28" s="18">
        <f t="shared" si="17"/>
        <v>16019.011379909831</v>
      </c>
      <c r="R28" s="18">
        <f t="shared" si="18"/>
        <v>350085.92314461479</v>
      </c>
      <c r="S28" s="18">
        <f t="shared" si="19"/>
        <v>164243.03166211696</v>
      </c>
      <c r="T28" s="18"/>
      <c r="V28" s="15">
        <f t="shared" si="20"/>
        <v>134.16677753241552</v>
      </c>
      <c r="W28" s="15">
        <f t="shared" si="7"/>
        <v>106.09975681591497</v>
      </c>
      <c r="X28" s="15">
        <f t="shared" si="1"/>
        <v>62.944428305842017</v>
      </c>
      <c r="Y28" s="15">
        <f t="shared" si="2"/>
        <v>49.776767833252109</v>
      </c>
      <c r="AA28" s="18">
        <f t="shared" si="8"/>
        <v>334066.91176470497</v>
      </c>
      <c r="AB28" s="48">
        <f t="shared" si="21"/>
        <v>16019.011379909831</v>
      </c>
      <c r="AC28" s="48">
        <f t="shared" si="9"/>
        <v>350085.92314461479</v>
      </c>
      <c r="AD28" s="18">
        <f t="shared" si="3"/>
        <v>164243.03166211696</v>
      </c>
    </row>
    <row r="29" spans="1:30" x14ac:dyDescent="0.2">
      <c r="A29">
        <v>23</v>
      </c>
      <c r="C29" s="19">
        <f t="shared" si="0"/>
        <v>9.1200000000000003E-2</v>
      </c>
      <c r="E29" s="23">
        <f t="shared" si="10"/>
        <v>18.581042424451702</v>
      </c>
      <c r="F29" s="23">
        <f t="shared" si="4"/>
        <v>87.330713617097686</v>
      </c>
      <c r="G29" s="23">
        <f t="shared" si="5"/>
        <v>545.02085616039119</v>
      </c>
      <c r="H29" s="23">
        <f t="shared" si="11"/>
        <v>349.06738779805846</v>
      </c>
      <c r="I29" s="15">
        <f t="shared" si="6"/>
        <v>999.99999999999909</v>
      </c>
      <c r="K29" s="15">
        <f t="shared" si="12"/>
        <v>105.91175604154938</v>
      </c>
      <c r="L29" s="15">
        <f t="shared" si="13"/>
        <v>83.150025516052381</v>
      </c>
      <c r="M29" s="15">
        <f t="shared" si="14"/>
        <v>48.008277440942862</v>
      </c>
      <c r="N29" s="15">
        <f t="shared" si="15"/>
        <v>37.690711998298802</v>
      </c>
      <c r="O29" s="15"/>
      <c r="P29" s="18">
        <f t="shared" si="16"/>
        <v>271282.66206351889</v>
      </c>
      <c r="Q29" s="18">
        <f t="shared" si="17"/>
        <v>13099.607042564652</v>
      </c>
      <c r="R29" s="18">
        <f>P29+Q29</f>
        <v>284382.26910608355</v>
      </c>
      <c r="S29" s="18">
        <f t="shared" si="19"/>
        <v>128906.39703088062</v>
      </c>
      <c r="T29" s="18"/>
      <c r="V29" s="15">
        <f t="shared" si="20"/>
        <v>105.91175604154938</v>
      </c>
      <c r="W29" s="15">
        <f t="shared" si="7"/>
        <v>83.150025516052381</v>
      </c>
      <c r="X29" s="15">
        <f t="shared" si="1"/>
        <v>48.008277440942862</v>
      </c>
      <c r="Y29" s="15">
        <f t="shared" si="2"/>
        <v>37.690711998298802</v>
      </c>
      <c r="AA29" s="18">
        <f t="shared" si="8"/>
        <v>271282.66206351889</v>
      </c>
      <c r="AB29" s="48">
        <f t="shared" si="21"/>
        <v>13099.607042564652</v>
      </c>
      <c r="AC29" s="48">
        <f t="shared" si="9"/>
        <v>284382.26910608355</v>
      </c>
      <c r="AD29" s="18">
        <f t="shared" si="3"/>
        <v>128906.39703088062</v>
      </c>
    </row>
    <row r="30" spans="1:30" x14ac:dyDescent="0.2">
      <c r="A30">
        <v>24</v>
      </c>
      <c r="C30" s="19">
        <f t="shared" si="0"/>
        <v>9.1200000000000003E-2</v>
      </c>
      <c r="E30" s="23">
        <f t="shared" si="10"/>
        <v>12.4270011734733</v>
      </c>
      <c r="F30" s="23">
        <f t="shared" si="4"/>
        <v>70.725995674522125</v>
      </c>
      <c r="G30" s="23">
        <f t="shared" si="5"/>
        <v>558.12046320295588</v>
      </c>
      <c r="H30" s="23">
        <f t="shared" si="11"/>
        <v>358.72653994904778</v>
      </c>
      <c r="I30" s="15">
        <f t="shared" si="6"/>
        <v>999.99999999999909</v>
      </c>
      <c r="K30" s="15">
        <f t="shared" si="12"/>
        <v>83.152996847995425</v>
      </c>
      <c r="L30" s="15">
        <f t="shared" si="13"/>
        <v>64.850147870691231</v>
      </c>
      <c r="M30" s="15">
        <f t="shared" si="14"/>
        <v>36.417448174281347</v>
      </c>
      <c r="N30" s="15">
        <f t="shared" si="15"/>
        <v>28.40158489407845</v>
      </c>
      <c r="O30" s="15"/>
      <c r="P30" s="18">
        <f t="shared" si="16"/>
        <v>218391.48761030304</v>
      </c>
      <c r="Q30" s="18">
        <f t="shared" si="17"/>
        <v>10608.899351178317</v>
      </c>
      <c r="R30" s="18">
        <f t="shared" ref="R30:R51" si="22">P30+Q30</f>
        <v>229000.38696148136</v>
      </c>
      <c r="S30" s="18">
        <f t="shared" si="19"/>
        <v>100292.3531343677</v>
      </c>
      <c r="T30" s="18"/>
      <c r="V30" s="15">
        <f t="shared" si="20"/>
        <v>83.152996847995425</v>
      </c>
      <c r="W30" s="15">
        <f t="shared" si="7"/>
        <v>64.850147870691231</v>
      </c>
      <c r="X30" s="15">
        <f t="shared" si="1"/>
        <v>36.417448174281347</v>
      </c>
      <c r="Y30" s="15">
        <f t="shared" si="2"/>
        <v>28.40158489407845</v>
      </c>
      <c r="AA30" s="18">
        <f t="shared" si="8"/>
        <v>218391.48761030304</v>
      </c>
      <c r="AB30" s="48">
        <f t="shared" si="21"/>
        <v>10608.899351178317</v>
      </c>
      <c r="AC30" s="48">
        <f t="shared" si="9"/>
        <v>229000.38696148136</v>
      </c>
      <c r="AD30" s="18">
        <f t="shared" si="3"/>
        <v>100292.3531343677</v>
      </c>
    </row>
    <row r="31" spans="1:30" x14ac:dyDescent="0.2">
      <c r="A31">
        <v>25</v>
      </c>
      <c r="C31" s="19">
        <f t="shared" si="0"/>
        <v>9.1200000000000003E-2</v>
      </c>
      <c r="E31" s="23">
        <f t="shared" si="10"/>
        <v>8.1869083730842114</v>
      </c>
      <c r="F31" s="23">
        <f t="shared" si="4"/>
        <v>56.773635811195703</v>
      </c>
      <c r="G31" s="23">
        <f t="shared" si="5"/>
        <v>568.72936255413424</v>
      </c>
      <c r="H31" s="23">
        <f t="shared" si="11"/>
        <v>366.31009326158494</v>
      </c>
      <c r="I31" s="15">
        <f t="shared" si="6"/>
        <v>999.99999999999909</v>
      </c>
      <c r="K31" s="15">
        <f t="shared" si="12"/>
        <v>64.960544184279911</v>
      </c>
      <c r="L31" s="15">
        <f t="shared" si="13"/>
        <v>50.35778981282678</v>
      </c>
      <c r="M31" s="15">
        <f t="shared" si="14"/>
        <v>27.487858692918127</v>
      </c>
      <c r="N31" s="15">
        <f t="shared" si="15"/>
        <v>21.308747145588566</v>
      </c>
      <c r="O31" s="15"/>
      <c r="P31" s="18">
        <f t="shared" si="16"/>
        <v>174414.3616201292</v>
      </c>
      <c r="Q31" s="18">
        <f t="shared" si="17"/>
        <v>8516.0453716793563</v>
      </c>
      <c r="R31" s="18">
        <f t="shared" si="22"/>
        <v>182930.40699180856</v>
      </c>
      <c r="S31" s="18">
        <f t="shared" si="19"/>
        <v>77406.450964517513</v>
      </c>
      <c r="T31" s="18"/>
      <c r="V31" s="15">
        <f t="shared" si="20"/>
        <v>64.960544184279911</v>
      </c>
      <c r="W31" s="15">
        <f t="shared" si="7"/>
        <v>50.35778981282678</v>
      </c>
      <c r="X31" s="15">
        <f t="shared" si="1"/>
        <v>27.487858692918127</v>
      </c>
      <c r="Y31" s="15">
        <f t="shared" si="2"/>
        <v>21.308747145588566</v>
      </c>
      <c r="AA31" s="18">
        <f t="shared" si="8"/>
        <v>174414.3616201292</v>
      </c>
      <c r="AB31" s="48">
        <f t="shared" si="21"/>
        <v>8516.0453716793563</v>
      </c>
      <c r="AC31" s="48">
        <f t="shared" si="9"/>
        <v>182930.40699180856</v>
      </c>
      <c r="AD31" s="18">
        <f t="shared" si="3"/>
        <v>77406.450964517513</v>
      </c>
    </row>
    <row r="32" spans="1:30" x14ac:dyDescent="0.2">
      <c r="A32">
        <v>26</v>
      </c>
      <c r="C32" s="19">
        <f t="shared" si="0"/>
        <v>9.1200000000000003E-2</v>
      </c>
      <c r="E32" s="23">
        <f t="shared" si="10"/>
        <v>5.311666152457037</v>
      </c>
      <c r="F32" s="23">
        <f t="shared" si="4"/>
        <v>45.208431030537191</v>
      </c>
      <c r="G32" s="23">
        <f t="shared" si="5"/>
        <v>577.24540792581365</v>
      </c>
      <c r="H32" s="23">
        <f t="shared" si="11"/>
        <v>372.23449489119128</v>
      </c>
      <c r="I32" s="15">
        <f t="shared" si="6"/>
        <v>999.9999999999992</v>
      </c>
      <c r="K32" s="15">
        <f t="shared" si="12"/>
        <v>50.520097182994228</v>
      </c>
      <c r="L32" s="15">
        <f t="shared" si="13"/>
        <v>38.952406117737084</v>
      </c>
      <c r="M32" s="15">
        <f t="shared" si="14"/>
        <v>20.654518860493962</v>
      </c>
      <c r="N32" s="15">
        <f t="shared" si="15"/>
        <v>15.925210988929798</v>
      </c>
      <c r="O32" s="15"/>
      <c r="P32" s="18">
        <f t="shared" si="16"/>
        <v>138281.12616784009</v>
      </c>
      <c r="Q32" s="18">
        <f t="shared" si="17"/>
        <v>6781.2646545805783</v>
      </c>
      <c r="R32" s="18">
        <f t="shared" si="22"/>
        <v>145062.39082242068</v>
      </c>
      <c r="S32" s="18">
        <f t="shared" si="19"/>
        <v>59306.969983394949</v>
      </c>
      <c r="T32" s="18"/>
      <c r="V32" s="15">
        <f t="shared" si="20"/>
        <v>50.520097182994228</v>
      </c>
      <c r="W32" s="15">
        <f t="shared" si="7"/>
        <v>38.952406117737084</v>
      </c>
      <c r="X32" s="15">
        <f t="shared" si="1"/>
        <v>20.654518860493962</v>
      </c>
      <c r="Y32" s="15">
        <f t="shared" si="2"/>
        <v>15.925210988929798</v>
      </c>
      <c r="AA32" s="18">
        <f t="shared" si="8"/>
        <v>138281.12616784009</v>
      </c>
      <c r="AB32" s="48">
        <f t="shared" si="21"/>
        <v>6781.2646545805783</v>
      </c>
      <c r="AC32" s="48">
        <f t="shared" si="9"/>
        <v>145062.39082242068</v>
      </c>
      <c r="AD32" s="18">
        <f t="shared" si="3"/>
        <v>59306.969983394949</v>
      </c>
    </row>
    <row r="33" spans="1:30" x14ac:dyDescent="0.2">
      <c r="A33">
        <v>27</v>
      </c>
      <c r="C33" s="19">
        <f t="shared" si="0"/>
        <v>9.1200000000000003E-2</v>
      </c>
      <c r="E33" s="23">
        <f t="shared" si="10"/>
        <v>3.3930923381895552</v>
      </c>
      <c r="F33" s="23">
        <f t="shared" si="4"/>
        <v>35.738307327135018</v>
      </c>
      <c r="G33" s="23">
        <f t="shared" si="5"/>
        <v>584.02667258039423</v>
      </c>
      <c r="H33" s="23">
        <f t="shared" si="11"/>
        <v>376.84192775428033</v>
      </c>
      <c r="I33" s="15">
        <f t="shared" si="6"/>
        <v>999.99999999999909</v>
      </c>
      <c r="K33" s="15">
        <f t="shared" si="12"/>
        <v>39.131399665324572</v>
      </c>
      <c r="L33" s="15">
        <f t="shared" si="13"/>
        <v>30.027168216631342</v>
      </c>
      <c r="M33" s="15">
        <f t="shared" si="14"/>
        <v>15.457381926581942</v>
      </c>
      <c r="N33" s="15">
        <f t="shared" si="15"/>
        <v>11.86109904751201</v>
      </c>
      <c r="O33" s="15"/>
      <c r="P33" s="18">
        <f t="shared" si="16"/>
        <v>108911.46815049983</v>
      </c>
      <c r="Q33" s="18">
        <f t="shared" si="17"/>
        <v>5360.7460990702521</v>
      </c>
      <c r="R33" s="18">
        <f t="shared" si="22"/>
        <v>114272.21424957008</v>
      </c>
      <c r="S33" s="18">
        <f t="shared" si="19"/>
        <v>45138.923584607059</v>
      </c>
      <c r="T33" s="18"/>
      <c r="V33" s="15">
        <f t="shared" si="20"/>
        <v>39.131399665324572</v>
      </c>
      <c r="W33" s="15">
        <f t="shared" si="7"/>
        <v>30.027168216631342</v>
      </c>
      <c r="X33" s="15">
        <f t="shared" si="1"/>
        <v>15.457381926581942</v>
      </c>
      <c r="Y33" s="15">
        <f t="shared" si="2"/>
        <v>11.86109904751201</v>
      </c>
      <c r="AA33" s="18">
        <f t="shared" si="8"/>
        <v>108911.46815049983</v>
      </c>
      <c r="AB33" s="48">
        <f t="shared" si="21"/>
        <v>5360.7460990702521</v>
      </c>
      <c r="AC33" s="48">
        <f t="shared" si="9"/>
        <v>114272.21424957008</v>
      </c>
      <c r="AD33" s="18">
        <f t="shared" si="3"/>
        <v>45138.923584607059</v>
      </c>
    </row>
    <row r="34" spans="1:30" x14ac:dyDescent="0.2">
      <c r="A34">
        <v>28</v>
      </c>
      <c r="C34" s="19">
        <f t="shared" si="0"/>
        <v>9.1200000000000003E-2</v>
      </c>
      <c r="E34" s="23">
        <f t="shared" si="10"/>
        <v>2.1335764622535924</v>
      </c>
      <c r="F34" s="23">
        <f t="shared" si="4"/>
        <v>28.068293454523126</v>
      </c>
      <c r="G34" s="23">
        <f t="shared" si="5"/>
        <v>589.38741867946453</v>
      </c>
      <c r="H34" s="23">
        <f t="shared" si="11"/>
        <v>380.41071140375789</v>
      </c>
      <c r="I34" s="15">
        <f t="shared" si="6"/>
        <v>999.99999999999909</v>
      </c>
      <c r="K34" s="15">
        <f t="shared" si="12"/>
        <v>30.201869916776719</v>
      </c>
      <c r="L34" s="15">
        <f t="shared" si="13"/>
        <v>23.078117730033256</v>
      </c>
      <c r="M34" s="15">
        <f t="shared" si="14"/>
        <v>11.526674741857045</v>
      </c>
      <c r="N34" s="15">
        <f t="shared" si="15"/>
        <v>8.8078637998705673</v>
      </c>
      <c r="O34" s="15"/>
      <c r="P34" s="18">
        <f t="shared" si="16"/>
        <v>85271.668594696166</v>
      </c>
      <c r="Q34" s="18">
        <f t="shared" si="17"/>
        <v>4210.2440181784687</v>
      </c>
      <c r="R34" s="18">
        <f t="shared" si="22"/>
        <v>89481.912612874628</v>
      </c>
      <c r="S34" s="18">
        <f t="shared" si="19"/>
        <v>34151.16033576904</v>
      </c>
      <c r="T34" s="18"/>
      <c r="V34" s="15">
        <f t="shared" si="20"/>
        <v>30.201869916776719</v>
      </c>
      <c r="W34" s="15">
        <f t="shared" si="7"/>
        <v>23.078117730033256</v>
      </c>
      <c r="X34" s="15">
        <f t="shared" si="1"/>
        <v>11.526674741857045</v>
      </c>
      <c r="Y34" s="15">
        <f t="shared" si="2"/>
        <v>8.8078637998705673</v>
      </c>
      <c r="AA34" s="18">
        <f t="shared" si="8"/>
        <v>85271.668594696166</v>
      </c>
      <c r="AB34" s="48">
        <f t="shared" si="21"/>
        <v>4210.2440181784687</v>
      </c>
      <c r="AC34" s="48">
        <f t="shared" si="9"/>
        <v>89481.912612874628</v>
      </c>
      <c r="AD34" s="18">
        <f t="shared" si="3"/>
        <v>34151.16033576904</v>
      </c>
    </row>
    <row r="35" spans="1:30" x14ac:dyDescent="0.2">
      <c r="A35">
        <v>29</v>
      </c>
      <c r="C35" s="19">
        <f t="shared" si="0"/>
        <v>9.1200000000000003E-2</v>
      </c>
      <c r="E35" s="23">
        <f t="shared" si="10"/>
        <v>1.3202571148425231</v>
      </c>
      <c r="F35" s="23">
        <f t="shared" si="4"/>
        <v>21.916958247345686</v>
      </c>
      <c r="G35" s="23">
        <f t="shared" si="5"/>
        <v>593.59766269764305</v>
      </c>
      <c r="H35" s="23">
        <f t="shared" si="11"/>
        <v>383.16512194016792</v>
      </c>
      <c r="I35" s="15">
        <f t="shared" si="6"/>
        <v>999.99999999999909</v>
      </c>
      <c r="K35" s="15">
        <f t="shared" si="12"/>
        <v>23.237215362188209</v>
      </c>
      <c r="L35" s="15">
        <f t="shared" si="13"/>
        <v>17.69196294460966</v>
      </c>
      <c r="M35" s="15">
        <f t="shared" si="14"/>
        <v>8.5686802915260536</v>
      </c>
      <c r="N35" s="15">
        <f t="shared" si="15"/>
        <v>6.5238786936822715</v>
      </c>
      <c r="O35" s="15"/>
      <c r="P35" s="18">
        <f t="shared" si="16"/>
        <v>66411.003299458331</v>
      </c>
      <c r="Q35" s="18">
        <f t="shared" si="17"/>
        <v>3287.5437371018529</v>
      </c>
      <c r="R35" s="18">
        <f t="shared" si="22"/>
        <v>69698.54703656018</v>
      </c>
      <c r="S35" s="18">
        <f t="shared" si="19"/>
        <v>25701.210624057116</v>
      </c>
      <c r="T35" s="18"/>
      <c r="V35" s="15">
        <f t="shared" si="20"/>
        <v>23.237215362188209</v>
      </c>
      <c r="W35" s="15">
        <f t="shared" si="7"/>
        <v>17.69196294460966</v>
      </c>
      <c r="X35" s="15">
        <f t="shared" si="1"/>
        <v>8.5686802915260536</v>
      </c>
      <c r="Y35" s="15">
        <f t="shared" si="2"/>
        <v>6.5238786936822715</v>
      </c>
      <c r="AA35" s="18">
        <f t="shared" si="8"/>
        <v>66411.003299458331</v>
      </c>
      <c r="AB35" s="48">
        <f t="shared" si="21"/>
        <v>3287.5437371018529</v>
      </c>
      <c r="AC35" s="48">
        <f t="shared" si="9"/>
        <v>69698.54703656018</v>
      </c>
      <c r="AD35" s="18">
        <f t="shared" si="3"/>
        <v>25701.210624057116</v>
      </c>
    </row>
    <row r="36" spans="1:30" x14ac:dyDescent="0.2">
      <c r="A36">
        <v>30</v>
      </c>
      <c r="C36" s="19">
        <f t="shared" si="0"/>
        <v>0.1958</v>
      </c>
      <c r="E36" s="23">
        <f t="shared" si="10"/>
        <v>0.80377253151612804</v>
      </c>
      <c r="F36" s="23">
        <f t="shared" si="4"/>
        <v>17.026665052538661</v>
      </c>
      <c r="G36" s="23">
        <f t="shared" si="5"/>
        <v>596.88520643474487</v>
      </c>
      <c r="H36" s="23">
        <f t="shared" si="11"/>
        <v>385.2843559811995</v>
      </c>
      <c r="I36" s="15">
        <f t="shared" si="6"/>
        <v>999.9999999999992</v>
      </c>
      <c r="K36" s="15">
        <f t="shared" si="12"/>
        <v>17.830437584054788</v>
      </c>
      <c r="L36" s="15">
        <f t="shared" si="13"/>
        <v>13.533582694344318</v>
      </c>
      <c r="M36" s="15">
        <f t="shared" si="14"/>
        <v>6.3525999627905962</v>
      </c>
      <c r="N36" s="15">
        <f t="shared" si="15"/>
        <v>4.8217233320958179</v>
      </c>
      <c r="O36" s="15"/>
      <c r="P36" s="18">
        <f t="shared" si="16"/>
        <v>51481.881423374041</v>
      </c>
      <c r="Q36" s="18">
        <f t="shared" si="17"/>
        <v>2553.9997578807993</v>
      </c>
      <c r="R36" s="18">
        <f t="shared" si="22"/>
        <v>54035.881181254837</v>
      </c>
      <c r="S36" s="18">
        <f t="shared" si="19"/>
        <v>19251.817862752334</v>
      </c>
      <c r="T36" s="18"/>
      <c r="V36" s="15">
        <f t="shared" si="20"/>
        <v>17.830437584054788</v>
      </c>
      <c r="W36" s="15">
        <f t="shared" si="7"/>
        <v>13.533582694344318</v>
      </c>
      <c r="X36" s="15">
        <f t="shared" si="1"/>
        <v>6.3525999627905962</v>
      </c>
      <c r="Y36" s="15">
        <f t="shared" si="2"/>
        <v>4.8217233320958179</v>
      </c>
      <c r="AA36" s="18">
        <f t="shared" si="8"/>
        <v>51481.881423374041</v>
      </c>
      <c r="AB36" s="48">
        <f t="shared" si="21"/>
        <v>2553.9997578807993</v>
      </c>
      <c r="AC36" s="48">
        <f t="shared" si="9"/>
        <v>54035.881181254837</v>
      </c>
      <c r="AD36" s="18">
        <f t="shared" si="3"/>
        <v>19251.817862752334</v>
      </c>
    </row>
    <row r="37" spans="1:30" x14ac:dyDescent="0.2">
      <c r="A37">
        <v>31</v>
      </c>
      <c r="C37" s="19">
        <f t="shared" si="0"/>
        <v>0.1958</v>
      </c>
      <c r="E37" s="23">
        <f t="shared" si="10"/>
        <v>0.39722438507527047</v>
      </c>
      <c r="F37" s="23">
        <f t="shared" si="4"/>
        <v>11.388013762140792</v>
      </c>
      <c r="G37" s="23">
        <f t="shared" si="5"/>
        <v>599.43920619262565</v>
      </c>
      <c r="H37" s="23">
        <f t="shared" si="11"/>
        <v>388.77555566015741</v>
      </c>
      <c r="I37" s="15">
        <f t="shared" si="6"/>
        <v>999.99999999999909</v>
      </c>
      <c r="K37" s="15">
        <f t="shared" si="12"/>
        <v>11.785238147216063</v>
      </c>
      <c r="L37" s="15">
        <f t="shared" si="13"/>
        <v>8.9183734874271003</v>
      </c>
      <c r="M37" s="15">
        <f t="shared" si="14"/>
        <v>4.0568366334876931</v>
      </c>
      <c r="N37" s="15">
        <f t="shared" si="15"/>
        <v>3.0699748128098938</v>
      </c>
      <c r="O37" s="15"/>
      <c r="P37" s="18">
        <f t="shared" si="16"/>
        <v>34362.653478960012</v>
      </c>
      <c r="Q37" s="18">
        <f t="shared" si="17"/>
        <v>1708.2020643211188</v>
      </c>
      <c r="R37" s="18">
        <f t="shared" si="22"/>
        <v>36070.855543281134</v>
      </c>
      <c r="S37" s="18">
        <f t="shared" si="19"/>
        <v>12416.683171039083</v>
      </c>
      <c r="T37" s="18"/>
      <c r="V37" s="15">
        <f t="shared" si="20"/>
        <v>11.785238147216063</v>
      </c>
      <c r="W37" s="15">
        <f t="shared" si="7"/>
        <v>8.9183734874271003</v>
      </c>
      <c r="X37" s="15">
        <f t="shared" si="1"/>
        <v>4.0568366334876931</v>
      </c>
      <c r="Y37" s="15">
        <f t="shared" si="2"/>
        <v>3.0699748128098938</v>
      </c>
      <c r="AA37" s="18">
        <f t="shared" si="8"/>
        <v>34362.653478960012</v>
      </c>
      <c r="AB37" s="48">
        <f t="shared" si="21"/>
        <v>1708.2020643211188</v>
      </c>
      <c r="AC37" s="48">
        <f t="shared" si="9"/>
        <v>36070.855543281134</v>
      </c>
      <c r="AD37" s="18">
        <f t="shared" si="3"/>
        <v>12416.683171039083</v>
      </c>
    </row>
    <row r="38" spans="1:30" x14ac:dyDescent="0.2">
      <c r="A38">
        <v>32</v>
      </c>
      <c r="C38" s="19">
        <f t="shared" si="0"/>
        <v>0.1958</v>
      </c>
      <c r="E38" s="23">
        <f t="shared" si="10"/>
        <v>0.19233604725344594</v>
      </c>
      <c r="F38" s="23">
        <f t="shared" si="4"/>
        <v>7.5771504064165924</v>
      </c>
      <c r="G38" s="23">
        <f t="shared" si="5"/>
        <v>601.14740825694673</v>
      </c>
      <c r="H38" s="23">
        <f t="shared" si="11"/>
        <v>391.08310528938227</v>
      </c>
      <c r="I38" s="15">
        <f t="shared" si="6"/>
        <v>999.99999999999909</v>
      </c>
      <c r="K38" s="15">
        <f t="shared" si="12"/>
        <v>7.7694864536700381</v>
      </c>
      <c r="L38" s="15">
        <f t="shared" si="13"/>
        <v>5.8655820497032183</v>
      </c>
      <c r="M38" s="15">
        <f t="shared" si="14"/>
        <v>2.5840512356504757</v>
      </c>
      <c r="N38" s="15">
        <f t="shared" si="15"/>
        <v>1.9508322247199779</v>
      </c>
      <c r="O38" s="15"/>
      <c r="P38" s="18">
        <f t="shared" si="16"/>
        <v>22827.619242876503</v>
      </c>
      <c r="Q38" s="18">
        <f t="shared" si="17"/>
        <v>1136.5725609624888</v>
      </c>
      <c r="R38" s="18">
        <f t="shared" si="22"/>
        <v>23964.191803838992</v>
      </c>
      <c r="S38" s="18">
        <f t="shared" si="19"/>
        <v>7970.2435690358989</v>
      </c>
      <c r="T38" s="18"/>
      <c r="V38" s="15">
        <f t="shared" si="20"/>
        <v>7.7694864536700381</v>
      </c>
      <c r="W38" s="15">
        <f t="shared" si="7"/>
        <v>5.8655820497032183</v>
      </c>
      <c r="X38" s="15">
        <f t="shared" si="1"/>
        <v>2.5840512356504757</v>
      </c>
      <c r="Y38" s="15">
        <f t="shared" si="2"/>
        <v>1.9508322247199779</v>
      </c>
      <c r="AA38" s="18">
        <f t="shared" si="8"/>
        <v>22827.619242876503</v>
      </c>
      <c r="AB38" s="48">
        <f t="shared" si="21"/>
        <v>1136.5725609624888</v>
      </c>
      <c r="AC38" s="48">
        <f t="shared" si="9"/>
        <v>23964.191803838992</v>
      </c>
      <c r="AD38" s="18">
        <f t="shared" si="3"/>
        <v>7970.2435690358989</v>
      </c>
    </row>
    <row r="39" spans="1:30" x14ac:dyDescent="0.2">
      <c r="A39">
        <v>33</v>
      </c>
      <c r="C39" s="19">
        <f t="shared" si="0"/>
        <v>0.1958</v>
      </c>
      <c r="E39" s="23">
        <f t="shared" si="10"/>
        <v>9.1205753607584053E-2</v>
      </c>
      <c r="F39" s="23">
        <f t="shared" si="4"/>
        <v>5.0204426914713718</v>
      </c>
      <c r="G39" s="23">
        <f t="shared" si="5"/>
        <v>602.2839808179092</v>
      </c>
      <c r="H39" s="23">
        <f t="shared" si="11"/>
        <v>392.60437073701087</v>
      </c>
      <c r="I39" s="15">
        <f t="shared" si="6"/>
        <v>999.99999999999898</v>
      </c>
      <c r="K39" s="15">
        <f t="shared" si="12"/>
        <v>5.1116484450789557</v>
      </c>
      <c r="L39" s="15">
        <f t="shared" si="13"/>
        <v>3.8519774845307335</v>
      </c>
      <c r="M39" s="15">
        <f t="shared" si="14"/>
        <v>1.6425909824629294</v>
      </c>
      <c r="N39" s="15">
        <f t="shared" si="15"/>
        <v>1.2378048977197784</v>
      </c>
      <c r="O39" s="15"/>
      <c r="P39" s="18">
        <f t="shared" si="16"/>
        <v>15106.930951217908</v>
      </c>
      <c r="Q39" s="18">
        <f t="shared" si="17"/>
        <v>753.06640372070581</v>
      </c>
      <c r="R39" s="18">
        <f t="shared" si="22"/>
        <v>15859.997354938614</v>
      </c>
      <c r="S39" s="18">
        <f t="shared" si="19"/>
        <v>5096.494588196525</v>
      </c>
      <c r="T39" s="18"/>
      <c r="V39" s="15">
        <f t="shared" si="20"/>
        <v>5.1116484450789557</v>
      </c>
      <c r="W39" s="15">
        <f t="shared" si="7"/>
        <v>3.8519774845307335</v>
      </c>
      <c r="X39" s="15">
        <f t="shared" si="1"/>
        <v>1.6425909824629294</v>
      </c>
      <c r="Y39" s="15">
        <f t="shared" si="2"/>
        <v>1.2378048977197784</v>
      </c>
      <c r="AA39" s="18">
        <f t="shared" si="8"/>
        <v>15106.930951217908</v>
      </c>
      <c r="AB39" s="48">
        <f t="shared" si="21"/>
        <v>753.06640372070581</v>
      </c>
      <c r="AC39" s="48">
        <f t="shared" si="9"/>
        <v>15859.997354938614</v>
      </c>
      <c r="AD39" s="18">
        <f t="shared" si="3"/>
        <v>5096.494588196525</v>
      </c>
    </row>
    <row r="40" spans="1:30" x14ac:dyDescent="0.2">
      <c r="A40">
        <v>34</v>
      </c>
      <c r="C40" s="19">
        <f t="shared" si="0"/>
        <v>0.1958</v>
      </c>
      <c r="E40" s="23">
        <f t="shared" si="10"/>
        <v>4.2337710824640509E-2</v>
      </c>
      <c r="F40" s="23">
        <f t="shared" si="4"/>
        <v>3.3153835649871497</v>
      </c>
      <c r="G40" s="23">
        <f t="shared" si="5"/>
        <v>603.0370472216299</v>
      </c>
      <c r="H40" s="23">
        <f t="shared" si="11"/>
        <v>393.60523150255733</v>
      </c>
      <c r="I40" s="15">
        <f t="shared" si="6"/>
        <v>999.99999999999898</v>
      </c>
      <c r="K40" s="15">
        <f t="shared" si="12"/>
        <v>3.35772127581179</v>
      </c>
      <c r="L40" s="15">
        <f t="shared" si="13"/>
        <v>2.5267584990237708</v>
      </c>
      <c r="M40" s="15">
        <f t="shared" si="14"/>
        <v>1.0424920448132216</v>
      </c>
      <c r="N40" s="15">
        <f t="shared" si="15"/>
        <v>0.78449800266987013</v>
      </c>
      <c r="O40" s="15"/>
      <c r="P40" s="18">
        <f t="shared" si="16"/>
        <v>9967.3195503737697</v>
      </c>
      <c r="Q40" s="18">
        <f t="shared" si="17"/>
        <v>497.30753474807244</v>
      </c>
      <c r="R40" s="18">
        <f t="shared" si="22"/>
        <v>10464.627085121841</v>
      </c>
      <c r="S40" s="18">
        <f t="shared" si="19"/>
        <v>3249.016101117259</v>
      </c>
      <c r="T40" s="18"/>
      <c r="V40" s="15">
        <f t="shared" si="20"/>
        <v>3.35772127581179</v>
      </c>
      <c r="W40" s="15">
        <f t="shared" si="7"/>
        <v>2.5267584990237708</v>
      </c>
      <c r="X40" s="15">
        <f t="shared" si="1"/>
        <v>1.0424920448132216</v>
      </c>
      <c r="Y40" s="15">
        <f t="shared" si="2"/>
        <v>0.78449800266987013</v>
      </c>
      <c r="AA40" s="18">
        <f t="shared" si="8"/>
        <v>9967.3195503737697</v>
      </c>
      <c r="AB40" s="48">
        <f t="shared" si="21"/>
        <v>497.30753474807244</v>
      </c>
      <c r="AC40" s="48">
        <f t="shared" si="9"/>
        <v>10464.627085121841</v>
      </c>
      <c r="AD40" s="18">
        <f t="shared" si="3"/>
        <v>3249.016101117259</v>
      </c>
    </row>
    <row r="41" spans="1:30" x14ac:dyDescent="0.2">
      <c r="A41">
        <v>35</v>
      </c>
      <c r="C41" s="19">
        <f t="shared" si="0"/>
        <v>0.1958</v>
      </c>
      <c r="E41" s="23">
        <f t="shared" si="10"/>
        <v>1.9229788256551715E-2</v>
      </c>
      <c r="F41" s="23">
        <f t="shared" si="4"/>
        <v>2.1837421270032178</v>
      </c>
      <c r="G41" s="23">
        <f t="shared" si="5"/>
        <v>603.53435475637798</v>
      </c>
      <c r="H41" s="23">
        <f t="shared" si="11"/>
        <v>394.26267332836125</v>
      </c>
      <c r="I41" s="15">
        <f t="shared" si="6"/>
        <v>999.99999999999909</v>
      </c>
      <c r="K41" s="15">
        <f t="shared" si="12"/>
        <v>2.2029719152597695</v>
      </c>
      <c r="L41" s="15">
        <f t="shared" si="13"/>
        <v>1.6560748940961376</v>
      </c>
      <c r="M41" s="15">
        <f t="shared" si="14"/>
        <v>0.66084060146065238</v>
      </c>
      <c r="N41" s="15">
        <f t="shared" si="15"/>
        <v>0.49678414940179949</v>
      </c>
      <c r="O41" s="15"/>
      <c r="P41" s="18">
        <f t="shared" si="16"/>
        <v>6560.8412751379292</v>
      </c>
      <c r="Q41" s="18">
        <f t="shared" si="17"/>
        <v>327.56131905048261</v>
      </c>
      <c r="R41" s="18">
        <f t="shared" si="22"/>
        <v>6888.402594188412</v>
      </c>
      <c r="S41" s="18">
        <f t="shared" si="19"/>
        <v>2066.361392042445</v>
      </c>
      <c r="T41" s="18"/>
      <c r="V41" s="15">
        <f t="shared" si="20"/>
        <v>2.2029719152597695</v>
      </c>
      <c r="W41" s="15">
        <f t="shared" si="7"/>
        <v>1.6560748940961376</v>
      </c>
      <c r="X41" s="15">
        <f t="shared" si="1"/>
        <v>0.66084060146065238</v>
      </c>
      <c r="Y41" s="15">
        <f t="shared" si="2"/>
        <v>0.49678414940179949</v>
      </c>
      <c r="AA41" s="18">
        <f t="shared" si="8"/>
        <v>6560.8412751379292</v>
      </c>
      <c r="AB41" s="48">
        <f t="shared" si="21"/>
        <v>327.56131905048261</v>
      </c>
      <c r="AC41" s="48">
        <f t="shared" si="9"/>
        <v>6888.402594188412</v>
      </c>
      <c r="AD41" s="18">
        <f t="shared" si="3"/>
        <v>2066.361392042445</v>
      </c>
    </row>
    <row r="42" spans="1:30" x14ac:dyDescent="0.2">
      <c r="A42">
        <v>36</v>
      </c>
      <c r="C42" s="19">
        <f t="shared" si="0"/>
        <v>0.1958</v>
      </c>
      <c r="E42" s="23">
        <f t="shared" si="10"/>
        <v>8.5418719435602728E-3</v>
      </c>
      <c r="F42" s="23">
        <f t="shared" si="4"/>
        <v>1.4355268232578637</v>
      </c>
      <c r="G42" s="23">
        <f t="shared" si="5"/>
        <v>603.86191607542844</v>
      </c>
      <c r="H42" s="23">
        <f t="shared" si="11"/>
        <v>394.69401522936914</v>
      </c>
      <c r="I42" s="15">
        <f t="shared" si="6"/>
        <v>999.99999999999898</v>
      </c>
      <c r="K42" s="15">
        <f t="shared" si="12"/>
        <v>1.4440686952014241</v>
      </c>
      <c r="L42" s="15">
        <f t="shared" si="13"/>
        <v>1.0847598957897799</v>
      </c>
      <c r="M42" s="15">
        <f t="shared" si="14"/>
        <v>0.41853835285535407</v>
      </c>
      <c r="N42" s="15">
        <f t="shared" si="15"/>
        <v>0.31439890743152804</v>
      </c>
      <c r="O42" s="15"/>
      <c r="P42" s="18">
        <f t="shared" si="16"/>
        <v>4310.8514057453713</v>
      </c>
      <c r="Q42" s="18">
        <f t="shared" si="17"/>
        <v>215.32902348867955</v>
      </c>
      <c r="R42" s="18">
        <f t="shared" si="22"/>
        <v>4526.1804292340512</v>
      </c>
      <c r="S42" s="18">
        <f t="shared" si="19"/>
        <v>1311.835169526699</v>
      </c>
      <c r="T42" s="18"/>
      <c r="V42" s="15">
        <f t="shared" si="20"/>
        <v>1.4440686952014241</v>
      </c>
      <c r="W42" s="15">
        <f t="shared" si="7"/>
        <v>1.0847598957897799</v>
      </c>
      <c r="X42" s="15">
        <f t="shared" si="1"/>
        <v>0.41853835285535407</v>
      </c>
      <c r="Y42" s="15">
        <f t="shared" si="2"/>
        <v>0.31439890743152804</v>
      </c>
      <c r="AA42" s="18">
        <f t="shared" si="8"/>
        <v>4310.8514057453713</v>
      </c>
      <c r="AB42" s="48">
        <f t="shared" si="21"/>
        <v>215.32902348867955</v>
      </c>
      <c r="AC42" s="48">
        <f t="shared" si="9"/>
        <v>4526.1804292340512</v>
      </c>
      <c r="AD42" s="18">
        <f t="shared" si="3"/>
        <v>1311.835169526699</v>
      </c>
    </row>
    <row r="43" spans="1:30" x14ac:dyDescent="0.2">
      <c r="A43">
        <v>37</v>
      </c>
      <c r="C43" s="19">
        <f t="shared" si="0"/>
        <v>0.1958</v>
      </c>
      <c r="E43" s="23">
        <f t="shared" si="10"/>
        <v>3.7088807978938707E-3</v>
      </c>
      <c r="F43" s="23">
        <f t="shared" si="4"/>
        <v>0.94228214039441183</v>
      </c>
      <c r="G43" s="23">
        <f t="shared" si="5"/>
        <v>604.07724509891716</v>
      </c>
      <c r="H43" s="23">
        <f t="shared" si="11"/>
        <v>394.97676387988957</v>
      </c>
      <c r="I43" s="15">
        <f t="shared" si="6"/>
        <v>999.99999999999909</v>
      </c>
      <c r="K43" s="15">
        <f t="shared" si="12"/>
        <v>0.94599102119230571</v>
      </c>
      <c r="L43" s="15">
        <f t="shared" si="13"/>
        <v>0.71023504205380805</v>
      </c>
      <c r="M43" s="15">
        <f t="shared" si="14"/>
        <v>0.2649073889183402</v>
      </c>
      <c r="N43" s="15">
        <f t="shared" si="15"/>
        <v>0.19888826246114494</v>
      </c>
      <c r="O43" s="15"/>
      <c r="P43" s="18">
        <f t="shared" si="16"/>
        <v>2828.7008615821824</v>
      </c>
      <c r="Q43" s="18">
        <f t="shared" si="17"/>
        <v>141.34232105916178</v>
      </c>
      <c r="R43" s="18">
        <f t="shared" si="22"/>
        <v>2970.0431826413442</v>
      </c>
      <c r="S43" s="18">
        <f t="shared" si="19"/>
        <v>831.70597485860662</v>
      </c>
      <c r="T43" s="18"/>
      <c r="V43" s="15">
        <f t="shared" si="20"/>
        <v>0.94599102119230571</v>
      </c>
      <c r="W43" s="15">
        <f t="shared" si="7"/>
        <v>0.71023504205380805</v>
      </c>
      <c r="X43" s="15">
        <f t="shared" si="1"/>
        <v>0.2649073889183402</v>
      </c>
      <c r="Y43" s="15">
        <f t="shared" si="2"/>
        <v>0.19888826246114494</v>
      </c>
      <c r="AA43" s="18">
        <f t="shared" si="8"/>
        <v>2828.7008615821824</v>
      </c>
      <c r="AB43" s="48">
        <f t="shared" si="21"/>
        <v>141.34232105916178</v>
      </c>
      <c r="AC43" s="48">
        <f t="shared" si="9"/>
        <v>2970.0431826413442</v>
      </c>
      <c r="AD43" s="18">
        <f t="shared" si="3"/>
        <v>831.70597485860662</v>
      </c>
    </row>
    <row r="44" spans="1:30" x14ac:dyDescent="0.2">
      <c r="A44">
        <v>38</v>
      </c>
      <c r="C44" s="19">
        <f t="shared" si="0"/>
        <v>0.1958</v>
      </c>
      <c r="E44" s="23">
        <f t="shared" si="10"/>
        <v>1.57330723446658E-3</v>
      </c>
      <c r="F44" s="23">
        <f t="shared" si="4"/>
        <v>0.61785035094922391</v>
      </c>
      <c r="G44" s="23">
        <f t="shared" si="5"/>
        <v>604.2185874199763</v>
      </c>
      <c r="H44" s="23">
        <f t="shared" si="11"/>
        <v>395.161988921839</v>
      </c>
      <c r="I44" s="15">
        <f t="shared" si="6"/>
        <v>999.99999999999898</v>
      </c>
      <c r="K44" s="15">
        <f t="shared" si="12"/>
        <v>0.6194236581836905</v>
      </c>
      <c r="L44" s="15">
        <f t="shared" si="13"/>
        <v>0.46488240508466117</v>
      </c>
      <c r="M44" s="15">
        <f t="shared" si="14"/>
        <v>0.16759246802866715</v>
      </c>
      <c r="N44" s="15">
        <f t="shared" si="15"/>
        <v>0.12577948643372042</v>
      </c>
      <c r="O44" s="15"/>
      <c r="P44" s="18">
        <f t="shared" si="16"/>
        <v>1854.3377064649051</v>
      </c>
      <c r="Q44" s="18">
        <f t="shared" si="17"/>
        <v>92.677552642383588</v>
      </c>
      <c r="R44" s="18">
        <f t="shared" si="22"/>
        <v>1947.0152591072886</v>
      </c>
      <c r="S44" s="18">
        <f t="shared" si="19"/>
        <v>526.78823007838582</v>
      </c>
      <c r="T44" s="18"/>
      <c r="V44" s="15">
        <f t="shared" si="20"/>
        <v>0.6194236581836905</v>
      </c>
      <c r="W44" s="15">
        <f t="shared" si="7"/>
        <v>0.46488240508466117</v>
      </c>
      <c r="X44" s="15">
        <f t="shared" si="1"/>
        <v>0.16759246802866715</v>
      </c>
      <c r="Y44" s="15">
        <f t="shared" si="2"/>
        <v>0.12577948643372042</v>
      </c>
      <c r="AA44" s="18">
        <f t="shared" si="8"/>
        <v>1854.3377064649051</v>
      </c>
      <c r="AB44" s="48">
        <f t="shared" si="21"/>
        <v>92.677552642383588</v>
      </c>
      <c r="AC44" s="48">
        <f t="shared" si="9"/>
        <v>1947.0152591072886</v>
      </c>
      <c r="AD44" s="18">
        <f t="shared" si="3"/>
        <v>526.78823007838582</v>
      </c>
    </row>
    <row r="45" spans="1:30" x14ac:dyDescent="0.2">
      <c r="A45">
        <v>39</v>
      </c>
      <c r="C45" s="19">
        <f t="shared" si="0"/>
        <v>0.1958</v>
      </c>
      <c r="E45" s="23">
        <f t="shared" si="10"/>
        <v>6.5166385651605743E-4</v>
      </c>
      <c r="F45" s="23">
        <f t="shared" si="4"/>
        <v>0.40481128941242422</v>
      </c>
      <c r="G45" s="23">
        <f t="shared" si="5"/>
        <v>604.31126497261869</v>
      </c>
      <c r="H45" s="23">
        <f t="shared" si="11"/>
        <v>395.28327207411138</v>
      </c>
      <c r="I45" s="15">
        <f t="shared" si="6"/>
        <v>999.99999999999909</v>
      </c>
      <c r="K45" s="15">
        <f t="shared" si="12"/>
        <v>0.40546295326894027</v>
      </c>
      <c r="L45" s="15">
        <f t="shared" si="13"/>
        <v>0.30422754772300842</v>
      </c>
      <c r="M45" s="15">
        <f t="shared" si="14"/>
        <v>0.10599308612900396</v>
      </c>
      <c r="N45" s="15">
        <f t="shared" si="15"/>
        <v>7.9528885212928377E-2</v>
      </c>
      <c r="O45" s="15"/>
      <c r="P45" s="18">
        <f t="shared" si="16"/>
        <v>1214.7597001655308</v>
      </c>
      <c r="Q45" s="18">
        <f t="shared" si="17"/>
        <v>60.721693411863633</v>
      </c>
      <c r="R45" s="18">
        <f t="shared" si="22"/>
        <v>1275.4813935773946</v>
      </c>
      <c r="S45" s="18">
        <f t="shared" si="19"/>
        <v>333.4267856420384</v>
      </c>
      <c r="T45" s="18"/>
      <c r="V45" s="15">
        <f t="shared" si="20"/>
        <v>0.40546295326894027</v>
      </c>
      <c r="W45" s="15">
        <f t="shared" si="7"/>
        <v>0.30422754772300842</v>
      </c>
      <c r="X45" s="15">
        <f t="shared" si="1"/>
        <v>0.10599308612900396</v>
      </c>
      <c r="Y45" s="15">
        <f t="shared" si="2"/>
        <v>7.9528885212928377E-2</v>
      </c>
      <c r="AA45" s="18">
        <f t="shared" si="8"/>
        <v>1214.7597001655308</v>
      </c>
      <c r="AB45" s="48">
        <f t="shared" si="21"/>
        <v>60.721693411863633</v>
      </c>
      <c r="AC45" s="48">
        <f t="shared" si="9"/>
        <v>1275.4813935773946</v>
      </c>
      <c r="AD45" s="18">
        <f t="shared" si="3"/>
        <v>333.4267856420384</v>
      </c>
    </row>
    <row r="46" spans="1:30" x14ac:dyDescent="0.2">
      <c r="A46">
        <v>40</v>
      </c>
      <c r="C46" s="19">
        <f t="shared" si="0"/>
        <v>0.1958</v>
      </c>
      <c r="E46" s="23">
        <f t="shared" si="10"/>
        <v>2.6340253080379039E-4</v>
      </c>
      <c r="F46" s="23">
        <f t="shared" si="4"/>
        <v>0.26508821107621433</v>
      </c>
      <c r="G46" s="23">
        <f t="shared" si="5"/>
        <v>604.37198666603058</v>
      </c>
      <c r="H46" s="23">
        <f t="shared" si="11"/>
        <v>395.36266172036147</v>
      </c>
      <c r="I46" s="15">
        <f t="shared" si="6"/>
        <v>999.99999999999909</v>
      </c>
      <c r="K46" s="15">
        <f t="shared" si="12"/>
        <v>0.26535161360701814</v>
      </c>
      <c r="L46" s="15">
        <f t="shared" si="13"/>
        <v>0.19906639071142437</v>
      </c>
      <c r="M46" s="15">
        <f t="shared" si="14"/>
        <v>6.7020511988141018E-2</v>
      </c>
      <c r="N46" s="15">
        <f t="shared" si="15"/>
        <v>5.0278689636572532E-2</v>
      </c>
      <c r="O46" s="15"/>
      <c r="P46" s="18">
        <f t="shared" si="16"/>
        <v>795.39633449404494</v>
      </c>
      <c r="Q46" s="18">
        <f t="shared" si="17"/>
        <v>39.763231661432151</v>
      </c>
      <c r="R46" s="18">
        <f t="shared" si="22"/>
        <v>835.15956615547714</v>
      </c>
      <c r="S46" s="18">
        <f t="shared" si="19"/>
        <v>210.93831296020963</v>
      </c>
      <c r="T46" s="18"/>
      <c r="V46" s="15">
        <f t="shared" si="20"/>
        <v>0.26535161360701814</v>
      </c>
      <c r="W46" s="15">
        <f t="shared" si="7"/>
        <v>0.19906639071142437</v>
      </c>
      <c r="X46" s="15">
        <f t="shared" si="1"/>
        <v>6.7020511988141018E-2</v>
      </c>
      <c r="Y46" s="15">
        <f t="shared" si="2"/>
        <v>5.0278689636572532E-2</v>
      </c>
      <c r="AA46" s="18">
        <f t="shared" si="8"/>
        <v>795.39633449404494</v>
      </c>
      <c r="AB46" s="48">
        <f t="shared" si="21"/>
        <v>39.763231661432151</v>
      </c>
      <c r="AC46" s="48">
        <f t="shared" si="9"/>
        <v>835.15956615547714</v>
      </c>
      <c r="AD46" s="18">
        <f t="shared" si="3"/>
        <v>210.93831296020963</v>
      </c>
    </row>
    <row r="47" spans="1:30" x14ac:dyDescent="0.2">
      <c r="A47">
        <v>41</v>
      </c>
      <c r="C47" s="19">
        <f t="shared" si="0"/>
        <v>0.1958</v>
      </c>
      <c r="E47" s="23">
        <f t="shared" si="10"/>
        <v>1.0383327764285418E-4</v>
      </c>
      <c r="F47" s="23">
        <f t="shared" si="4"/>
        <v>0.17352870272368898</v>
      </c>
      <c r="G47" s="23">
        <f t="shared" si="5"/>
        <v>604.41174989769206</v>
      </c>
      <c r="H47" s="23">
        <f t="shared" si="11"/>
        <v>395.41461756630576</v>
      </c>
      <c r="I47" s="15">
        <f t="shared" si="6"/>
        <v>999.9999999999992</v>
      </c>
      <c r="K47" s="15">
        <f t="shared" si="12"/>
        <v>0.17363253600133183</v>
      </c>
      <c r="L47" s="15">
        <f t="shared" si="13"/>
        <v>0.13024516865652747</v>
      </c>
      <c r="M47" s="15">
        <f t="shared" si="14"/>
        <v>4.2371785678011531E-2</v>
      </c>
      <c r="N47" s="15">
        <f t="shared" si="15"/>
        <v>3.1783906973912521E-2</v>
      </c>
      <c r="O47" s="15"/>
      <c r="P47" s="18">
        <f t="shared" si="16"/>
        <v>520.63802480988841</v>
      </c>
      <c r="Q47" s="18">
        <f t="shared" si="17"/>
        <v>26.029305408553345</v>
      </c>
      <c r="R47" s="18">
        <f>P47+Q47</f>
        <v>546.66733021844175</v>
      </c>
      <c r="S47" s="18">
        <f t="shared" si="19"/>
        <v>133.40397765663516</v>
      </c>
      <c r="T47" s="18"/>
      <c r="V47" s="15">
        <f t="shared" si="20"/>
        <v>0.17363253600133183</v>
      </c>
      <c r="W47" s="15">
        <f t="shared" si="7"/>
        <v>0.13024516865652747</v>
      </c>
      <c r="X47" s="15">
        <f t="shared" si="1"/>
        <v>4.2371785678011531E-2</v>
      </c>
      <c r="Y47" s="15">
        <f t="shared" si="2"/>
        <v>3.1783906973912521E-2</v>
      </c>
      <c r="AA47" s="18">
        <f t="shared" si="8"/>
        <v>520.63802480988841</v>
      </c>
      <c r="AB47" s="48">
        <f t="shared" si="21"/>
        <v>26.029305408553345</v>
      </c>
      <c r="AC47" s="48">
        <f t="shared" si="9"/>
        <v>546.66733021844175</v>
      </c>
      <c r="AD47" s="18">
        <f t="shared" si="3"/>
        <v>133.40397765663516</v>
      </c>
    </row>
    <row r="48" spans="1:30" x14ac:dyDescent="0.2">
      <c r="A48">
        <v>42</v>
      </c>
      <c r="C48" s="19">
        <f t="shared" si="0"/>
        <v>0.1958</v>
      </c>
      <c r="E48" s="23">
        <f t="shared" si="10"/>
        <v>3.9892745270384587E-5</v>
      </c>
      <c r="F48" s="23">
        <f t="shared" si="4"/>
        <v>0.11356608729844733</v>
      </c>
      <c r="G48" s="23">
        <f t="shared" si="5"/>
        <v>604.4377792031006</v>
      </c>
      <c r="H48" s="23">
        <f t="shared" si="11"/>
        <v>395.44861481685479</v>
      </c>
      <c r="I48" s="15">
        <f t="shared" si="6"/>
        <v>999.99999999999909</v>
      </c>
      <c r="K48" s="15">
        <f t="shared" si="12"/>
        <v>0.11360598004371772</v>
      </c>
      <c r="L48" s="15">
        <f t="shared" si="13"/>
        <v>8.5212463581842368E-2</v>
      </c>
      <c r="M48" s="15">
        <f t="shared" si="14"/>
        <v>2.6785915919911151E-2</v>
      </c>
      <c r="N48" s="15">
        <f t="shared" si="15"/>
        <v>2.0091318115062026E-2</v>
      </c>
      <c r="O48" s="15"/>
      <c r="P48" s="18">
        <f t="shared" si="16"/>
        <v>340.71820826797722</v>
      </c>
      <c r="Q48" s="18">
        <f t="shared" si="17"/>
        <v>17.034913094767099</v>
      </c>
      <c r="R48" s="18">
        <f t="shared" si="22"/>
        <v>357.75312136274431</v>
      </c>
      <c r="S48" s="18">
        <f t="shared" si="19"/>
        <v>84.350709577265377</v>
      </c>
      <c r="T48" s="18"/>
      <c r="V48" s="15">
        <f t="shared" si="20"/>
        <v>0.11360598004371772</v>
      </c>
      <c r="W48" s="15">
        <f t="shared" si="7"/>
        <v>8.5212463581842368E-2</v>
      </c>
      <c r="X48" s="15">
        <f t="shared" si="1"/>
        <v>2.6785915919911151E-2</v>
      </c>
      <c r="Y48" s="15">
        <f t="shared" si="2"/>
        <v>2.0091318115062026E-2</v>
      </c>
      <c r="AA48" s="18">
        <f t="shared" si="8"/>
        <v>340.71820826797722</v>
      </c>
      <c r="AB48" s="48">
        <f t="shared" si="21"/>
        <v>17.034913094767099</v>
      </c>
      <c r="AC48" s="48">
        <f t="shared" si="9"/>
        <v>357.75312136274431</v>
      </c>
      <c r="AD48" s="18">
        <f t="shared" si="3"/>
        <v>84.350709577265377</v>
      </c>
    </row>
    <row r="49" spans="1:30" x14ac:dyDescent="0.2">
      <c r="A49">
        <v>43</v>
      </c>
      <c r="C49" s="19">
        <f t="shared" si="0"/>
        <v>0.1958</v>
      </c>
      <c r="E49" s="23">
        <f t="shared" si="10"/>
        <v>1.4927865280177917E-5</v>
      </c>
      <c r="F49" s="23">
        <f t="shared" si="4"/>
        <v>7.4312088191110501E-2</v>
      </c>
      <c r="G49" s="23">
        <f t="shared" si="5"/>
        <v>604.45481411619539</v>
      </c>
      <c r="H49" s="23">
        <f t="shared" si="11"/>
        <v>395.47085886774738</v>
      </c>
      <c r="I49" s="15">
        <f t="shared" si="6"/>
        <v>999.99999999999909</v>
      </c>
      <c r="K49" s="15">
        <f t="shared" si="12"/>
        <v>7.432701605639068E-2</v>
      </c>
      <c r="L49" s="15">
        <f t="shared" si="13"/>
        <v>5.5748247615349043E-2</v>
      </c>
      <c r="M49" s="15">
        <f t="shared" si="14"/>
        <v>1.6932132440726926E-2</v>
      </c>
      <c r="N49" s="15">
        <f t="shared" si="15"/>
        <v>1.2699779461688328E-2</v>
      </c>
      <c r="O49" s="15"/>
      <c r="P49" s="18">
        <f t="shared" si="16"/>
        <v>222.94372850597159</v>
      </c>
      <c r="Q49" s="18">
        <f t="shared" si="17"/>
        <v>11.146813228666575</v>
      </c>
      <c r="R49" s="18">
        <f t="shared" si="22"/>
        <v>234.09054173463818</v>
      </c>
      <c r="S49" s="18">
        <f t="shared" si="19"/>
        <v>53.327205450643277</v>
      </c>
      <c r="T49" s="18"/>
      <c r="V49" s="15">
        <f t="shared" si="20"/>
        <v>7.432701605639068E-2</v>
      </c>
      <c r="W49" s="15">
        <f t="shared" si="7"/>
        <v>5.5748247615349043E-2</v>
      </c>
      <c r="X49" s="15">
        <f t="shared" si="1"/>
        <v>1.6932132440726926E-2</v>
      </c>
      <c r="Y49" s="15">
        <f t="shared" si="2"/>
        <v>1.2699779461688328E-2</v>
      </c>
      <c r="AA49" s="18">
        <f t="shared" si="8"/>
        <v>222.94372850597159</v>
      </c>
      <c r="AB49" s="48">
        <f t="shared" si="21"/>
        <v>11.146813228666575</v>
      </c>
      <c r="AC49" s="48">
        <f t="shared" si="9"/>
        <v>234.09054173463818</v>
      </c>
      <c r="AD49" s="18">
        <f t="shared" si="3"/>
        <v>53.327205450643277</v>
      </c>
    </row>
    <row r="50" spans="1:30" x14ac:dyDescent="0.2">
      <c r="A50">
        <v>44</v>
      </c>
      <c r="C50" s="19">
        <f t="shared" si="0"/>
        <v>0.1958</v>
      </c>
      <c r="E50" s="23">
        <f t="shared" si="10"/>
        <v>5.4367285350407989E-6</v>
      </c>
      <c r="F50" s="23">
        <f t="shared" si="4"/>
        <v>4.8621536355347772E-2</v>
      </c>
      <c r="G50" s="23">
        <f t="shared" si="5"/>
        <v>604.46596092942411</v>
      </c>
      <c r="H50" s="23">
        <f t="shared" si="11"/>
        <v>395.48541209749123</v>
      </c>
      <c r="I50" s="15">
        <f t="shared" si="6"/>
        <v>999.9999999999992</v>
      </c>
      <c r="K50" s="15">
        <f t="shared" si="12"/>
        <v>4.8626973083882814E-2</v>
      </c>
      <c r="L50" s="15">
        <f t="shared" si="13"/>
        <v>3.6471317158619121E-2</v>
      </c>
      <c r="M50" s="15">
        <f t="shared" si="14"/>
        <v>1.0702909315054018E-2</v>
      </c>
      <c r="N50" s="15">
        <f t="shared" si="15"/>
        <v>8.0274213135971134E-3</v>
      </c>
      <c r="O50" s="15"/>
      <c r="P50" s="18">
        <f t="shared" si="16"/>
        <v>145.86732743031084</v>
      </c>
      <c r="Q50" s="18">
        <f t="shared" si="17"/>
        <v>7.293230453302165</v>
      </c>
      <c r="R50" s="18">
        <f t="shared" si="22"/>
        <v>153.160557883613</v>
      </c>
      <c r="S50" s="18">
        <f t="shared" si="19"/>
        <v>33.710993255607718</v>
      </c>
      <c r="T50" s="18"/>
      <c r="V50" s="15">
        <f t="shared" si="20"/>
        <v>4.8626973083882814E-2</v>
      </c>
      <c r="W50" s="15">
        <f t="shared" si="7"/>
        <v>3.6471317158619121E-2</v>
      </c>
      <c r="X50" s="15">
        <f t="shared" si="1"/>
        <v>1.0702909315054018E-2</v>
      </c>
      <c r="Y50" s="15">
        <f t="shared" si="2"/>
        <v>8.0274213135971134E-3</v>
      </c>
      <c r="AA50" s="18">
        <f t="shared" si="8"/>
        <v>145.86732743031084</v>
      </c>
      <c r="AB50" s="48">
        <f t="shared" si="21"/>
        <v>7.293230453302165</v>
      </c>
      <c r="AC50" s="48">
        <f t="shared" si="9"/>
        <v>153.160557883613</v>
      </c>
      <c r="AD50" s="18">
        <f t="shared" si="3"/>
        <v>33.710993255607718</v>
      </c>
    </row>
    <row r="51" spans="1:30" x14ac:dyDescent="0.2">
      <c r="A51">
        <v>45</v>
      </c>
      <c r="C51" s="19">
        <f t="shared" si="0"/>
        <v>0.1958</v>
      </c>
      <c r="E51" s="23">
        <f t="shared" si="10"/>
        <v>1.9256892471114514E-6</v>
      </c>
      <c r="F51" s="23">
        <f t="shared" si="4"/>
        <v>3.1810655611509281E-2</v>
      </c>
      <c r="G51" s="23">
        <f t="shared" si="5"/>
        <v>604.47325415987746</v>
      </c>
      <c r="H51" s="23">
        <f t="shared" si="11"/>
        <v>395.49493325882105</v>
      </c>
      <c r="I51" s="15">
        <f t="shared" si="6"/>
        <v>999.99999999999932</v>
      </c>
      <c r="K51" s="15">
        <f t="shared" si="12"/>
        <v>3.1812581300756392E-2</v>
      </c>
      <c r="L51" s="15">
        <f t="shared" si="13"/>
        <v>2.3859821113416717E-2</v>
      </c>
      <c r="M51" s="15">
        <f t="shared" si="14"/>
        <v>6.7652393907133221E-3</v>
      </c>
      <c r="N51" s="15">
        <f t="shared" si="15"/>
        <v>5.0740114461576939E-3</v>
      </c>
      <c r="O51" s="15"/>
      <c r="P51" s="18">
        <f t="shared" si="16"/>
        <v>95.4329296791514</v>
      </c>
      <c r="Q51" s="18">
        <f t="shared" si="17"/>
        <v>4.7715983417263921</v>
      </c>
      <c r="R51" s="18">
        <f t="shared" si="22"/>
        <v>100.20452802087779</v>
      </c>
      <c r="S51" s="18">
        <f t="shared" si="19"/>
        <v>21.309418864371153</v>
      </c>
      <c r="T51" s="18"/>
      <c r="V51" s="15">
        <f t="shared" si="20"/>
        <v>3.1812581300756392E-2</v>
      </c>
      <c r="W51" s="15">
        <f t="shared" si="7"/>
        <v>2.3859821113416717E-2</v>
      </c>
      <c r="X51" s="15">
        <f t="shared" si="1"/>
        <v>6.7652393907133221E-3</v>
      </c>
      <c r="Y51" s="15">
        <f t="shared" si="2"/>
        <v>5.0740114461576939E-3</v>
      </c>
      <c r="AA51" s="18">
        <f t="shared" si="8"/>
        <v>95.4329296791514</v>
      </c>
      <c r="AB51" s="48">
        <f>Q51</f>
        <v>4.7715983417263921</v>
      </c>
      <c r="AC51" s="48">
        <f t="shared" si="9"/>
        <v>100.20452802087779</v>
      </c>
      <c r="AD51" s="18">
        <f t="shared" si="3"/>
        <v>21.309418864371153</v>
      </c>
    </row>
    <row r="52" spans="1:30" x14ac:dyDescent="0.2">
      <c r="F52" s="23"/>
      <c r="G52" s="47"/>
      <c r="K52" s="6"/>
      <c r="L52" s="6"/>
      <c r="M52" s="58" t="s">
        <v>71</v>
      </c>
      <c r="N52" s="58"/>
      <c r="O52" s="16"/>
      <c r="P52" s="6"/>
      <c r="Q52" s="6"/>
      <c r="R52" s="6"/>
      <c r="S52" s="6" t="s">
        <v>71</v>
      </c>
      <c r="T52" s="6"/>
      <c r="V52" s="6"/>
      <c r="W52" s="6"/>
      <c r="X52" s="58" t="s">
        <v>71</v>
      </c>
      <c r="Y52" s="58"/>
      <c r="AA52" s="6"/>
      <c r="AB52" s="6"/>
      <c r="AC52" s="6"/>
      <c r="AD52" s="6" t="s">
        <v>71</v>
      </c>
    </row>
    <row r="53" spans="1:30" x14ac:dyDescent="0.2">
      <c r="K53" s="6" t="str">
        <f>K4</f>
        <v>Life years</v>
      </c>
      <c r="L53" s="6" t="str">
        <f>L4</f>
        <v>QALYs</v>
      </c>
      <c r="M53" s="6" t="str">
        <f>M4</f>
        <v>Life years</v>
      </c>
      <c r="N53" s="6" t="str">
        <f>N4</f>
        <v>QALYs</v>
      </c>
      <c r="O53" s="6"/>
      <c r="P53" s="6" t="str">
        <f>P4</f>
        <v>StateCost</v>
      </c>
      <c r="Q53" s="6" t="str">
        <f>Q4</f>
        <v>TransCost</v>
      </c>
      <c r="R53" s="6" t="str">
        <f>R4</f>
        <v>TotalCost</v>
      </c>
      <c r="S53" s="6" t="str">
        <f>S4</f>
        <v>Total cost</v>
      </c>
      <c r="T53" s="6"/>
      <c r="V53" s="6" t="str">
        <f>V4</f>
        <v>Life years</v>
      </c>
      <c r="W53" s="6" t="str">
        <f>W4</f>
        <v>QALYs</v>
      </c>
      <c r="X53" s="6" t="str">
        <f>X4</f>
        <v>Life years</v>
      </c>
      <c r="Y53" s="6" t="str">
        <f>Y4</f>
        <v>QALYs</v>
      </c>
      <c r="AA53" s="6" t="str">
        <f>AA4</f>
        <v>StateCost</v>
      </c>
      <c r="AB53" s="6" t="str">
        <f>AB4</f>
        <v>TransCost</v>
      </c>
      <c r="AC53" s="6" t="str">
        <f>AC4</f>
        <v>TotalCost</v>
      </c>
      <c r="AD53" s="6" t="str">
        <f>AD4</f>
        <v>Total cost</v>
      </c>
    </row>
    <row r="54" spans="1:30" x14ac:dyDescent="0.2">
      <c r="J54" s="6" t="s">
        <v>64</v>
      </c>
      <c r="K54" s="23">
        <f>SUM(K6:K51)</f>
        <v>13693.245079326402</v>
      </c>
      <c r="L54" s="23">
        <f>SUM(L7:L51)</f>
        <v>12202.612124349122</v>
      </c>
      <c r="M54" s="23">
        <f>SUM(M6:M51)</f>
        <v>10237.721047153584</v>
      </c>
      <c r="N54" s="23">
        <f>SUM(N6:N51)</f>
        <v>9219.2204866681532</v>
      </c>
      <c r="O54" s="6"/>
      <c r="P54" s="24">
        <f>SUM(P6:P51)</f>
        <v>16921256.302300181</v>
      </c>
      <c r="Q54" s="24">
        <f>SUM(Q6:Q51)</f>
        <v>604478.02575821895</v>
      </c>
      <c r="R54" s="24">
        <f>SUM(R6:R51)</f>
        <v>17525734.328058407</v>
      </c>
      <c r="S54" s="24">
        <f>SUM(S6:S51)</f>
        <v>11831502.756269565</v>
      </c>
      <c r="T54" s="6"/>
      <c r="U54" s="6" t="s">
        <v>64</v>
      </c>
      <c r="V54" s="23">
        <f>SUM(V6:V51)</f>
        <v>14193.245079326402</v>
      </c>
      <c r="W54" s="23">
        <f>SUM(W6:W51)</f>
        <v>12677.612124349122</v>
      </c>
      <c r="X54" s="23">
        <f>SUM(X6:X51)</f>
        <v>10737.721047153584</v>
      </c>
      <c r="Y54" s="23">
        <f>SUM(Y6:Y51)</f>
        <v>9694.2204866681514</v>
      </c>
      <c r="AA54" s="24">
        <f>SUM(AA6:AA51)</f>
        <v>17171256.302300181</v>
      </c>
      <c r="AB54" s="24">
        <f>SUM(AB6:AB51)</f>
        <v>604478.02575821895</v>
      </c>
      <c r="AC54" s="24">
        <f>SUM(AC6:AC51)</f>
        <v>17775734.32805841</v>
      </c>
      <c r="AD54" s="24">
        <f>SUM(AD6:AD51)</f>
        <v>12081502.756269565</v>
      </c>
    </row>
    <row r="55" spans="1:30" x14ac:dyDescent="0.2">
      <c r="J55" s="6" t="s">
        <v>65</v>
      </c>
      <c r="K55" s="20">
        <f>K54/1000</f>
        <v>13.693245079326401</v>
      </c>
      <c r="L55" s="20">
        <f t="shared" ref="L55:S55" si="23">L54/1000</f>
        <v>12.202612124349121</v>
      </c>
      <c r="M55" s="20">
        <f t="shared" si="23"/>
        <v>10.237721047153583</v>
      </c>
      <c r="N55" s="21">
        <f>N54/1000</f>
        <v>9.2192204866681529</v>
      </c>
      <c r="O55" s="6"/>
      <c r="P55" s="24">
        <f t="shared" si="23"/>
        <v>16921.256302300182</v>
      </c>
      <c r="Q55" s="24">
        <f>Q54/1000</f>
        <v>604.47802575821891</v>
      </c>
      <c r="R55" s="24">
        <f t="shared" si="23"/>
        <v>17525.734328058406</v>
      </c>
      <c r="S55" s="49">
        <f t="shared" si="23"/>
        <v>11831.502756269565</v>
      </c>
      <c r="T55" s="6"/>
      <c r="U55" s="6" t="s">
        <v>65</v>
      </c>
      <c r="V55" s="20">
        <f>V54/1000</f>
        <v>14.193245079326401</v>
      </c>
      <c r="W55" s="20">
        <f>W54/1000</f>
        <v>12.677612124349121</v>
      </c>
      <c r="X55" s="20">
        <f>X54/1000</f>
        <v>10.737721047153583</v>
      </c>
      <c r="Y55" s="21">
        <f>Y54/1000</f>
        <v>9.6942204866681507</v>
      </c>
      <c r="AA55" s="24">
        <f>AA54/1000</f>
        <v>17171.256302300182</v>
      </c>
      <c r="AB55" s="24">
        <f>AB54/1000</f>
        <v>604.47802575821891</v>
      </c>
      <c r="AC55" s="24">
        <f>AC54/1000</f>
        <v>17775.73432805841</v>
      </c>
      <c r="AD55" s="24">
        <f>AD54/1000</f>
        <v>12081.502756269565</v>
      </c>
    </row>
  </sheetData>
  <mergeCells count="5">
    <mergeCell ref="E3:H3"/>
    <mergeCell ref="M3:N3"/>
    <mergeCell ref="M52:N52"/>
    <mergeCell ref="V2:AD2"/>
    <mergeCell ref="X52:Y5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72"/>
  <sheetViews>
    <sheetView workbookViewId="0">
      <pane xSplit="1" ySplit="3" topLeftCell="M43" activePane="bottomRight" state="frozen"/>
      <selection pane="topRight" activeCell="B1" sqref="B1"/>
      <selection pane="bottomLeft" activeCell="A4" sqref="A4"/>
      <selection pane="bottomRight" activeCell="W59" sqref="W59"/>
    </sheetView>
  </sheetViews>
  <sheetFormatPr defaultRowHeight="12.75" x14ac:dyDescent="0.2"/>
  <cols>
    <col min="5" max="5" width="13.85546875" bestFit="1" customWidth="1"/>
    <col min="6" max="6" width="19.28515625" bestFit="1" customWidth="1"/>
    <col min="7" max="7" width="19.28515625" customWidth="1"/>
    <col min="8" max="8" width="18" bestFit="1" customWidth="1"/>
    <col min="9" max="9" width="11.140625" customWidth="1"/>
    <col min="10" max="10" width="10.85546875" bestFit="1" customWidth="1"/>
    <col min="11" max="11" width="9.85546875" bestFit="1" customWidth="1"/>
    <col min="13" max="13" width="9.85546875" bestFit="1" customWidth="1"/>
    <col min="15" max="15" width="2.7109375" customWidth="1"/>
    <col min="16" max="16" width="12.28515625" bestFit="1" customWidth="1"/>
    <col min="17" max="18" width="12" bestFit="1" customWidth="1"/>
    <col min="19" max="19" width="12.28515625" bestFit="1" customWidth="1"/>
    <col min="27" max="27" width="12.28515625" bestFit="1" customWidth="1"/>
    <col min="28" max="28" width="9.85546875" bestFit="1" customWidth="1"/>
    <col min="29" max="29" width="12.28515625" bestFit="1" customWidth="1"/>
    <col min="30" max="30" width="14" bestFit="1" customWidth="1"/>
  </cols>
  <sheetData>
    <row r="1" spans="1:30" ht="18" x14ac:dyDescent="0.25">
      <c r="A1" s="2" t="s">
        <v>73</v>
      </c>
      <c r="B1" s="14"/>
      <c r="C1" s="14"/>
      <c r="D1" s="14"/>
      <c r="E1" s="14"/>
      <c r="F1" s="14"/>
      <c r="G1" s="14"/>
      <c r="H1" s="14"/>
      <c r="I1" s="14"/>
      <c r="J1" s="14"/>
      <c r="P1" s="14"/>
      <c r="Q1" s="14"/>
      <c r="R1" s="14"/>
      <c r="S1" s="14"/>
      <c r="T1" s="14"/>
      <c r="U1" s="14"/>
      <c r="V1" s="14"/>
    </row>
    <row r="2" spans="1:30" x14ac:dyDescent="0.2">
      <c r="V2" s="59" t="s">
        <v>92</v>
      </c>
      <c r="W2" s="59"/>
      <c r="X2" s="59"/>
      <c r="Y2" s="59"/>
      <c r="Z2" s="59"/>
      <c r="AA2" s="59"/>
      <c r="AB2" s="59"/>
      <c r="AC2" s="59"/>
      <c r="AD2" s="59"/>
    </row>
    <row r="3" spans="1:30" x14ac:dyDescent="0.2">
      <c r="A3" s="6"/>
      <c r="B3" s="6"/>
      <c r="C3" s="6"/>
      <c r="D3" s="6"/>
      <c r="E3" s="58" t="s">
        <v>73</v>
      </c>
      <c r="F3" s="58"/>
      <c r="G3" s="58"/>
      <c r="H3" s="58"/>
      <c r="I3" s="6"/>
      <c r="J3" s="6"/>
      <c r="K3" s="6"/>
      <c r="L3" s="6"/>
      <c r="M3" s="58" t="s">
        <v>71</v>
      </c>
      <c r="N3" s="58"/>
      <c r="O3" s="16"/>
      <c r="P3" s="6"/>
      <c r="Q3" s="6"/>
      <c r="R3" s="6"/>
      <c r="S3" s="6" t="s">
        <v>71</v>
      </c>
      <c r="AD3" s="6" t="s">
        <v>71</v>
      </c>
    </row>
    <row r="4" spans="1:30" ht="13.5" thickBot="1" x14ac:dyDescent="0.25">
      <c r="A4" s="6" t="s">
        <v>59</v>
      </c>
      <c r="B4" s="6"/>
      <c r="C4" s="6" t="s">
        <v>21</v>
      </c>
      <c r="D4" s="6"/>
      <c r="E4" s="17" t="s">
        <v>67</v>
      </c>
      <c r="F4" s="17" t="s">
        <v>68</v>
      </c>
      <c r="G4" s="17" t="s">
        <v>89</v>
      </c>
      <c r="H4" s="17" t="s">
        <v>90</v>
      </c>
      <c r="I4" s="6" t="s">
        <v>69</v>
      </c>
      <c r="J4" s="6"/>
      <c r="K4" s="17" t="s">
        <v>70</v>
      </c>
      <c r="L4" s="17" t="s">
        <v>60</v>
      </c>
      <c r="M4" s="17" t="s">
        <v>70</v>
      </c>
      <c r="N4" s="17" t="s">
        <v>60</v>
      </c>
      <c r="O4" s="25"/>
      <c r="P4" s="17" t="s">
        <v>61</v>
      </c>
      <c r="Q4" s="17" t="s">
        <v>62</v>
      </c>
      <c r="R4" s="17" t="s">
        <v>63</v>
      </c>
      <c r="S4" s="17" t="s">
        <v>72</v>
      </c>
      <c r="V4" s="17" t="s">
        <v>70</v>
      </c>
      <c r="W4" s="17" t="s">
        <v>60</v>
      </c>
      <c r="X4" s="17" t="s">
        <v>70</v>
      </c>
      <c r="Y4" s="17" t="s">
        <v>60</v>
      </c>
      <c r="Z4" s="25"/>
      <c r="AA4" s="17" t="s">
        <v>61</v>
      </c>
      <c r="AB4" s="17" t="s">
        <v>62</v>
      </c>
      <c r="AC4" s="17" t="s">
        <v>63</v>
      </c>
      <c r="AD4" s="17" t="s">
        <v>72</v>
      </c>
    </row>
    <row r="6" spans="1:30" x14ac:dyDescent="0.2">
      <c r="A6">
        <v>0</v>
      </c>
      <c r="C6" s="19">
        <f t="shared" ref="C6:C51" si="0">IF(ini_age+A6&lt;55,"error",IF(ini_age+A6&gt;=85,natDeath85,IF(ini_age+A6&gt;=75,natDeath75,IF(ini_age+A6&gt;=65,natDeath65,IF(ini_age+A6&gt;=55,natDeath55,"error")))))</f>
        <v>1.38E-2</v>
      </c>
      <c r="E6" s="23">
        <v>1000</v>
      </c>
      <c r="F6" s="15"/>
      <c r="G6" s="15"/>
      <c r="H6" s="15"/>
      <c r="I6" s="15">
        <f>SUM(E6:H6)</f>
        <v>1000</v>
      </c>
      <c r="K6" s="15"/>
      <c r="L6" s="15"/>
      <c r="Q6" s="18">
        <f t="shared" ref="Q6:Q51" si="1">(F6*tpDcm*cDeath)</f>
        <v>0</v>
      </c>
      <c r="V6">
        <f>E6*0.5</f>
        <v>500</v>
      </c>
      <c r="W6" s="15">
        <f>0.5*(E6*uAsymp+F6*uProg)</f>
        <v>475</v>
      </c>
      <c r="X6" s="15">
        <f t="shared" ref="X6:X51" si="2">V6/((1+oDR)^$A6)</f>
        <v>500</v>
      </c>
      <c r="Y6" s="15">
        <f t="shared" ref="Y6:Y51" si="3">W6/((1+oDR)^$A6)</f>
        <v>475</v>
      </c>
      <c r="AA6" s="18">
        <f>0.5*(E6*(cAsymp+cDrug)+F6*cProg)</f>
        <v>750000</v>
      </c>
      <c r="AB6" s="48">
        <f>Q6</f>
        <v>0</v>
      </c>
      <c r="AC6" s="48">
        <f>AA6+AB6</f>
        <v>750000</v>
      </c>
      <c r="AD6" s="18">
        <f t="shared" ref="AD6:AD51" si="4">AC6/((1+cDR)^$A6)</f>
        <v>750000</v>
      </c>
    </row>
    <row r="7" spans="1:30" x14ac:dyDescent="0.2">
      <c r="A7">
        <v>1</v>
      </c>
      <c r="C7" s="19">
        <f t="shared" si="0"/>
        <v>1.38E-2</v>
      </c>
      <c r="E7" s="23">
        <f t="shared" ref="E7:E51" si="5">E6*(1-$C6-tpProg*$A7*Eff)</f>
        <v>981.19999999999993</v>
      </c>
      <c r="F7" s="23">
        <f t="shared" ref="F7:F51" si="6">F6*(1-tpDcm-$C6)+E6*tpProg*Eff*$A7</f>
        <v>5</v>
      </c>
      <c r="G7" s="23">
        <f t="shared" ref="G7:G51" si="7">F6*tpDcm+G6</f>
        <v>0</v>
      </c>
      <c r="H7" s="23">
        <f>H6+E6*$C6+F6*$C6</f>
        <v>13.799999999999999</v>
      </c>
      <c r="I7" s="15">
        <f t="shared" ref="I7:I51" si="8">SUM(E7:H7)</f>
        <v>999.99999999999989</v>
      </c>
      <c r="K7" s="15">
        <f>E7+F7</f>
        <v>986.19999999999993</v>
      </c>
      <c r="L7" s="15">
        <f t="shared" ref="L7:L51" si="9">E7*uAsymp+F7*uProg</f>
        <v>935.88999999999987</v>
      </c>
      <c r="M7" s="15">
        <f>(E7+F7)/((1+oDR)^$A7)</f>
        <v>952.85024154589371</v>
      </c>
      <c r="N7" s="15">
        <f>(E7*uAsymp+F7*uProg)/((1+oDR)^$A7)</f>
        <v>904.24154589371972</v>
      </c>
      <c r="O7" s="15"/>
      <c r="P7" s="18">
        <f>(E7*(cAsymp+cDrug)+F7*cProg)</f>
        <v>1486800</v>
      </c>
      <c r="Q7" s="18">
        <f t="shared" si="1"/>
        <v>750</v>
      </c>
      <c r="R7" s="18">
        <f>P7+Q7</f>
        <v>1487550</v>
      </c>
      <c r="S7" s="18">
        <f>R7/((1+cDR)^$A7)</f>
        <v>1437246.3768115942</v>
      </c>
      <c r="V7" s="15">
        <f>K7</f>
        <v>986.19999999999993</v>
      </c>
      <c r="W7" s="15">
        <f t="shared" ref="W7:W51" si="10">E7*uAsymp+F7*uProg</f>
        <v>935.88999999999987</v>
      </c>
      <c r="X7" s="15">
        <f t="shared" si="2"/>
        <v>952.85024154589371</v>
      </c>
      <c r="Y7" s="15">
        <f t="shared" si="3"/>
        <v>904.24154589371972</v>
      </c>
      <c r="Z7" s="48"/>
      <c r="AA7" s="18">
        <f t="shared" ref="AA7:AA51" si="11">(E7*(cAsymp+cDrug)+F7*cProg)</f>
        <v>1486800</v>
      </c>
      <c r="AB7" s="48">
        <f>Q7</f>
        <v>750</v>
      </c>
      <c r="AC7" s="48">
        <f t="shared" ref="AC7:AC51" si="12">AA7+AB7</f>
        <v>1487550</v>
      </c>
      <c r="AD7" s="18">
        <f t="shared" si="4"/>
        <v>1437246.3768115942</v>
      </c>
    </row>
    <row r="8" spans="1:30" x14ac:dyDescent="0.2">
      <c r="A8">
        <v>2</v>
      </c>
      <c r="C8" s="19">
        <f t="shared" si="0"/>
        <v>1.38E-2</v>
      </c>
      <c r="E8" s="23">
        <f t="shared" si="5"/>
        <v>957.84743999999989</v>
      </c>
      <c r="F8" s="23">
        <f t="shared" si="6"/>
        <v>13.992999999999999</v>
      </c>
      <c r="G8" s="23">
        <f t="shared" si="7"/>
        <v>0.75</v>
      </c>
      <c r="H8" s="23">
        <f t="shared" ref="H8:H24" si="13">H7+E7*$C7+F7*$C7</f>
        <v>27.409559999999995</v>
      </c>
      <c r="I8" s="15">
        <f t="shared" si="8"/>
        <v>999.99999999999989</v>
      </c>
      <c r="K8" s="15">
        <f t="shared" ref="K8:K51" si="14">E8+F8</f>
        <v>971.84043999999994</v>
      </c>
      <c r="L8" s="15">
        <f t="shared" si="9"/>
        <v>920.44981799999982</v>
      </c>
      <c r="M8" s="15">
        <f t="shared" ref="M8:M51" si="15">(E8+F8)/((1+oDR)^$A8)</f>
        <v>907.22344978879323</v>
      </c>
      <c r="N8" s="15">
        <f t="shared" ref="N8:N51" si="16">(E8*uAsymp+F8*uProg)/((1+oDR)^$A8)</f>
        <v>859.24975425330808</v>
      </c>
      <c r="O8" s="15"/>
      <c r="P8" s="18">
        <f t="shared" ref="P8:P51" si="17">(E8*(cAsymp+cDrug)+F8*cProg)</f>
        <v>1478750.16</v>
      </c>
      <c r="Q8" s="18">
        <f t="shared" si="1"/>
        <v>2098.9499999999998</v>
      </c>
      <c r="R8" s="18">
        <f t="shared" ref="R8:R51" si="18">P8+Q8</f>
        <v>1480849.1099999999</v>
      </c>
      <c r="S8" s="18">
        <f t="shared" ref="S8:S51" si="19">R8/((1+cDR)^$A8)</f>
        <v>1382388.4898130645</v>
      </c>
      <c r="V8" s="15">
        <f t="shared" ref="V8:V51" si="20">K8</f>
        <v>971.84043999999994</v>
      </c>
      <c r="W8" s="15">
        <f t="shared" si="10"/>
        <v>920.44981799999982</v>
      </c>
      <c r="X8" s="15">
        <f t="shared" si="2"/>
        <v>907.22344978879323</v>
      </c>
      <c r="Y8" s="15">
        <f t="shared" si="3"/>
        <v>859.24975425330808</v>
      </c>
      <c r="Z8" s="48"/>
      <c r="AA8" s="18">
        <f t="shared" si="11"/>
        <v>1478750.16</v>
      </c>
      <c r="AB8" s="48">
        <f t="shared" ref="AB8:AB50" si="21">Q8</f>
        <v>2098.9499999999998</v>
      </c>
      <c r="AC8" s="48">
        <f t="shared" si="12"/>
        <v>1480849.1099999999</v>
      </c>
      <c r="AD8" s="18">
        <f t="shared" si="4"/>
        <v>1382388.4898130645</v>
      </c>
    </row>
    <row r="9" spans="1:30" x14ac:dyDescent="0.2">
      <c r="A9">
        <v>3</v>
      </c>
      <c r="C9" s="19">
        <f t="shared" si="0"/>
        <v>1.38E-2</v>
      </c>
      <c r="E9" s="23">
        <f t="shared" si="5"/>
        <v>930.26143372799982</v>
      </c>
      <c r="F9" s="23">
        <f t="shared" si="6"/>
        <v>26.068658199999998</v>
      </c>
      <c r="G9" s="23">
        <f t="shared" si="7"/>
        <v>2.8489499999999999</v>
      </c>
      <c r="H9" s="23">
        <f t="shared" si="13"/>
        <v>40.820958071999996</v>
      </c>
      <c r="I9" s="15">
        <f t="shared" si="8"/>
        <v>999.99999999999977</v>
      </c>
      <c r="K9" s="15">
        <f t="shared" si="14"/>
        <v>956.33009192799977</v>
      </c>
      <c r="L9" s="15">
        <f t="shared" si="9"/>
        <v>903.29985569159976</v>
      </c>
      <c r="M9" s="15">
        <f t="shared" si="15"/>
        <v>862.55495062528871</v>
      </c>
      <c r="N9" s="15">
        <f t="shared" si="16"/>
        <v>814.72471587201562</v>
      </c>
      <c r="O9" s="15"/>
      <c r="P9" s="18">
        <f t="shared" si="17"/>
        <v>1473598.1251919998</v>
      </c>
      <c r="Q9" s="18">
        <f t="shared" si="1"/>
        <v>3910.2987299999995</v>
      </c>
      <c r="R9" s="18">
        <f t="shared" si="18"/>
        <v>1477508.4239219998</v>
      </c>
      <c r="S9" s="18">
        <f t="shared" si="19"/>
        <v>1332627.9455195039</v>
      </c>
      <c r="V9" s="15">
        <f t="shared" si="20"/>
        <v>956.33009192799977</v>
      </c>
      <c r="W9" s="15">
        <f t="shared" si="10"/>
        <v>903.29985569159976</v>
      </c>
      <c r="X9" s="15">
        <f t="shared" si="2"/>
        <v>862.55495062528871</v>
      </c>
      <c r="Y9" s="15">
        <f t="shared" si="3"/>
        <v>814.72471587201562</v>
      </c>
      <c r="Z9" s="48"/>
      <c r="AA9" s="18">
        <f t="shared" si="11"/>
        <v>1473598.1251919998</v>
      </c>
      <c r="AB9" s="48">
        <f t="shared" si="21"/>
        <v>3910.2987299999995</v>
      </c>
      <c r="AC9" s="48">
        <f t="shared" si="12"/>
        <v>1477508.4239219998</v>
      </c>
      <c r="AD9" s="18">
        <f t="shared" si="4"/>
        <v>1332627.9455195039</v>
      </c>
    </row>
    <row r="10" spans="1:30" x14ac:dyDescent="0.2">
      <c r="A10">
        <v>4</v>
      </c>
      <c r="C10" s="19">
        <f t="shared" si="0"/>
        <v>1.38E-2</v>
      </c>
      <c r="E10" s="23">
        <f t="shared" si="5"/>
        <v>898.81859726799337</v>
      </c>
      <c r="F10" s="23">
        <f t="shared" si="6"/>
        <v>40.403840661399997</v>
      </c>
      <c r="G10" s="23">
        <f t="shared" si="7"/>
        <v>6.7592487299999995</v>
      </c>
      <c r="H10" s="23">
        <f t="shared" si="13"/>
        <v>54.01831334060639</v>
      </c>
      <c r="I10" s="15">
        <f t="shared" si="8"/>
        <v>999.99999999999966</v>
      </c>
      <c r="K10" s="15">
        <f t="shared" si="14"/>
        <v>939.22243792939332</v>
      </c>
      <c r="L10" s="15">
        <f t="shared" si="9"/>
        <v>884.18054790064366</v>
      </c>
      <c r="M10" s="15">
        <f t="shared" si="15"/>
        <v>818.47809361367467</v>
      </c>
      <c r="N10" s="15">
        <f t="shared" si="16"/>
        <v>770.51226635028115</v>
      </c>
      <c r="O10" s="15"/>
      <c r="P10" s="18">
        <f t="shared" si="17"/>
        <v>1469439.4178861901</v>
      </c>
      <c r="Q10" s="18">
        <f t="shared" si="1"/>
        <v>6060.5760992099995</v>
      </c>
      <c r="R10" s="18">
        <f t="shared" si="18"/>
        <v>1475499.9939854001</v>
      </c>
      <c r="S10" s="18">
        <f t="shared" si="19"/>
        <v>1285813.0017278672</v>
      </c>
      <c r="V10" s="15">
        <f t="shared" si="20"/>
        <v>939.22243792939332</v>
      </c>
      <c r="W10" s="15">
        <f t="shared" si="10"/>
        <v>884.18054790064366</v>
      </c>
      <c r="X10" s="15">
        <f t="shared" si="2"/>
        <v>818.47809361367467</v>
      </c>
      <c r="Y10" s="15">
        <f t="shared" si="3"/>
        <v>770.51226635028115</v>
      </c>
      <c r="Z10" s="48"/>
      <c r="AA10" s="18">
        <f t="shared" si="11"/>
        <v>1469439.4178861901</v>
      </c>
      <c r="AB10" s="48">
        <f t="shared" si="21"/>
        <v>6060.5760992099995</v>
      </c>
      <c r="AC10" s="48">
        <f t="shared" si="12"/>
        <v>1475499.9939854001</v>
      </c>
      <c r="AD10" s="18">
        <f t="shared" si="4"/>
        <v>1285813.0017278672</v>
      </c>
    </row>
    <row r="11" spans="1:30" x14ac:dyDescent="0.2">
      <c r="A11">
        <v>5</v>
      </c>
      <c r="C11" s="19">
        <f t="shared" si="0"/>
        <v>1.38E-2</v>
      </c>
      <c r="E11" s="23">
        <f t="shared" si="5"/>
        <v>863.94443569399516</v>
      </c>
      <c r="F11" s="23">
        <f t="shared" si="6"/>
        <v>56.256156492762514</v>
      </c>
      <c r="G11" s="23">
        <f t="shared" si="7"/>
        <v>12.819824829209999</v>
      </c>
      <c r="H11" s="23">
        <f t="shared" si="13"/>
        <v>66.979582984032021</v>
      </c>
      <c r="I11" s="15">
        <f t="shared" si="8"/>
        <v>999.99999999999977</v>
      </c>
      <c r="K11" s="15">
        <f t="shared" si="14"/>
        <v>920.20059218675772</v>
      </c>
      <c r="L11" s="15">
        <f t="shared" si="9"/>
        <v>862.93933127886726</v>
      </c>
      <c r="M11" s="15">
        <f t="shared" si="15"/>
        <v>774.78420674857375</v>
      </c>
      <c r="N11" s="15">
        <f t="shared" si="16"/>
        <v>726.57176156364494</v>
      </c>
      <c r="O11" s="15"/>
      <c r="P11" s="18">
        <f t="shared" si="17"/>
        <v>1464685.1230192801</v>
      </c>
      <c r="Q11" s="18">
        <f t="shared" si="1"/>
        <v>8438.4234739143758</v>
      </c>
      <c r="R11" s="18">
        <f t="shared" si="18"/>
        <v>1473123.5464931945</v>
      </c>
      <c r="S11" s="18">
        <f t="shared" si="19"/>
        <v>1240330.4976147353</v>
      </c>
      <c r="V11" s="15">
        <f t="shared" si="20"/>
        <v>920.20059218675772</v>
      </c>
      <c r="W11" s="15">
        <f t="shared" si="10"/>
        <v>862.93933127886726</v>
      </c>
      <c r="X11" s="15">
        <f t="shared" si="2"/>
        <v>774.78420674857375</v>
      </c>
      <c r="Y11" s="15">
        <f t="shared" si="3"/>
        <v>726.57176156364494</v>
      </c>
      <c r="Z11" s="48"/>
      <c r="AA11" s="18">
        <f t="shared" si="11"/>
        <v>1464685.1230192801</v>
      </c>
      <c r="AB11" s="48">
        <f t="shared" si="21"/>
        <v>8438.4234739143758</v>
      </c>
      <c r="AC11" s="48">
        <f t="shared" si="12"/>
        <v>1473123.5464931945</v>
      </c>
      <c r="AD11" s="18">
        <f t="shared" si="4"/>
        <v>1240330.4976147353</v>
      </c>
    </row>
    <row r="12" spans="1:30" x14ac:dyDescent="0.2">
      <c r="A12">
        <v>6</v>
      </c>
      <c r="C12" s="19">
        <f t="shared" si="0"/>
        <v>1.38E-2</v>
      </c>
      <c r="E12" s="23">
        <f t="shared" si="5"/>
        <v>826.10366941059817</v>
      </c>
      <c r="F12" s="23">
        <f t="shared" si="6"/>
        <v>72.959731130067865</v>
      </c>
      <c r="G12" s="23">
        <f t="shared" si="7"/>
        <v>21.258248303124375</v>
      </c>
      <c r="H12" s="23">
        <f t="shared" si="13"/>
        <v>79.678351156209274</v>
      </c>
      <c r="I12" s="15">
        <f t="shared" si="8"/>
        <v>999.99999999999966</v>
      </c>
      <c r="K12" s="15">
        <f t="shared" si="14"/>
        <v>899.06340054066607</v>
      </c>
      <c r="L12" s="15">
        <f t="shared" si="9"/>
        <v>839.51828428761905</v>
      </c>
      <c r="M12" s="15">
        <f t="shared" si="15"/>
        <v>731.38865561335103</v>
      </c>
      <c r="N12" s="15">
        <f t="shared" si="16"/>
        <v>682.94866517611729</v>
      </c>
      <c r="O12" s="15"/>
      <c r="P12" s="18">
        <f t="shared" si="17"/>
        <v>1458034.6975061009</v>
      </c>
      <c r="Q12" s="18">
        <f t="shared" si="1"/>
        <v>10943.959669510181</v>
      </c>
      <c r="R12" s="18">
        <f t="shared" si="18"/>
        <v>1468978.657175611</v>
      </c>
      <c r="S12" s="18">
        <f t="shared" si="19"/>
        <v>1195015.0840866971</v>
      </c>
      <c r="V12" s="15">
        <f t="shared" si="20"/>
        <v>899.06340054066607</v>
      </c>
      <c r="W12" s="15">
        <f t="shared" si="10"/>
        <v>839.51828428761905</v>
      </c>
      <c r="X12" s="15">
        <f t="shared" si="2"/>
        <v>731.38865561335103</v>
      </c>
      <c r="Y12" s="15">
        <f t="shared" si="3"/>
        <v>682.94866517611729</v>
      </c>
      <c r="Z12" s="48"/>
      <c r="AA12" s="18">
        <f t="shared" si="11"/>
        <v>1458034.6975061009</v>
      </c>
      <c r="AB12" s="48">
        <f t="shared" si="21"/>
        <v>10943.959669510181</v>
      </c>
      <c r="AC12" s="48">
        <f t="shared" si="12"/>
        <v>1468978.657175611</v>
      </c>
      <c r="AD12" s="18">
        <f t="shared" si="4"/>
        <v>1195015.0840866971</v>
      </c>
    </row>
    <row r="13" spans="1:30" x14ac:dyDescent="0.2">
      <c r="A13">
        <v>7</v>
      </c>
      <c r="C13" s="19">
        <f t="shared" si="0"/>
        <v>1.38E-2</v>
      </c>
      <c r="E13" s="23">
        <f t="shared" si="5"/>
        <v>785.78981034336095</v>
      </c>
      <c r="F13" s="23">
        <f t="shared" si="6"/>
        <v>89.922555600333681</v>
      </c>
      <c r="G13" s="23">
        <f t="shared" si="7"/>
        <v>32.202207972634554</v>
      </c>
      <c r="H13" s="23">
        <f t="shared" si="13"/>
        <v>92.08542608367047</v>
      </c>
      <c r="I13" s="15">
        <f t="shared" si="8"/>
        <v>999.99999999999966</v>
      </c>
      <c r="K13" s="15">
        <f t="shared" si="14"/>
        <v>875.71236594369464</v>
      </c>
      <c r="L13" s="15">
        <f t="shared" si="9"/>
        <v>813.94223652644314</v>
      </c>
      <c r="M13" s="15">
        <f t="shared" si="15"/>
        <v>688.30200379078474</v>
      </c>
      <c r="N13" s="15">
        <f t="shared" si="16"/>
        <v>639.75124042855543</v>
      </c>
      <c r="O13" s="15"/>
      <c r="P13" s="18">
        <f t="shared" si="17"/>
        <v>1448452.3823160427</v>
      </c>
      <c r="Q13" s="18">
        <f t="shared" si="1"/>
        <v>13488.383340050052</v>
      </c>
      <c r="R13" s="18">
        <f t="shared" si="18"/>
        <v>1461940.7656560927</v>
      </c>
      <c r="S13" s="18">
        <f t="shared" si="19"/>
        <v>1149072.2268608704</v>
      </c>
      <c r="V13" s="15">
        <f t="shared" si="20"/>
        <v>875.71236594369464</v>
      </c>
      <c r="W13" s="15">
        <f t="shared" si="10"/>
        <v>813.94223652644314</v>
      </c>
      <c r="X13" s="15">
        <f t="shared" si="2"/>
        <v>688.30200379078474</v>
      </c>
      <c r="Y13" s="15">
        <f t="shared" si="3"/>
        <v>639.75124042855543</v>
      </c>
      <c r="Z13" s="48"/>
      <c r="AA13" s="18">
        <f t="shared" si="11"/>
        <v>1448452.3823160427</v>
      </c>
      <c r="AB13" s="48">
        <f t="shared" si="21"/>
        <v>13488.383340050052</v>
      </c>
      <c r="AC13" s="48">
        <f t="shared" si="12"/>
        <v>1461940.7656560927</v>
      </c>
      <c r="AD13" s="18">
        <f t="shared" si="4"/>
        <v>1149072.2268608704</v>
      </c>
    </row>
    <row r="14" spans="1:30" x14ac:dyDescent="0.2">
      <c r="A14">
        <v>8</v>
      </c>
      <c r="C14" s="19">
        <f t="shared" si="0"/>
        <v>1.38E-2</v>
      </c>
      <c r="E14" s="23">
        <f t="shared" si="5"/>
        <v>743.51431854688803</v>
      </c>
      <c r="F14" s="23">
        <f t="shared" si="6"/>
        <v>106.62483340673346</v>
      </c>
      <c r="G14" s="23">
        <f t="shared" si="7"/>
        <v>45.690591312684603</v>
      </c>
      <c r="H14" s="23">
        <f t="shared" si="13"/>
        <v>104.17025673369346</v>
      </c>
      <c r="I14" s="15">
        <f t="shared" si="8"/>
        <v>999.99999999999966</v>
      </c>
      <c r="K14" s="15">
        <f t="shared" si="14"/>
        <v>850.13915195362154</v>
      </c>
      <c r="L14" s="15">
        <f t="shared" si="9"/>
        <v>786.30722767459372</v>
      </c>
      <c r="M14" s="15">
        <f t="shared" si="15"/>
        <v>645.6054963854632</v>
      </c>
      <c r="N14" s="15">
        <f t="shared" si="16"/>
        <v>597.13079543244885</v>
      </c>
      <c r="O14" s="15"/>
      <c r="P14" s="18">
        <f t="shared" si="17"/>
        <v>1435145.9780405327</v>
      </c>
      <c r="Q14" s="18">
        <f t="shared" si="1"/>
        <v>15993.725011010018</v>
      </c>
      <c r="R14" s="18">
        <f t="shared" si="18"/>
        <v>1451139.7030515426</v>
      </c>
      <c r="S14" s="18">
        <f t="shared" si="19"/>
        <v>1102012.2601815597</v>
      </c>
      <c r="V14" s="15">
        <f t="shared" si="20"/>
        <v>850.13915195362154</v>
      </c>
      <c r="W14" s="15">
        <f t="shared" si="10"/>
        <v>786.30722767459372</v>
      </c>
      <c r="X14" s="15">
        <f t="shared" si="2"/>
        <v>645.6054963854632</v>
      </c>
      <c r="Y14" s="15">
        <f t="shared" si="3"/>
        <v>597.13079543244885</v>
      </c>
      <c r="Z14" s="48"/>
      <c r="AA14" s="18">
        <f t="shared" si="11"/>
        <v>1435145.9780405327</v>
      </c>
      <c r="AB14" s="48">
        <f t="shared" si="21"/>
        <v>15993.725011010018</v>
      </c>
      <c r="AC14" s="48">
        <f t="shared" si="12"/>
        <v>1451139.7030515426</v>
      </c>
      <c r="AD14" s="18">
        <f t="shared" si="4"/>
        <v>1102012.2601815597</v>
      </c>
    </row>
    <row r="15" spans="1:30" x14ac:dyDescent="0.2">
      <c r="A15">
        <v>9</v>
      </c>
      <c r="C15" s="19">
        <f t="shared" si="0"/>
        <v>1.38E-2</v>
      </c>
      <c r="E15" s="23">
        <f t="shared" si="5"/>
        <v>699.79567661633098</v>
      </c>
      <c r="F15" s="23">
        <f t="shared" si="6"/>
        <v>122.61783002932049</v>
      </c>
      <c r="G15" s="23">
        <f t="shared" si="7"/>
        <v>61.684316323694617</v>
      </c>
      <c r="H15" s="23">
        <f t="shared" si="13"/>
        <v>115.90217703065345</v>
      </c>
      <c r="I15" s="15">
        <f t="shared" si="8"/>
        <v>999.99999999999955</v>
      </c>
      <c r="K15" s="15">
        <f t="shared" si="14"/>
        <v>822.41350664565152</v>
      </c>
      <c r="L15" s="15">
        <f t="shared" si="9"/>
        <v>756.76926530750472</v>
      </c>
      <c r="M15" s="15">
        <f t="shared" si="15"/>
        <v>603.43026177298361</v>
      </c>
      <c r="N15" s="15">
        <f t="shared" si="16"/>
        <v>555.26504875729552</v>
      </c>
      <c r="O15" s="15"/>
      <c r="P15" s="18">
        <f t="shared" si="17"/>
        <v>1417547.005012458</v>
      </c>
      <c r="Q15" s="18">
        <f t="shared" si="1"/>
        <v>18392.674504398074</v>
      </c>
      <c r="R15" s="18">
        <f t="shared" si="18"/>
        <v>1435939.6795168561</v>
      </c>
      <c r="S15" s="18">
        <f t="shared" si="19"/>
        <v>1053593.4170575459</v>
      </c>
      <c r="V15" s="15">
        <f t="shared" si="20"/>
        <v>822.41350664565152</v>
      </c>
      <c r="W15" s="15">
        <f t="shared" si="10"/>
        <v>756.76926530750472</v>
      </c>
      <c r="X15" s="15">
        <f t="shared" si="2"/>
        <v>603.43026177298361</v>
      </c>
      <c r="Y15" s="15">
        <f t="shared" si="3"/>
        <v>555.26504875729552</v>
      </c>
      <c r="Z15" s="48"/>
      <c r="AA15" s="18">
        <f t="shared" si="11"/>
        <v>1417547.005012458</v>
      </c>
      <c r="AB15" s="48">
        <f t="shared" si="21"/>
        <v>18392.674504398074</v>
      </c>
      <c r="AC15" s="48">
        <f t="shared" si="12"/>
        <v>1435939.6795168561</v>
      </c>
      <c r="AD15" s="18">
        <f t="shared" si="4"/>
        <v>1053593.4170575459</v>
      </c>
    </row>
    <row r="16" spans="1:30" x14ac:dyDescent="0.2">
      <c r="A16">
        <v>10</v>
      </c>
      <c r="C16" s="19">
        <f t="shared" si="0"/>
        <v>3.7900000000000003E-2</v>
      </c>
      <c r="E16" s="23">
        <f t="shared" si="5"/>
        <v>655.14871244820904</v>
      </c>
      <c r="F16" s="23">
        <f t="shared" si="6"/>
        <v>137.52281330133434</v>
      </c>
      <c r="G16" s="23">
        <f t="shared" si="7"/>
        <v>80.07699082809269</v>
      </c>
      <c r="H16" s="23">
        <f t="shared" si="13"/>
        <v>127.25148342236344</v>
      </c>
      <c r="I16" s="15">
        <f t="shared" si="8"/>
        <v>999.99999999999955</v>
      </c>
      <c r="K16" s="15">
        <f t="shared" si="14"/>
        <v>792.67152574954343</v>
      </c>
      <c r="L16" s="15">
        <f t="shared" si="9"/>
        <v>725.53338680179922</v>
      </c>
      <c r="M16" s="15">
        <f t="shared" si="15"/>
        <v>561.93975769588144</v>
      </c>
      <c r="N16" s="15">
        <f t="shared" si="16"/>
        <v>514.3442678783648</v>
      </c>
      <c r="O16" s="15"/>
      <c r="P16" s="18">
        <f t="shared" si="17"/>
        <v>1395291.5085763165</v>
      </c>
      <c r="Q16" s="18">
        <f t="shared" si="1"/>
        <v>20628.421995200148</v>
      </c>
      <c r="R16" s="18">
        <f t="shared" si="18"/>
        <v>1415919.9305715167</v>
      </c>
      <c r="S16" s="18">
        <f t="shared" si="19"/>
        <v>1003772.2774887827</v>
      </c>
      <c r="V16" s="15">
        <f t="shared" si="20"/>
        <v>792.67152574954343</v>
      </c>
      <c r="W16" s="15">
        <f t="shared" si="10"/>
        <v>725.53338680179922</v>
      </c>
      <c r="X16" s="15">
        <f t="shared" si="2"/>
        <v>561.93975769588144</v>
      </c>
      <c r="Y16" s="15">
        <f t="shared" si="3"/>
        <v>514.3442678783648</v>
      </c>
      <c r="Z16" s="48"/>
      <c r="AA16" s="18">
        <f t="shared" si="11"/>
        <v>1395291.5085763165</v>
      </c>
      <c r="AB16" s="48">
        <f t="shared" si="21"/>
        <v>20628.421995200148</v>
      </c>
      <c r="AC16" s="48">
        <f t="shared" si="12"/>
        <v>1415919.9305715167</v>
      </c>
      <c r="AD16" s="18">
        <f t="shared" si="4"/>
        <v>1003772.2774887827</v>
      </c>
    </row>
    <row r="17" spans="1:30" x14ac:dyDescent="0.2">
      <c r="A17">
        <v>11</v>
      </c>
      <c r="C17" s="19">
        <f t="shared" si="0"/>
        <v>3.7900000000000003E-2</v>
      </c>
      <c r="E17" s="23">
        <f t="shared" si="5"/>
        <v>594.28539706177037</v>
      </c>
      <c r="F17" s="23">
        <f t="shared" si="6"/>
        <v>147.71545586666511</v>
      </c>
      <c r="G17" s="23">
        <f t="shared" si="7"/>
        <v>100.70541282329285</v>
      </c>
      <c r="H17" s="23">
        <f t="shared" si="13"/>
        <v>157.29373424827114</v>
      </c>
      <c r="I17" s="15">
        <f t="shared" si="8"/>
        <v>999.99999999999943</v>
      </c>
      <c r="K17" s="15">
        <f t="shared" si="14"/>
        <v>742.00085292843551</v>
      </c>
      <c r="L17" s="15">
        <f t="shared" si="9"/>
        <v>675.35771910868061</v>
      </c>
      <c r="M17" s="15">
        <f t="shared" si="15"/>
        <v>508.2303037967784</v>
      </c>
      <c r="N17" s="15">
        <f t="shared" si="16"/>
        <v>462.58337493745256</v>
      </c>
      <c r="O17" s="15"/>
      <c r="P17" s="18">
        <f t="shared" si="17"/>
        <v>1334574.463192651</v>
      </c>
      <c r="Q17" s="18">
        <f t="shared" si="1"/>
        <v>22157.318379999764</v>
      </c>
      <c r="R17" s="18">
        <f t="shared" si="18"/>
        <v>1356731.7815726509</v>
      </c>
      <c r="S17" s="18">
        <f t="shared" si="19"/>
        <v>929287.6184684342</v>
      </c>
      <c r="V17" s="15">
        <f t="shared" si="20"/>
        <v>742.00085292843551</v>
      </c>
      <c r="W17" s="15">
        <f t="shared" si="10"/>
        <v>675.35771910868061</v>
      </c>
      <c r="X17" s="15">
        <f t="shared" si="2"/>
        <v>508.2303037967784</v>
      </c>
      <c r="Y17" s="15">
        <f t="shared" si="3"/>
        <v>462.58337493745256</v>
      </c>
      <c r="Z17" s="48"/>
      <c r="AA17" s="18">
        <f t="shared" si="11"/>
        <v>1334574.463192651</v>
      </c>
      <c r="AB17" s="48">
        <f t="shared" si="21"/>
        <v>22157.318379999764</v>
      </c>
      <c r="AC17" s="48">
        <f t="shared" si="12"/>
        <v>1356731.7815726509</v>
      </c>
      <c r="AD17" s="18">
        <f t="shared" si="4"/>
        <v>929287.6184684342</v>
      </c>
    </row>
    <row r="18" spans="1:30" x14ac:dyDescent="0.2">
      <c r="A18">
        <v>12</v>
      </c>
      <c r="C18" s="19">
        <f t="shared" si="0"/>
        <v>3.7900000000000003E-2</v>
      </c>
      <c r="E18" s="23">
        <f t="shared" si="5"/>
        <v>536.10485668942295</v>
      </c>
      <c r="F18" s="23">
        <f t="shared" si="6"/>
        <v>155.61684553302496</v>
      </c>
      <c r="G18" s="23">
        <f t="shared" si="7"/>
        <v>122.86273120329261</v>
      </c>
      <c r="H18" s="23">
        <f t="shared" si="13"/>
        <v>185.41556657425886</v>
      </c>
      <c r="I18" s="15">
        <f t="shared" si="8"/>
        <v>999.99999999999932</v>
      </c>
      <c r="K18" s="15">
        <f t="shared" si="14"/>
        <v>691.7217022224479</v>
      </c>
      <c r="L18" s="15">
        <f t="shared" si="9"/>
        <v>626.0122480047205</v>
      </c>
      <c r="M18" s="15">
        <f t="shared" si="15"/>
        <v>457.76986959494229</v>
      </c>
      <c r="N18" s="15">
        <f t="shared" si="16"/>
        <v>414.28445025395615</v>
      </c>
      <c r="O18" s="15"/>
      <c r="P18" s="18">
        <f t="shared" si="17"/>
        <v>1271007.8216332092</v>
      </c>
      <c r="Q18" s="18">
        <f t="shared" si="1"/>
        <v>23342.526829953746</v>
      </c>
      <c r="R18" s="18">
        <f t="shared" si="18"/>
        <v>1294350.348463163</v>
      </c>
      <c r="S18" s="18">
        <f t="shared" si="19"/>
        <v>856579.44274763542</v>
      </c>
      <c r="V18" s="15">
        <f t="shared" si="20"/>
        <v>691.7217022224479</v>
      </c>
      <c r="W18" s="15">
        <f t="shared" si="10"/>
        <v>626.0122480047205</v>
      </c>
      <c r="X18" s="15">
        <f t="shared" si="2"/>
        <v>457.76986959494229</v>
      </c>
      <c r="Y18" s="15">
        <f t="shared" si="3"/>
        <v>414.28445025395615</v>
      </c>
      <c r="Z18" s="48"/>
      <c r="AA18" s="18">
        <f t="shared" si="11"/>
        <v>1271007.8216332092</v>
      </c>
      <c r="AB18" s="48">
        <f t="shared" si="21"/>
        <v>23342.526829953746</v>
      </c>
      <c r="AC18" s="48">
        <f t="shared" si="12"/>
        <v>1294350.348463163</v>
      </c>
      <c r="AD18" s="18">
        <f t="shared" si="4"/>
        <v>856579.44274763542</v>
      </c>
    </row>
    <row r="19" spans="1:30" x14ac:dyDescent="0.2">
      <c r="A19">
        <v>13</v>
      </c>
      <c r="C19" s="19">
        <f t="shared" si="0"/>
        <v>3.7900000000000003E-2</v>
      </c>
      <c r="E19" s="23">
        <f t="shared" si="5"/>
        <v>480.93966693608132</v>
      </c>
      <c r="F19" s="23">
        <f t="shared" si="6"/>
        <v>161.22325594218205</v>
      </c>
      <c r="G19" s="23">
        <f t="shared" si="7"/>
        <v>146.20525803324637</v>
      </c>
      <c r="H19" s="23">
        <f t="shared" si="13"/>
        <v>211.63181908848964</v>
      </c>
      <c r="I19" s="15">
        <f t="shared" si="8"/>
        <v>999.99999999999932</v>
      </c>
      <c r="K19" s="15">
        <f t="shared" si="14"/>
        <v>642.16292287826332</v>
      </c>
      <c r="L19" s="15">
        <f t="shared" si="9"/>
        <v>577.81012554591371</v>
      </c>
      <c r="M19" s="15">
        <f t="shared" si="15"/>
        <v>410.60163975011091</v>
      </c>
      <c r="N19" s="15">
        <f t="shared" si="16"/>
        <v>369.45419388273484</v>
      </c>
      <c r="O19" s="15"/>
      <c r="P19" s="18">
        <f t="shared" si="17"/>
        <v>1205079.268230668</v>
      </c>
      <c r="Q19" s="18">
        <f t="shared" si="1"/>
        <v>24183.488391327304</v>
      </c>
      <c r="R19" s="18">
        <f t="shared" si="18"/>
        <v>1229262.7566219952</v>
      </c>
      <c r="S19" s="18">
        <f t="shared" si="19"/>
        <v>785995.71163409762</v>
      </c>
      <c r="V19" s="15">
        <f t="shared" si="20"/>
        <v>642.16292287826332</v>
      </c>
      <c r="W19" s="15">
        <f t="shared" si="10"/>
        <v>577.81012554591371</v>
      </c>
      <c r="X19" s="15">
        <f t="shared" si="2"/>
        <v>410.60163975011091</v>
      </c>
      <c r="Y19" s="15">
        <f t="shared" si="3"/>
        <v>369.45419388273484</v>
      </c>
      <c r="Z19" s="48"/>
      <c r="AA19" s="18">
        <f t="shared" si="11"/>
        <v>1205079.268230668</v>
      </c>
      <c r="AB19" s="48">
        <f t="shared" si="21"/>
        <v>24183.488391327304</v>
      </c>
      <c r="AC19" s="48">
        <f t="shared" si="12"/>
        <v>1229262.7566219952</v>
      </c>
      <c r="AD19" s="18">
        <f t="shared" si="4"/>
        <v>785995.71163409762</v>
      </c>
    </row>
    <row r="20" spans="1:30" x14ac:dyDescent="0.2">
      <c r="A20">
        <v>14</v>
      </c>
      <c r="C20" s="19">
        <f t="shared" si="0"/>
        <v>3.7900000000000003E-2</v>
      </c>
      <c r="E20" s="23">
        <f t="shared" si="5"/>
        <v>429.0462768736781</v>
      </c>
      <c r="F20" s="23">
        <f t="shared" si="6"/>
        <v>164.59518283617172</v>
      </c>
      <c r="G20" s="23">
        <f t="shared" si="7"/>
        <v>170.38874642457367</v>
      </c>
      <c r="H20" s="23">
        <f t="shared" si="13"/>
        <v>235.96979386557581</v>
      </c>
      <c r="I20" s="15">
        <f t="shared" si="8"/>
        <v>999.99999999999932</v>
      </c>
      <c r="K20" s="15">
        <f t="shared" si="14"/>
        <v>593.64145970984987</v>
      </c>
      <c r="L20" s="15">
        <f t="shared" si="9"/>
        <v>531.04035015712293</v>
      </c>
      <c r="M20" s="15">
        <f t="shared" si="15"/>
        <v>366.74088376200848</v>
      </c>
      <c r="N20" s="15">
        <f t="shared" si="16"/>
        <v>328.06705822921873</v>
      </c>
      <c r="O20" s="15"/>
      <c r="P20" s="18">
        <f t="shared" si="17"/>
        <v>1137354.9638190323</v>
      </c>
      <c r="Q20" s="18">
        <f t="shared" si="1"/>
        <v>24689.277425425757</v>
      </c>
      <c r="R20" s="18">
        <f t="shared" si="18"/>
        <v>1162044.2412444581</v>
      </c>
      <c r="S20" s="18">
        <f t="shared" si="19"/>
        <v>717889.77173669951</v>
      </c>
      <c r="V20" s="15">
        <f t="shared" si="20"/>
        <v>593.64145970984987</v>
      </c>
      <c r="W20" s="15">
        <f t="shared" si="10"/>
        <v>531.04035015712293</v>
      </c>
      <c r="X20" s="15">
        <f t="shared" si="2"/>
        <v>366.74088376200848</v>
      </c>
      <c r="Y20" s="15">
        <f t="shared" si="3"/>
        <v>328.06705822921873</v>
      </c>
      <c r="Z20" s="48"/>
      <c r="AA20" s="18">
        <f t="shared" si="11"/>
        <v>1137354.9638190323</v>
      </c>
      <c r="AB20" s="48">
        <f t="shared" si="21"/>
        <v>24689.277425425757</v>
      </c>
      <c r="AC20" s="48">
        <f t="shared" si="12"/>
        <v>1162044.2412444581</v>
      </c>
      <c r="AD20" s="18">
        <f t="shared" si="4"/>
        <v>717889.77173669951</v>
      </c>
    </row>
    <row r="21" spans="1:30" x14ac:dyDescent="0.2">
      <c r="A21">
        <v>15</v>
      </c>
      <c r="C21" s="19">
        <f t="shared" si="0"/>
        <v>3.7900000000000003E-2</v>
      </c>
      <c r="E21" s="23">
        <f t="shared" si="5"/>
        <v>380.60695221463982</v>
      </c>
      <c r="F21" s="23">
        <f t="shared" si="6"/>
        <v>165.84621874678089</v>
      </c>
      <c r="G21" s="23">
        <f t="shared" si="7"/>
        <v>195.07802384999943</v>
      </c>
      <c r="H21" s="23">
        <f t="shared" si="13"/>
        <v>258.4688051885791</v>
      </c>
      <c r="I21" s="15">
        <f t="shared" si="8"/>
        <v>999.99999999999932</v>
      </c>
      <c r="K21" s="15">
        <f t="shared" si="14"/>
        <v>546.45317096142071</v>
      </c>
      <c r="L21" s="15">
        <f t="shared" si="9"/>
        <v>485.96126866399345</v>
      </c>
      <c r="M21" s="15">
        <f t="shared" si="15"/>
        <v>326.1727712646487</v>
      </c>
      <c r="N21" s="15">
        <f t="shared" si="16"/>
        <v>290.06572228054608</v>
      </c>
      <c r="O21" s="15"/>
      <c r="P21" s="18">
        <f t="shared" si="17"/>
        <v>1068449.0845623023</v>
      </c>
      <c r="Q21" s="18">
        <f t="shared" si="1"/>
        <v>24876.932812017134</v>
      </c>
      <c r="R21" s="18">
        <f t="shared" si="18"/>
        <v>1093326.0173743195</v>
      </c>
      <c r="S21" s="18">
        <f t="shared" si="19"/>
        <v>652596.0428691518</v>
      </c>
      <c r="V21" s="15">
        <f t="shared" si="20"/>
        <v>546.45317096142071</v>
      </c>
      <c r="W21" s="15">
        <f t="shared" si="10"/>
        <v>485.96126866399345</v>
      </c>
      <c r="X21" s="15">
        <f t="shared" si="2"/>
        <v>326.1727712646487</v>
      </c>
      <c r="Y21" s="15">
        <f t="shared" si="3"/>
        <v>290.06572228054608</v>
      </c>
      <c r="Z21" s="48"/>
      <c r="AA21" s="18">
        <f t="shared" si="11"/>
        <v>1068449.0845623023</v>
      </c>
      <c r="AB21" s="48">
        <f t="shared" si="21"/>
        <v>24876.932812017134</v>
      </c>
      <c r="AC21" s="48">
        <f t="shared" si="12"/>
        <v>1093326.0173743195</v>
      </c>
      <c r="AD21" s="18">
        <f t="shared" si="4"/>
        <v>652596.0428691518</v>
      </c>
    </row>
    <row r="22" spans="1:30" x14ac:dyDescent="0.2">
      <c r="A22">
        <v>16</v>
      </c>
      <c r="C22" s="19">
        <f t="shared" si="0"/>
        <v>3.7900000000000003E-2</v>
      </c>
      <c r="E22" s="23">
        <f t="shared" si="5"/>
        <v>335.7333925485338</v>
      </c>
      <c r="F22" s="23">
        <f t="shared" si="6"/>
        <v>165.13227042143194</v>
      </c>
      <c r="G22" s="23">
        <f t="shared" si="7"/>
        <v>219.95495666201657</v>
      </c>
      <c r="H22" s="23">
        <f t="shared" si="13"/>
        <v>279.17938036801695</v>
      </c>
      <c r="I22" s="15">
        <f t="shared" si="8"/>
        <v>999.9999999999992</v>
      </c>
      <c r="K22" s="15">
        <f t="shared" si="14"/>
        <v>500.86566296996574</v>
      </c>
      <c r="L22" s="15">
        <f t="shared" si="9"/>
        <v>442.79592573718105</v>
      </c>
      <c r="M22" s="15">
        <f t="shared" si="15"/>
        <v>288.85218880972559</v>
      </c>
      <c r="N22" s="15">
        <f t="shared" si="16"/>
        <v>255.36302805585433</v>
      </c>
      <c r="O22" s="15"/>
      <c r="P22" s="18">
        <f t="shared" si="17"/>
        <v>998996.9000870965</v>
      </c>
      <c r="Q22" s="18">
        <f t="shared" si="1"/>
        <v>24769.840563214788</v>
      </c>
      <c r="R22" s="18">
        <f t="shared" si="18"/>
        <v>1023766.7406503112</v>
      </c>
      <c r="S22" s="18">
        <f t="shared" si="19"/>
        <v>590412.33155001409</v>
      </c>
      <c r="V22" s="15">
        <f t="shared" si="20"/>
        <v>500.86566296996574</v>
      </c>
      <c r="W22" s="15">
        <f t="shared" si="10"/>
        <v>442.79592573718105</v>
      </c>
      <c r="X22" s="15">
        <f t="shared" si="2"/>
        <v>288.85218880972559</v>
      </c>
      <c r="Y22" s="15">
        <f t="shared" si="3"/>
        <v>255.36302805585433</v>
      </c>
      <c r="Z22" s="48"/>
      <c r="AA22" s="18">
        <f t="shared" si="11"/>
        <v>998996.9000870965</v>
      </c>
      <c r="AB22" s="48">
        <f t="shared" si="21"/>
        <v>24769.840563214788</v>
      </c>
      <c r="AC22" s="48">
        <f t="shared" si="12"/>
        <v>1023766.7406503112</v>
      </c>
      <c r="AD22" s="18">
        <f t="shared" si="4"/>
        <v>590412.33155001409</v>
      </c>
    </row>
    <row r="23" spans="1:30" x14ac:dyDescent="0.2">
      <c r="A23">
        <v>17</v>
      </c>
      <c r="C23" s="19">
        <f t="shared" si="0"/>
        <v>3.7900000000000003E-2</v>
      </c>
      <c r="E23" s="23">
        <f t="shared" si="5"/>
        <v>294.47175860431901</v>
      </c>
      <c r="F23" s="23">
        <f t="shared" si="6"/>
        <v>162.64125517587024</v>
      </c>
      <c r="G23" s="23">
        <f t="shared" si="7"/>
        <v>244.72479722523136</v>
      </c>
      <c r="H23" s="23">
        <f t="shared" si="13"/>
        <v>298.16218899457863</v>
      </c>
      <c r="I23" s="15">
        <f t="shared" si="8"/>
        <v>999.9999999999992</v>
      </c>
      <c r="K23" s="15">
        <f t="shared" si="14"/>
        <v>457.11301378018925</v>
      </c>
      <c r="L23" s="15">
        <f t="shared" si="9"/>
        <v>401.72911205600576</v>
      </c>
      <c r="M23" s="15">
        <f t="shared" si="15"/>
        <v>254.70509890705148</v>
      </c>
      <c r="N23" s="15">
        <f t="shared" si="16"/>
        <v>223.84497954650323</v>
      </c>
      <c r="O23" s="15"/>
      <c r="P23" s="18">
        <f t="shared" si="17"/>
        <v>929631.40343408915</v>
      </c>
      <c r="Q23" s="18">
        <f t="shared" si="1"/>
        <v>24396.188276380533</v>
      </c>
      <c r="R23" s="18">
        <f t="shared" si="18"/>
        <v>954027.59171046969</v>
      </c>
      <c r="S23" s="18">
        <f t="shared" si="19"/>
        <v>531587.77978594147</v>
      </c>
      <c r="V23" s="15">
        <f t="shared" si="20"/>
        <v>457.11301378018925</v>
      </c>
      <c r="W23" s="15">
        <f t="shared" si="10"/>
        <v>401.72911205600576</v>
      </c>
      <c r="X23" s="15">
        <f t="shared" si="2"/>
        <v>254.70509890705148</v>
      </c>
      <c r="Y23" s="15">
        <f t="shared" si="3"/>
        <v>223.84497954650323</v>
      </c>
      <c r="Z23" s="48"/>
      <c r="AA23" s="18">
        <f t="shared" si="11"/>
        <v>929631.40343408915</v>
      </c>
      <c r="AB23" s="48">
        <f t="shared" si="21"/>
        <v>24396.188276380533</v>
      </c>
      <c r="AC23" s="48">
        <f t="shared" si="12"/>
        <v>954027.59171046969</v>
      </c>
      <c r="AD23" s="18">
        <f t="shared" si="4"/>
        <v>531587.77978594147</v>
      </c>
    </row>
    <row r="24" spans="1:30" x14ac:dyDescent="0.2">
      <c r="A24">
        <v>18</v>
      </c>
      <c r="C24" s="19">
        <f t="shared" si="0"/>
        <v>3.7900000000000003E-2</v>
      </c>
      <c r="E24" s="23">
        <f t="shared" si="5"/>
        <v>256.80882067882658</v>
      </c>
      <c r="F24" s="23">
        <f t="shared" si="6"/>
        <v>158.58342160271292</v>
      </c>
      <c r="G24" s="23">
        <f t="shared" si="7"/>
        <v>269.12098550161187</v>
      </c>
      <c r="H24" s="23">
        <f t="shared" si="13"/>
        <v>315.48677221684778</v>
      </c>
      <c r="I24" s="15">
        <f t="shared" si="8"/>
        <v>999.99999999999909</v>
      </c>
      <c r="K24" s="15">
        <f t="shared" si="14"/>
        <v>415.3922422815395</v>
      </c>
      <c r="L24" s="15">
        <f t="shared" si="9"/>
        <v>362.90594584691991</v>
      </c>
      <c r="M24" s="15">
        <f t="shared" si="15"/>
        <v>223.63104091505068</v>
      </c>
      <c r="N24" s="15">
        <f t="shared" si="16"/>
        <v>195.37445855573318</v>
      </c>
      <c r="O24" s="15"/>
      <c r="P24" s="18">
        <f t="shared" si="17"/>
        <v>860963.4958263787</v>
      </c>
      <c r="Q24" s="18">
        <f t="shared" si="1"/>
        <v>23787.513240406937</v>
      </c>
      <c r="R24" s="18">
        <f t="shared" si="18"/>
        <v>884751.00906678569</v>
      </c>
      <c r="S24" s="18">
        <f t="shared" si="19"/>
        <v>476315.56145948695</v>
      </c>
      <c r="V24" s="15">
        <f t="shared" si="20"/>
        <v>415.3922422815395</v>
      </c>
      <c r="W24" s="15">
        <f t="shared" si="10"/>
        <v>362.90594584691991</v>
      </c>
      <c r="X24" s="15">
        <f t="shared" si="2"/>
        <v>223.63104091505068</v>
      </c>
      <c r="Y24" s="15">
        <f t="shared" si="3"/>
        <v>195.37445855573318</v>
      </c>
      <c r="Z24" s="48"/>
      <c r="AA24" s="18">
        <f t="shared" si="11"/>
        <v>860963.4958263787</v>
      </c>
      <c r="AB24" s="48">
        <f t="shared" si="21"/>
        <v>23787.513240406937</v>
      </c>
      <c r="AC24" s="48">
        <f t="shared" si="12"/>
        <v>884751.00906678569</v>
      </c>
      <c r="AD24" s="18">
        <f t="shared" si="4"/>
        <v>476315.56145948695</v>
      </c>
    </row>
    <row r="25" spans="1:30" x14ac:dyDescent="0.2">
      <c r="A25">
        <v>19</v>
      </c>
      <c r="C25" s="19">
        <f t="shared" si="0"/>
        <v>3.7900000000000003E-2</v>
      </c>
      <c r="E25" s="23">
        <f t="shared" si="5"/>
        <v>222.67892841061052</v>
      </c>
      <c r="F25" s="23">
        <f t="shared" si="6"/>
        <v>153.18243464805167</v>
      </c>
      <c r="G25" s="23">
        <f t="shared" si="7"/>
        <v>292.90849874201882</v>
      </c>
      <c r="H25" s="23">
        <f>H24+E24*$C24+F24*$C24</f>
        <v>331.23013819931816</v>
      </c>
      <c r="I25" s="15">
        <f t="shared" si="8"/>
        <v>999.99999999999909</v>
      </c>
      <c r="K25" s="15">
        <f t="shared" si="14"/>
        <v>375.86136305866216</v>
      </c>
      <c r="L25" s="15">
        <f t="shared" si="9"/>
        <v>326.43180797611876</v>
      </c>
      <c r="M25" s="15">
        <f t="shared" si="15"/>
        <v>195.50642679149425</v>
      </c>
      <c r="N25" s="15">
        <f t="shared" si="16"/>
        <v>169.79536244202254</v>
      </c>
      <c r="O25" s="15"/>
      <c r="P25" s="18">
        <f t="shared" si="17"/>
        <v>793565.69656007085</v>
      </c>
      <c r="Q25" s="18">
        <f t="shared" si="1"/>
        <v>22977.36519720775</v>
      </c>
      <c r="R25" s="18">
        <f t="shared" si="18"/>
        <v>816543.06175727863</v>
      </c>
      <c r="S25" s="18">
        <f t="shared" si="19"/>
        <v>424729.52001889166</v>
      </c>
      <c r="V25" s="15">
        <f t="shared" si="20"/>
        <v>375.86136305866216</v>
      </c>
      <c r="W25" s="15">
        <f t="shared" si="10"/>
        <v>326.43180797611876</v>
      </c>
      <c r="X25" s="15">
        <f t="shared" si="2"/>
        <v>195.50642679149425</v>
      </c>
      <c r="Y25" s="15">
        <f t="shared" si="3"/>
        <v>169.79536244202254</v>
      </c>
      <c r="Z25" s="48"/>
      <c r="AA25" s="18">
        <f t="shared" si="11"/>
        <v>793565.69656007085</v>
      </c>
      <c r="AB25" s="48">
        <f t="shared" si="21"/>
        <v>22977.36519720775</v>
      </c>
      <c r="AC25" s="48">
        <f t="shared" si="12"/>
        <v>816543.06175727863</v>
      </c>
      <c r="AD25" s="18">
        <f t="shared" si="4"/>
        <v>424729.52001889166</v>
      </c>
    </row>
    <row r="26" spans="1:30" x14ac:dyDescent="0.2">
      <c r="A26">
        <v>20</v>
      </c>
      <c r="C26" s="19">
        <f t="shared" si="0"/>
        <v>9.1200000000000003E-2</v>
      </c>
      <c r="E26" s="23">
        <f t="shared" si="5"/>
        <v>191.97150418278733</v>
      </c>
      <c r="F26" s="23">
        <f t="shared" si="6"/>
        <v>146.66734801874381</v>
      </c>
      <c r="G26" s="23">
        <f t="shared" si="7"/>
        <v>315.88586393922657</v>
      </c>
      <c r="H26" s="23">
        <f t="shared" ref="H26:H36" si="22">H25+E25*$C25+F25*$C25</f>
        <v>345.47528385924147</v>
      </c>
      <c r="I26" s="15">
        <f t="shared" si="8"/>
        <v>999.99999999999909</v>
      </c>
      <c r="K26" s="15">
        <f t="shared" si="14"/>
        <v>338.63885220153111</v>
      </c>
      <c r="L26" s="15">
        <f t="shared" si="9"/>
        <v>292.37343998770581</v>
      </c>
      <c r="M26" s="15">
        <f t="shared" si="15"/>
        <v>170.18833425958829</v>
      </c>
      <c r="N26" s="15">
        <f t="shared" si="16"/>
        <v>146.93691645175136</v>
      </c>
      <c r="O26" s="15"/>
      <c r="P26" s="18">
        <f t="shared" si="17"/>
        <v>727959.30033041246</v>
      </c>
      <c r="Q26" s="18">
        <f t="shared" si="1"/>
        <v>22000.102202811573</v>
      </c>
      <c r="R26" s="18">
        <f t="shared" si="18"/>
        <v>749959.40253322409</v>
      </c>
      <c r="S26" s="18">
        <f t="shared" si="19"/>
        <v>376904.01042195706</v>
      </c>
      <c r="V26" s="15">
        <f t="shared" si="20"/>
        <v>338.63885220153111</v>
      </c>
      <c r="W26" s="15">
        <f t="shared" si="10"/>
        <v>292.37343998770581</v>
      </c>
      <c r="X26" s="15">
        <f t="shared" si="2"/>
        <v>170.18833425958829</v>
      </c>
      <c r="Y26" s="15">
        <f t="shared" si="3"/>
        <v>146.93691645175136</v>
      </c>
      <c r="Z26" s="48"/>
      <c r="AA26" s="18">
        <f t="shared" si="11"/>
        <v>727959.30033041246</v>
      </c>
      <c r="AB26" s="48">
        <f t="shared" si="21"/>
        <v>22000.102202811573</v>
      </c>
      <c r="AC26" s="48">
        <f t="shared" si="12"/>
        <v>749959.40253322409</v>
      </c>
      <c r="AD26" s="18">
        <f t="shared" si="4"/>
        <v>376904.01042195706</v>
      </c>
    </row>
    <row r="27" spans="1:30" x14ac:dyDescent="0.2">
      <c r="A27">
        <v>21</v>
      </c>
      <c r="C27" s="19">
        <f t="shared" si="0"/>
        <v>9.1200000000000003E-2</v>
      </c>
      <c r="E27" s="23">
        <f t="shared" si="5"/>
        <v>154.30669506212448</v>
      </c>
      <c r="F27" s="23">
        <f t="shared" si="6"/>
        <v>131.44819161581546</v>
      </c>
      <c r="G27" s="23">
        <f t="shared" si="7"/>
        <v>337.88596614203811</v>
      </c>
      <c r="H27" s="23">
        <f t="shared" si="22"/>
        <v>376.35914718002113</v>
      </c>
      <c r="I27" s="15">
        <f t="shared" si="8"/>
        <v>999.99999999999909</v>
      </c>
      <c r="K27" s="15">
        <f t="shared" si="14"/>
        <v>285.75488667793991</v>
      </c>
      <c r="L27" s="15">
        <f t="shared" si="9"/>
        <v>245.17750402087984</v>
      </c>
      <c r="M27" s="15">
        <f t="shared" si="15"/>
        <v>138.75425831301519</v>
      </c>
      <c r="N27" s="15">
        <f t="shared" si="16"/>
        <v>119.05106198164539</v>
      </c>
      <c r="O27" s="15"/>
      <c r="P27" s="18">
        <f t="shared" si="17"/>
        <v>625804.61744063313</v>
      </c>
      <c r="Q27" s="18">
        <f t="shared" si="1"/>
        <v>19717.228742372317</v>
      </c>
      <c r="R27" s="18">
        <f t="shared" si="18"/>
        <v>645521.84618300549</v>
      </c>
      <c r="S27" s="18">
        <f t="shared" si="19"/>
        <v>313446.62564920489</v>
      </c>
      <c r="V27" s="15">
        <f t="shared" si="20"/>
        <v>285.75488667793991</v>
      </c>
      <c r="W27" s="15">
        <f t="shared" si="10"/>
        <v>245.17750402087984</v>
      </c>
      <c r="X27" s="15">
        <f t="shared" si="2"/>
        <v>138.75425831301519</v>
      </c>
      <c r="Y27" s="15">
        <f t="shared" si="3"/>
        <v>119.05106198164539</v>
      </c>
      <c r="Z27" s="48"/>
      <c r="AA27" s="18">
        <f t="shared" si="11"/>
        <v>625804.61744063313</v>
      </c>
      <c r="AB27" s="48">
        <f t="shared" si="21"/>
        <v>19717.228742372317</v>
      </c>
      <c r="AC27" s="48">
        <f t="shared" si="12"/>
        <v>645521.84618300549</v>
      </c>
      <c r="AD27" s="18">
        <f t="shared" si="4"/>
        <v>313446.62564920489</v>
      </c>
    </row>
    <row r="28" spans="1:30" x14ac:dyDescent="0.2">
      <c r="A28">
        <v>22</v>
      </c>
      <c r="C28" s="19">
        <f t="shared" si="0"/>
        <v>9.1200000000000003E-2</v>
      </c>
      <c r="E28" s="23">
        <f t="shared" si="5"/>
        <v>123.26018801562505</v>
      </c>
      <c r="F28" s="23">
        <f t="shared" si="6"/>
        <v>116.71662425491445</v>
      </c>
      <c r="G28" s="23">
        <f t="shared" si="7"/>
        <v>357.60319488441041</v>
      </c>
      <c r="H28" s="23">
        <f t="shared" si="22"/>
        <v>402.41999284504925</v>
      </c>
      <c r="I28" s="15">
        <f t="shared" si="8"/>
        <v>999.9999999999992</v>
      </c>
      <c r="K28" s="15">
        <f t="shared" si="14"/>
        <v>239.97681227053948</v>
      </c>
      <c r="L28" s="15">
        <f t="shared" si="9"/>
        <v>204.63464680602962</v>
      </c>
      <c r="M28" s="15">
        <f t="shared" si="15"/>
        <v>112.58527284355452</v>
      </c>
      <c r="N28" s="15">
        <f t="shared" si="16"/>
        <v>96.004473623594336</v>
      </c>
      <c r="O28" s="15"/>
      <c r="P28" s="18">
        <f t="shared" si="17"/>
        <v>535040.15478818095</v>
      </c>
      <c r="Q28" s="18">
        <f t="shared" si="1"/>
        <v>17507.493638237167</v>
      </c>
      <c r="R28" s="18">
        <f t="shared" si="18"/>
        <v>552547.64842641808</v>
      </c>
      <c r="S28" s="18">
        <f t="shared" si="19"/>
        <v>259228.07778203706</v>
      </c>
      <c r="V28" s="15">
        <f t="shared" si="20"/>
        <v>239.97681227053948</v>
      </c>
      <c r="W28" s="15">
        <f t="shared" si="10"/>
        <v>204.63464680602962</v>
      </c>
      <c r="X28" s="15">
        <f t="shared" si="2"/>
        <v>112.58527284355452</v>
      </c>
      <c r="Y28" s="15">
        <f t="shared" si="3"/>
        <v>96.004473623594336</v>
      </c>
      <c r="Z28" s="48"/>
      <c r="AA28" s="18">
        <f t="shared" si="11"/>
        <v>535040.15478818095</v>
      </c>
      <c r="AB28" s="48">
        <f t="shared" si="21"/>
        <v>17507.493638237167</v>
      </c>
      <c r="AC28" s="48">
        <f t="shared" si="12"/>
        <v>552547.64842641808</v>
      </c>
      <c r="AD28" s="18">
        <f t="shared" si="4"/>
        <v>259228.07778203706</v>
      </c>
    </row>
    <row r="29" spans="1:30" x14ac:dyDescent="0.2">
      <c r="A29">
        <v>23</v>
      </c>
      <c r="C29" s="19">
        <f t="shared" si="0"/>
        <v>9.1200000000000003E-2</v>
      </c>
      <c r="E29" s="23">
        <f t="shared" si="5"/>
        <v>97.843937246803165</v>
      </c>
      <c r="F29" s="23">
        <f t="shared" si="6"/>
        <v>102.73949610642596</v>
      </c>
      <c r="G29" s="23">
        <f t="shared" si="7"/>
        <v>375.11068852264759</v>
      </c>
      <c r="H29" s="23">
        <f t="shared" si="22"/>
        <v>424.30587812412244</v>
      </c>
      <c r="I29" s="15">
        <f t="shared" si="8"/>
        <v>999.99999999999909</v>
      </c>
      <c r="K29" s="15">
        <f t="shared" si="14"/>
        <v>200.58343335322911</v>
      </c>
      <c r="L29" s="15">
        <f t="shared" si="9"/>
        <v>170.00636246428246</v>
      </c>
      <c r="M29" s="15">
        <f t="shared" si="15"/>
        <v>90.92158867331932</v>
      </c>
      <c r="N29" s="15">
        <f t="shared" si="16"/>
        <v>77.061441722379826</v>
      </c>
      <c r="O29" s="15"/>
      <c r="P29" s="18">
        <f t="shared" si="17"/>
        <v>454984.39418948261</v>
      </c>
      <c r="Q29" s="18">
        <f t="shared" si="1"/>
        <v>15410.924415963895</v>
      </c>
      <c r="R29" s="18">
        <f t="shared" si="18"/>
        <v>470395.31860544649</v>
      </c>
      <c r="S29" s="18">
        <f t="shared" si="19"/>
        <v>213223.44002748557</v>
      </c>
      <c r="V29" s="15">
        <f t="shared" si="20"/>
        <v>200.58343335322911</v>
      </c>
      <c r="W29" s="15">
        <f t="shared" si="10"/>
        <v>170.00636246428246</v>
      </c>
      <c r="X29" s="15">
        <f t="shared" si="2"/>
        <v>90.92158867331932</v>
      </c>
      <c r="Y29" s="15">
        <f t="shared" si="3"/>
        <v>77.061441722379826</v>
      </c>
      <c r="Z29" s="48"/>
      <c r="AA29" s="18">
        <f t="shared" si="11"/>
        <v>454984.39418948261</v>
      </c>
      <c r="AB29" s="48">
        <f t="shared" si="21"/>
        <v>15410.924415963895</v>
      </c>
      <c r="AC29" s="48">
        <f t="shared" si="12"/>
        <v>470395.31860544649</v>
      </c>
      <c r="AD29" s="18">
        <f t="shared" si="4"/>
        <v>213223.44002748557</v>
      </c>
    </row>
    <row r="30" spans="1:30" x14ac:dyDescent="0.2">
      <c r="A30">
        <v>24</v>
      </c>
      <c r="C30" s="19">
        <f t="shared" si="0"/>
        <v>9.1200000000000003E-2</v>
      </c>
      <c r="E30" s="23">
        <f t="shared" si="5"/>
        <v>77.17929770027834</v>
      </c>
      <c r="F30" s="23">
        <f t="shared" si="6"/>
        <v>89.700002115172381</v>
      </c>
      <c r="G30" s="23">
        <f t="shared" si="7"/>
        <v>390.5216129386115</v>
      </c>
      <c r="H30" s="23">
        <f t="shared" si="22"/>
        <v>442.59908724593691</v>
      </c>
      <c r="I30" s="15">
        <f t="shared" si="8"/>
        <v>999.99999999999909</v>
      </c>
      <c r="K30" s="15">
        <f t="shared" si="14"/>
        <v>166.87929981545074</v>
      </c>
      <c r="L30" s="15">
        <f t="shared" si="9"/>
        <v>140.5953344016437</v>
      </c>
      <c r="M30" s="15">
        <f t="shared" si="15"/>
        <v>73.085979853485483</v>
      </c>
      <c r="N30" s="15">
        <f t="shared" si="16"/>
        <v>61.574729693474012</v>
      </c>
      <c r="O30" s="15"/>
      <c r="P30" s="18">
        <f t="shared" si="17"/>
        <v>384868.95289593464</v>
      </c>
      <c r="Q30" s="18">
        <f t="shared" si="1"/>
        <v>13455.000317275857</v>
      </c>
      <c r="R30" s="18">
        <f t="shared" si="18"/>
        <v>398323.95321321051</v>
      </c>
      <c r="S30" s="18">
        <f t="shared" si="19"/>
        <v>174448.81691076004</v>
      </c>
      <c r="V30" s="15">
        <f t="shared" si="20"/>
        <v>166.87929981545074</v>
      </c>
      <c r="W30" s="15">
        <f t="shared" si="10"/>
        <v>140.5953344016437</v>
      </c>
      <c r="X30" s="15">
        <f t="shared" si="2"/>
        <v>73.085979853485483</v>
      </c>
      <c r="Y30" s="15">
        <f t="shared" si="3"/>
        <v>61.574729693474012</v>
      </c>
      <c r="Z30" s="48"/>
      <c r="AA30" s="18">
        <f t="shared" si="11"/>
        <v>384868.95289593464</v>
      </c>
      <c r="AB30" s="48">
        <f t="shared" si="21"/>
        <v>13455.000317275857</v>
      </c>
      <c r="AC30" s="48">
        <f t="shared" si="12"/>
        <v>398323.95321321051</v>
      </c>
      <c r="AD30" s="18">
        <f t="shared" si="4"/>
        <v>174448.81691076004</v>
      </c>
    </row>
    <row r="31" spans="1:30" x14ac:dyDescent="0.2">
      <c r="A31">
        <v>25</v>
      </c>
      <c r="C31" s="19">
        <f t="shared" si="0"/>
        <v>9.1200000000000003E-2</v>
      </c>
      <c r="E31" s="23">
        <f t="shared" si="5"/>
        <v>60.493133537478165</v>
      </c>
      <c r="F31" s="23">
        <f t="shared" si="6"/>
        <v>77.711773817527586</v>
      </c>
      <c r="G31" s="23">
        <f t="shared" si="7"/>
        <v>403.97661325588734</v>
      </c>
      <c r="H31" s="23">
        <f t="shared" si="22"/>
        <v>457.81847938910602</v>
      </c>
      <c r="I31" s="15">
        <f t="shared" si="8"/>
        <v>999.99999999999909</v>
      </c>
      <c r="K31" s="15">
        <f t="shared" si="14"/>
        <v>138.20490735500576</v>
      </c>
      <c r="L31" s="15">
        <f t="shared" si="9"/>
        <v>115.75230722374994</v>
      </c>
      <c r="M31" s="15">
        <f t="shared" si="15"/>
        <v>58.48099044960842</v>
      </c>
      <c r="N31" s="15">
        <f t="shared" si="16"/>
        <v>48.980240302784566</v>
      </c>
      <c r="O31" s="15"/>
      <c r="P31" s="18">
        <f t="shared" si="17"/>
        <v>323875.02175880002</v>
      </c>
      <c r="Q31" s="18">
        <f t="shared" si="1"/>
        <v>11656.766072629138</v>
      </c>
      <c r="R31" s="18">
        <f t="shared" si="18"/>
        <v>335531.78783142916</v>
      </c>
      <c r="S31" s="18">
        <f t="shared" si="19"/>
        <v>141979.26582524594</v>
      </c>
      <c r="V31" s="15">
        <f t="shared" si="20"/>
        <v>138.20490735500576</v>
      </c>
      <c r="W31" s="15">
        <f t="shared" si="10"/>
        <v>115.75230722374994</v>
      </c>
      <c r="X31" s="15">
        <f t="shared" si="2"/>
        <v>58.48099044960842</v>
      </c>
      <c r="Y31" s="15">
        <f t="shared" si="3"/>
        <v>48.980240302784566</v>
      </c>
      <c r="Z31" s="48"/>
      <c r="AA31" s="18">
        <f t="shared" si="11"/>
        <v>323875.02175880002</v>
      </c>
      <c r="AB31" s="48">
        <f t="shared" si="21"/>
        <v>11656.766072629138</v>
      </c>
      <c r="AC31" s="48">
        <f t="shared" si="12"/>
        <v>335531.78783142916</v>
      </c>
      <c r="AD31" s="18">
        <f t="shared" si="4"/>
        <v>141979.26582524594</v>
      </c>
    </row>
    <row r="32" spans="1:30" x14ac:dyDescent="0.2">
      <c r="A32">
        <v>26</v>
      </c>
      <c r="C32" s="19">
        <f t="shared" si="0"/>
        <v>9.1200000000000003E-2</v>
      </c>
      <c r="E32" s="23">
        <f t="shared" si="5"/>
        <v>47.112052398987998</v>
      </c>
      <c r="F32" s="23">
        <f t="shared" si="6"/>
        <v>66.831801332612088</v>
      </c>
      <c r="G32" s="23">
        <f t="shared" si="7"/>
        <v>415.63337932851647</v>
      </c>
      <c r="H32" s="23">
        <f t="shared" si="22"/>
        <v>470.42276693988254</v>
      </c>
      <c r="I32" s="15">
        <f t="shared" si="8"/>
        <v>999.99999999999909</v>
      </c>
      <c r="K32" s="15">
        <f t="shared" si="14"/>
        <v>113.94385373160009</v>
      </c>
      <c r="L32" s="15">
        <f t="shared" si="9"/>
        <v>94.880300778497656</v>
      </c>
      <c r="M32" s="15">
        <f t="shared" si="15"/>
        <v>46.584539760721313</v>
      </c>
      <c r="N32" s="15">
        <f t="shared" si="16"/>
        <v>38.790641174350007</v>
      </c>
      <c r="O32" s="15"/>
      <c r="P32" s="18">
        <f t="shared" si="17"/>
        <v>271163.48259631824</v>
      </c>
      <c r="Q32" s="18">
        <f t="shared" si="1"/>
        <v>10024.770199891813</v>
      </c>
      <c r="R32" s="18">
        <f t="shared" si="18"/>
        <v>281188.25279621006</v>
      </c>
      <c r="S32" s="18">
        <f t="shared" si="19"/>
        <v>114960.35032734764</v>
      </c>
      <c r="V32" s="15">
        <f t="shared" si="20"/>
        <v>113.94385373160009</v>
      </c>
      <c r="W32" s="15">
        <f t="shared" si="10"/>
        <v>94.880300778497656</v>
      </c>
      <c r="X32" s="15">
        <f t="shared" si="2"/>
        <v>46.584539760721313</v>
      </c>
      <c r="Y32" s="15">
        <f t="shared" si="3"/>
        <v>38.790641174350007</v>
      </c>
      <c r="Z32" s="48"/>
      <c r="AA32" s="18">
        <f t="shared" si="11"/>
        <v>271163.48259631824</v>
      </c>
      <c r="AB32" s="48">
        <f t="shared" si="21"/>
        <v>10024.770199891813</v>
      </c>
      <c r="AC32" s="48">
        <f t="shared" si="12"/>
        <v>281188.25279621006</v>
      </c>
      <c r="AD32" s="18">
        <f t="shared" si="4"/>
        <v>114960.35032734764</v>
      </c>
    </row>
    <row r="33" spans="1:30" x14ac:dyDescent="0.2">
      <c r="A33">
        <v>27</v>
      </c>
      <c r="C33" s="19">
        <f t="shared" si="0"/>
        <v>9.1200000000000003E-2</v>
      </c>
      <c r="E33" s="23">
        <f t="shared" si="5"/>
        <v>36.455306146336916</v>
      </c>
      <c r="F33" s="23">
        <f t="shared" si="6"/>
        <v>57.072097925049427</v>
      </c>
      <c r="G33" s="23">
        <f t="shared" si="7"/>
        <v>425.65814952840827</v>
      </c>
      <c r="H33" s="23">
        <f t="shared" si="22"/>
        <v>480.81444640020447</v>
      </c>
      <c r="I33" s="15">
        <f t="shared" si="8"/>
        <v>999.99999999999909</v>
      </c>
      <c r="K33" s="15">
        <f t="shared" si="14"/>
        <v>93.527404071386343</v>
      </c>
      <c r="L33" s="15">
        <f t="shared" si="9"/>
        <v>77.436614282807142</v>
      </c>
      <c r="M33" s="15">
        <f t="shared" si="15"/>
        <v>36.944469599799135</v>
      </c>
      <c r="N33" s="15">
        <f t="shared" si="16"/>
        <v>30.588410644851695</v>
      </c>
      <c r="O33" s="15"/>
      <c r="P33" s="18">
        <f t="shared" si="17"/>
        <v>225899.25299465365</v>
      </c>
      <c r="Q33" s="18">
        <f t="shared" si="1"/>
        <v>8560.8146887574148</v>
      </c>
      <c r="R33" s="18">
        <f t="shared" si="18"/>
        <v>234460.06768341106</v>
      </c>
      <c r="S33" s="18">
        <f t="shared" si="19"/>
        <v>92614.597068097923</v>
      </c>
      <c r="V33" s="15">
        <f t="shared" si="20"/>
        <v>93.527404071386343</v>
      </c>
      <c r="W33" s="15">
        <f t="shared" si="10"/>
        <v>77.436614282807142</v>
      </c>
      <c r="X33" s="15">
        <f t="shared" si="2"/>
        <v>36.944469599799135</v>
      </c>
      <c r="Y33" s="15">
        <f t="shared" si="3"/>
        <v>30.588410644851695</v>
      </c>
      <c r="Z33" s="48"/>
      <c r="AA33" s="18">
        <f t="shared" si="11"/>
        <v>225899.25299465365</v>
      </c>
      <c r="AB33" s="48">
        <f t="shared" si="21"/>
        <v>8560.8146887574148</v>
      </c>
      <c r="AC33" s="48">
        <f t="shared" si="12"/>
        <v>234460.06768341106</v>
      </c>
      <c r="AD33" s="18">
        <f t="shared" si="4"/>
        <v>92614.597068097923</v>
      </c>
    </row>
    <row r="34" spans="1:30" x14ac:dyDescent="0.2">
      <c r="A34">
        <v>28</v>
      </c>
      <c r="C34" s="19">
        <f t="shared" si="0"/>
        <v>9.1200000000000003E-2</v>
      </c>
      <c r="E34" s="23">
        <f t="shared" si="5"/>
        <v>28.026839365303822</v>
      </c>
      <c r="F34" s="23">
        <f t="shared" si="6"/>
        <v>48.410050766014663</v>
      </c>
      <c r="G34" s="23">
        <f t="shared" si="7"/>
        <v>434.21896421716571</v>
      </c>
      <c r="H34" s="23">
        <f t="shared" si="22"/>
        <v>489.34414565151491</v>
      </c>
      <c r="I34" s="15">
        <f t="shared" si="8"/>
        <v>999.99999999999909</v>
      </c>
      <c r="K34" s="15">
        <f t="shared" si="14"/>
        <v>76.436890131318478</v>
      </c>
      <c r="L34" s="15">
        <f t="shared" si="9"/>
        <v>62.93303547154963</v>
      </c>
      <c r="M34" s="15">
        <f t="shared" si="15"/>
        <v>29.172470885100807</v>
      </c>
      <c r="N34" s="15">
        <f t="shared" si="16"/>
        <v>24.01866614210368</v>
      </c>
      <c r="O34" s="15"/>
      <c r="P34" s="18">
        <f t="shared" si="17"/>
        <v>187270.41134599972</v>
      </c>
      <c r="Q34" s="18">
        <f t="shared" si="1"/>
        <v>7261.5076149021997</v>
      </c>
      <c r="R34" s="18">
        <f t="shared" si="18"/>
        <v>194531.91896090191</v>
      </c>
      <c r="S34" s="18">
        <f t="shared" si="19"/>
        <v>74243.951217273469</v>
      </c>
      <c r="V34" s="15">
        <f t="shared" si="20"/>
        <v>76.436890131318478</v>
      </c>
      <c r="W34" s="15">
        <f t="shared" si="10"/>
        <v>62.93303547154963</v>
      </c>
      <c r="X34" s="15">
        <f t="shared" si="2"/>
        <v>29.172470885100807</v>
      </c>
      <c r="Y34" s="15">
        <f t="shared" si="3"/>
        <v>24.01866614210368</v>
      </c>
      <c r="Z34" s="48"/>
      <c r="AA34" s="18">
        <f t="shared" si="11"/>
        <v>187270.41134599972</v>
      </c>
      <c r="AB34" s="48">
        <f t="shared" si="21"/>
        <v>7261.5076149021997</v>
      </c>
      <c r="AC34" s="48">
        <f t="shared" si="12"/>
        <v>194531.91896090191</v>
      </c>
      <c r="AD34" s="18">
        <f t="shared" si="4"/>
        <v>74243.951217273469</v>
      </c>
    </row>
    <row r="35" spans="1:30" x14ac:dyDescent="0.2">
      <c r="A35">
        <v>29</v>
      </c>
      <c r="C35" s="19">
        <f t="shared" si="0"/>
        <v>9.1200000000000003E-2</v>
      </c>
      <c r="E35" s="23">
        <f t="shared" si="5"/>
        <v>21.40689990721906</v>
      </c>
      <c r="F35" s="23">
        <f t="shared" si="6"/>
        <v>40.79743822922098</v>
      </c>
      <c r="G35" s="23">
        <f t="shared" si="7"/>
        <v>441.48047183206791</v>
      </c>
      <c r="H35" s="23">
        <f t="shared" si="22"/>
        <v>496.31519003149111</v>
      </c>
      <c r="I35" s="15">
        <f t="shared" si="8"/>
        <v>999.99999999999909</v>
      </c>
      <c r="K35" s="15">
        <f t="shared" si="14"/>
        <v>62.204338136440043</v>
      </c>
      <c r="L35" s="15">
        <f t="shared" si="9"/>
        <v>50.934633583773845</v>
      </c>
      <c r="M35" s="15">
        <f t="shared" si="15"/>
        <v>22.93773491915271</v>
      </c>
      <c r="N35" s="15">
        <f t="shared" si="16"/>
        <v>18.782052158261916</v>
      </c>
      <c r="O35" s="15"/>
      <c r="P35" s="18">
        <f t="shared" si="17"/>
        <v>154502.66454849154</v>
      </c>
      <c r="Q35" s="18">
        <f t="shared" si="1"/>
        <v>6119.6157343831464</v>
      </c>
      <c r="R35" s="18">
        <f t="shared" si="18"/>
        <v>160622.28028287468</v>
      </c>
      <c r="S35" s="18">
        <f t="shared" si="19"/>
        <v>59229.169501927623</v>
      </c>
      <c r="V35" s="15">
        <f t="shared" si="20"/>
        <v>62.204338136440043</v>
      </c>
      <c r="W35" s="15">
        <f t="shared" si="10"/>
        <v>50.934633583773845</v>
      </c>
      <c r="X35" s="15">
        <f t="shared" si="2"/>
        <v>22.93773491915271</v>
      </c>
      <c r="Y35" s="15">
        <f t="shared" si="3"/>
        <v>18.782052158261916</v>
      </c>
      <c r="Z35" s="48"/>
      <c r="AA35" s="18">
        <f t="shared" si="11"/>
        <v>154502.66454849154</v>
      </c>
      <c r="AB35" s="48">
        <f t="shared" si="21"/>
        <v>6119.6157343831464</v>
      </c>
      <c r="AC35" s="48">
        <f t="shared" si="12"/>
        <v>160622.28028287468</v>
      </c>
      <c r="AD35" s="18">
        <f t="shared" si="4"/>
        <v>59229.169501927623</v>
      </c>
    </row>
    <row r="36" spans="1:30" x14ac:dyDescent="0.2">
      <c r="A36">
        <v>30</v>
      </c>
      <c r="C36" s="19">
        <f t="shared" si="0"/>
        <v>0.1958</v>
      </c>
      <c r="E36" s="23">
        <f t="shared" si="5"/>
        <v>16.243555649597823</v>
      </c>
      <c r="F36" s="23">
        <f t="shared" si="6"/>
        <v>34.168131114415736</v>
      </c>
      <c r="G36" s="23">
        <f t="shared" si="7"/>
        <v>447.60008756645107</v>
      </c>
      <c r="H36" s="23">
        <f t="shared" si="22"/>
        <v>501.98822566953442</v>
      </c>
      <c r="I36" s="15">
        <f t="shared" si="8"/>
        <v>999.99999999999909</v>
      </c>
      <c r="K36" s="15">
        <f t="shared" si="14"/>
        <v>50.41168676401356</v>
      </c>
      <c r="L36" s="15">
        <f t="shared" si="9"/>
        <v>41.057476202929735</v>
      </c>
      <c r="M36" s="15">
        <f t="shared" si="15"/>
        <v>17.960595636063875</v>
      </c>
      <c r="N36" s="15">
        <f t="shared" si="16"/>
        <v>14.627892364921658</v>
      </c>
      <c r="O36" s="15"/>
      <c r="P36" s="18">
        <f t="shared" si="17"/>
        <v>126869.72681764394</v>
      </c>
      <c r="Q36" s="18">
        <f t="shared" si="1"/>
        <v>5125.2196671623606</v>
      </c>
      <c r="R36" s="18">
        <f t="shared" si="18"/>
        <v>131994.94648480631</v>
      </c>
      <c r="S36" s="18">
        <f t="shared" si="19"/>
        <v>47026.949741142744</v>
      </c>
      <c r="V36" s="15">
        <f t="shared" si="20"/>
        <v>50.41168676401356</v>
      </c>
      <c r="W36" s="15">
        <f t="shared" si="10"/>
        <v>41.057476202929735</v>
      </c>
      <c r="X36" s="15">
        <f t="shared" si="2"/>
        <v>17.960595636063875</v>
      </c>
      <c r="Y36" s="15">
        <f t="shared" si="3"/>
        <v>14.627892364921658</v>
      </c>
      <c r="Z36" s="48"/>
      <c r="AA36" s="18">
        <f t="shared" si="11"/>
        <v>126869.72681764394</v>
      </c>
      <c r="AB36" s="48">
        <f t="shared" si="21"/>
        <v>5125.2196671623606</v>
      </c>
      <c r="AC36" s="48">
        <f t="shared" si="12"/>
        <v>131994.94648480631</v>
      </c>
      <c r="AD36" s="18">
        <f t="shared" si="4"/>
        <v>47026.949741142744</v>
      </c>
    </row>
    <row r="37" spans="1:30" x14ac:dyDescent="0.2">
      <c r="A37">
        <v>31</v>
      </c>
      <c r="C37" s="19">
        <f t="shared" si="0"/>
        <v>0.1958</v>
      </c>
      <c r="E37" s="23">
        <f t="shared" si="5"/>
        <v>10.545316327718908</v>
      </c>
      <c r="F37" s="23">
        <f t="shared" si="6"/>
        <v>24.870542500738438</v>
      </c>
      <c r="G37" s="23">
        <f t="shared" si="7"/>
        <v>452.72530723361342</v>
      </c>
      <c r="H37" s="23">
        <f>H36+E36*$C36+F36*$C36</f>
        <v>511.8588339379283</v>
      </c>
      <c r="I37" s="15">
        <f t="shared" si="8"/>
        <v>999.99999999999909</v>
      </c>
      <c r="K37" s="15">
        <f t="shared" si="14"/>
        <v>35.415858828457345</v>
      </c>
      <c r="L37" s="15">
        <f t="shared" si="9"/>
        <v>28.670957386886791</v>
      </c>
      <c r="M37" s="15">
        <f t="shared" si="15"/>
        <v>12.191213423689181</v>
      </c>
      <c r="N37" s="15">
        <f t="shared" si="16"/>
        <v>9.8694136504795811</v>
      </c>
      <c r="O37" s="15"/>
      <c r="P37" s="18">
        <f t="shared" si="17"/>
        <v>90429.60199379368</v>
      </c>
      <c r="Q37" s="18">
        <f t="shared" si="1"/>
        <v>3730.5813751107653</v>
      </c>
      <c r="R37" s="18">
        <f t="shared" si="18"/>
        <v>94160.183368904443</v>
      </c>
      <c r="S37" s="18">
        <f t="shared" si="19"/>
        <v>32412.79272724118</v>
      </c>
      <c r="V37" s="15">
        <f t="shared" si="20"/>
        <v>35.415858828457345</v>
      </c>
      <c r="W37" s="15">
        <f t="shared" si="10"/>
        <v>28.670957386886791</v>
      </c>
      <c r="X37" s="15">
        <f t="shared" si="2"/>
        <v>12.191213423689181</v>
      </c>
      <c r="Y37" s="15">
        <f t="shared" si="3"/>
        <v>9.8694136504795811</v>
      </c>
      <c r="Z37" s="48"/>
      <c r="AA37" s="18">
        <f t="shared" si="11"/>
        <v>90429.60199379368</v>
      </c>
      <c r="AB37" s="48">
        <f t="shared" si="21"/>
        <v>3730.5813751107653</v>
      </c>
      <c r="AC37" s="48">
        <f t="shared" si="12"/>
        <v>94160.183368904443</v>
      </c>
      <c r="AD37" s="18">
        <f t="shared" si="4"/>
        <v>32412.79272724118</v>
      </c>
    </row>
    <row r="38" spans="1:30" x14ac:dyDescent="0.2">
      <c r="A38">
        <v>32</v>
      </c>
      <c r="C38" s="19">
        <f t="shared" si="0"/>
        <v>0.1958</v>
      </c>
      <c r="E38" s="23">
        <f t="shared" si="5"/>
        <v>6.7932927783165207</v>
      </c>
      <c r="F38" s="23">
        <f t="shared" si="6"/>
        <v>17.957559516418112</v>
      </c>
      <c r="G38" s="23">
        <f t="shared" si="7"/>
        <v>456.45588860872419</v>
      </c>
      <c r="H38" s="23">
        <f t="shared" ref="H38:H51" si="23">H37+E37*$C37+F37*$C37</f>
        <v>518.79325909654028</v>
      </c>
      <c r="I38" s="15">
        <f t="shared" si="8"/>
        <v>999.99999999999909</v>
      </c>
      <c r="K38" s="15">
        <f t="shared" si="14"/>
        <v>24.750852294734631</v>
      </c>
      <c r="L38" s="15">
        <f t="shared" si="9"/>
        <v>19.921797776714278</v>
      </c>
      <c r="M38" s="15">
        <f t="shared" si="15"/>
        <v>8.2318787524753496</v>
      </c>
      <c r="N38" s="15">
        <f t="shared" si="16"/>
        <v>6.6257849174806847</v>
      </c>
      <c r="O38" s="15"/>
      <c r="P38" s="18">
        <f t="shared" si="17"/>
        <v>64062.617716729117</v>
      </c>
      <c r="Q38" s="18">
        <f t="shared" si="1"/>
        <v>2693.6339274627167</v>
      </c>
      <c r="R38" s="18">
        <f t="shared" si="18"/>
        <v>66756.251644191827</v>
      </c>
      <c r="S38" s="18">
        <f t="shared" si="19"/>
        <v>22202.442282022923</v>
      </c>
      <c r="V38" s="15">
        <f t="shared" si="20"/>
        <v>24.750852294734631</v>
      </c>
      <c r="W38" s="15">
        <f t="shared" si="10"/>
        <v>19.921797776714278</v>
      </c>
      <c r="X38" s="15">
        <f t="shared" si="2"/>
        <v>8.2318787524753496</v>
      </c>
      <c r="Y38" s="15">
        <f t="shared" si="3"/>
        <v>6.6257849174806847</v>
      </c>
      <c r="Z38" s="48"/>
      <c r="AA38" s="18">
        <f t="shared" si="11"/>
        <v>64062.617716729117</v>
      </c>
      <c r="AB38" s="48">
        <f t="shared" si="21"/>
        <v>2693.6339274627167</v>
      </c>
      <c r="AC38" s="48">
        <f t="shared" si="12"/>
        <v>66756.251644191827</v>
      </c>
      <c r="AD38" s="18">
        <f t="shared" si="4"/>
        <v>22202.442282022923</v>
      </c>
    </row>
    <row r="39" spans="1:30" x14ac:dyDescent="0.2">
      <c r="A39">
        <v>33</v>
      </c>
      <c r="C39" s="19">
        <f t="shared" si="0"/>
        <v>0.1958</v>
      </c>
      <c r="E39" s="23">
        <f t="shared" si="5"/>
        <v>4.3422727438999198</v>
      </c>
      <c r="F39" s="23">
        <f t="shared" si="6"/>
        <v>12.868728744062954</v>
      </c>
      <c r="G39" s="23">
        <f t="shared" si="7"/>
        <v>459.14952253618691</v>
      </c>
      <c r="H39" s="23">
        <f t="shared" si="23"/>
        <v>523.63947597584922</v>
      </c>
      <c r="I39" s="15">
        <f t="shared" si="8"/>
        <v>999.99999999999898</v>
      </c>
      <c r="K39" s="15">
        <f t="shared" si="14"/>
        <v>17.211001487962875</v>
      </c>
      <c r="L39" s="15">
        <f t="shared" si="9"/>
        <v>13.776705664752139</v>
      </c>
      <c r="M39" s="15">
        <f t="shared" si="15"/>
        <v>5.5306299224275399</v>
      </c>
      <c r="N39" s="15">
        <f t="shared" si="16"/>
        <v>4.4270439831897086</v>
      </c>
      <c r="O39" s="15"/>
      <c r="P39" s="18">
        <f t="shared" si="17"/>
        <v>45119.59534803874</v>
      </c>
      <c r="Q39" s="18">
        <f t="shared" si="1"/>
        <v>1930.3093116094431</v>
      </c>
      <c r="R39" s="18">
        <f t="shared" si="18"/>
        <v>47049.904659648186</v>
      </c>
      <c r="S39" s="18">
        <f t="shared" si="19"/>
        <v>15119.144039352052</v>
      </c>
      <c r="V39" s="15">
        <f t="shared" si="20"/>
        <v>17.211001487962875</v>
      </c>
      <c r="W39" s="15">
        <f t="shared" si="10"/>
        <v>13.776705664752139</v>
      </c>
      <c r="X39" s="15">
        <f t="shared" si="2"/>
        <v>5.5306299224275399</v>
      </c>
      <c r="Y39" s="15">
        <f t="shared" si="3"/>
        <v>4.4270439831897086</v>
      </c>
      <c r="Z39" s="48"/>
      <c r="AA39" s="18">
        <f t="shared" si="11"/>
        <v>45119.59534803874</v>
      </c>
      <c r="AB39" s="48">
        <f t="shared" si="21"/>
        <v>1930.3093116094431</v>
      </c>
      <c r="AC39" s="48">
        <f t="shared" si="12"/>
        <v>47049.904659648186</v>
      </c>
      <c r="AD39" s="18">
        <f t="shared" si="4"/>
        <v>15119.144039352052</v>
      </c>
    </row>
    <row r="40" spans="1:30" x14ac:dyDescent="0.2">
      <c r="A40">
        <v>34</v>
      </c>
      <c r="C40" s="19">
        <f t="shared" si="0"/>
        <v>0.1958</v>
      </c>
      <c r="E40" s="23">
        <f t="shared" si="5"/>
        <v>2.7538693741813289</v>
      </c>
      <c r="F40" s="23">
        <f t="shared" si="6"/>
        <v>9.1569087108289722</v>
      </c>
      <c r="G40" s="23">
        <f t="shared" si="7"/>
        <v>461.07983184779636</v>
      </c>
      <c r="H40" s="23">
        <f t="shared" si="23"/>
        <v>527.00939006719238</v>
      </c>
      <c r="I40" s="15">
        <f t="shared" si="8"/>
        <v>999.99999999999909</v>
      </c>
      <c r="K40" s="15">
        <f t="shared" si="14"/>
        <v>11.910778085010302</v>
      </c>
      <c r="L40" s="15">
        <f t="shared" si="9"/>
        <v>9.4838574385939918</v>
      </c>
      <c r="M40" s="15">
        <f t="shared" si="15"/>
        <v>3.6980113538926451</v>
      </c>
      <c r="N40" s="15">
        <f t="shared" si="16"/>
        <v>2.9445106135221448</v>
      </c>
      <c r="O40" s="15"/>
      <c r="P40" s="18">
        <f t="shared" si="17"/>
        <v>31601.53019375891</v>
      </c>
      <c r="Q40" s="18">
        <f t="shared" si="1"/>
        <v>1373.5363066243458</v>
      </c>
      <c r="R40" s="18">
        <f t="shared" si="18"/>
        <v>32975.066500383255</v>
      </c>
      <c r="S40" s="18">
        <f t="shared" si="19"/>
        <v>10237.968455414877</v>
      </c>
      <c r="V40" s="15">
        <f t="shared" si="20"/>
        <v>11.910778085010302</v>
      </c>
      <c r="W40" s="15">
        <f t="shared" si="10"/>
        <v>9.4838574385939918</v>
      </c>
      <c r="X40" s="15">
        <f t="shared" si="2"/>
        <v>3.6980113538926451</v>
      </c>
      <c r="Y40" s="15">
        <f t="shared" si="3"/>
        <v>2.9445106135221448</v>
      </c>
      <c r="Z40" s="48"/>
      <c r="AA40" s="18">
        <f t="shared" si="11"/>
        <v>31601.53019375891</v>
      </c>
      <c r="AB40" s="48">
        <f t="shared" si="21"/>
        <v>1373.5363066243458</v>
      </c>
      <c r="AC40" s="48">
        <f t="shared" si="12"/>
        <v>32975.066500383255</v>
      </c>
      <c r="AD40" s="18">
        <f t="shared" si="4"/>
        <v>10237.968455414877</v>
      </c>
    </row>
    <row r="41" spans="1:30" x14ac:dyDescent="0.2">
      <c r="A41">
        <v>35</v>
      </c>
      <c r="C41" s="19">
        <f t="shared" si="0"/>
        <v>0.1958</v>
      </c>
      <c r="E41" s="23">
        <f t="shared" si="5"/>
        <v>1.7327346102348922</v>
      </c>
      <c r="F41" s="23">
        <f t="shared" si="6"/>
        <v>6.4723768191060467</v>
      </c>
      <c r="G41" s="23">
        <f t="shared" si="7"/>
        <v>462.45336815442073</v>
      </c>
      <c r="H41" s="23">
        <f t="shared" si="23"/>
        <v>529.34152041623736</v>
      </c>
      <c r="I41" s="15">
        <f t="shared" si="8"/>
        <v>999.99999999999909</v>
      </c>
      <c r="K41" s="15">
        <f t="shared" si="14"/>
        <v>8.2051114293409384</v>
      </c>
      <c r="L41" s="15">
        <f t="shared" si="9"/>
        <v>6.500380494052683</v>
      </c>
      <c r="M41" s="15">
        <f t="shared" si="15"/>
        <v>2.4613435761290479</v>
      </c>
      <c r="N41" s="15">
        <f t="shared" si="16"/>
        <v>1.9499637401897274</v>
      </c>
      <c r="O41" s="15"/>
      <c r="P41" s="18">
        <f t="shared" si="17"/>
        <v>22016.232372670478</v>
      </c>
      <c r="Q41" s="18">
        <f t="shared" si="1"/>
        <v>970.85652286590698</v>
      </c>
      <c r="R41" s="18">
        <f t="shared" si="18"/>
        <v>22987.088895536384</v>
      </c>
      <c r="S41" s="18">
        <f t="shared" si="19"/>
        <v>6895.5947855397335</v>
      </c>
      <c r="V41" s="15">
        <f t="shared" si="20"/>
        <v>8.2051114293409384</v>
      </c>
      <c r="W41" s="15">
        <f t="shared" si="10"/>
        <v>6.500380494052683</v>
      </c>
      <c r="X41" s="15">
        <f t="shared" si="2"/>
        <v>2.4613435761290479</v>
      </c>
      <c r="Y41" s="15">
        <f t="shared" si="3"/>
        <v>1.9499637401897274</v>
      </c>
      <c r="Z41" s="48"/>
      <c r="AA41" s="18">
        <f t="shared" si="11"/>
        <v>22016.232372670478</v>
      </c>
      <c r="AB41" s="48">
        <f t="shared" si="21"/>
        <v>970.85652286590698</v>
      </c>
      <c r="AC41" s="48">
        <f t="shared" si="12"/>
        <v>22987.088895536384</v>
      </c>
      <c r="AD41" s="18">
        <f t="shared" si="4"/>
        <v>6895.5947855397335</v>
      </c>
    </row>
    <row r="42" spans="1:30" x14ac:dyDescent="0.2">
      <c r="A42">
        <v>36</v>
      </c>
      <c r="C42" s="19">
        <f t="shared" si="0"/>
        <v>0.1958</v>
      </c>
      <c r="E42" s="23">
        <f t="shared" si="5"/>
        <v>1.0815729437086199</v>
      </c>
      <c r="F42" s="23">
        <f t="shared" si="6"/>
        <v>4.5461211449014565</v>
      </c>
      <c r="G42" s="23">
        <f t="shared" si="7"/>
        <v>463.42422467728665</v>
      </c>
      <c r="H42" s="23">
        <f t="shared" si="23"/>
        <v>530.94808123410235</v>
      </c>
      <c r="I42" s="15">
        <f t="shared" si="8"/>
        <v>999.99999999999909</v>
      </c>
      <c r="K42" s="15">
        <f t="shared" si="14"/>
        <v>5.6276940886100766</v>
      </c>
      <c r="L42" s="15">
        <f t="shared" si="9"/>
        <v>4.4370851551992816</v>
      </c>
      <c r="M42" s="15">
        <f t="shared" si="15"/>
        <v>1.6310898657713329</v>
      </c>
      <c r="N42" s="15">
        <f t="shared" si="16"/>
        <v>1.286012444218948</v>
      </c>
      <c r="O42" s="15"/>
      <c r="P42" s="18">
        <f t="shared" si="17"/>
        <v>15260.722850267299</v>
      </c>
      <c r="Q42" s="18">
        <f t="shared" si="1"/>
        <v>681.91817173521838</v>
      </c>
      <c r="R42" s="18">
        <f t="shared" si="18"/>
        <v>15942.641022002517</v>
      </c>
      <c r="S42" s="18">
        <f t="shared" si="19"/>
        <v>4620.6989568334993</v>
      </c>
      <c r="V42" s="15">
        <f t="shared" si="20"/>
        <v>5.6276940886100766</v>
      </c>
      <c r="W42" s="15">
        <f t="shared" si="10"/>
        <v>4.4370851551992816</v>
      </c>
      <c r="X42" s="15">
        <f t="shared" si="2"/>
        <v>1.6310898657713329</v>
      </c>
      <c r="Y42" s="15">
        <f t="shared" si="3"/>
        <v>1.286012444218948</v>
      </c>
      <c r="Z42" s="48"/>
      <c r="AA42" s="18">
        <f t="shared" si="11"/>
        <v>15260.722850267299</v>
      </c>
      <c r="AB42" s="48">
        <f t="shared" si="21"/>
        <v>681.91817173521838</v>
      </c>
      <c r="AC42" s="48">
        <f t="shared" si="12"/>
        <v>15942.641022002517</v>
      </c>
      <c r="AD42" s="18">
        <f t="shared" si="4"/>
        <v>4620.6989568334993</v>
      </c>
    </row>
    <row r="43" spans="1:30" x14ac:dyDescent="0.2">
      <c r="A43">
        <v>37</v>
      </c>
      <c r="C43" s="19">
        <f t="shared" si="0"/>
        <v>0.1958</v>
      </c>
      <c r="E43" s="23">
        <f t="shared" si="5"/>
        <v>0.66970996674437744</v>
      </c>
      <c r="F43" s="23">
        <f t="shared" si="6"/>
        <v>3.1741634475806277</v>
      </c>
      <c r="G43" s="23">
        <f t="shared" si="7"/>
        <v>464.10614284902186</v>
      </c>
      <c r="H43" s="23">
        <f t="shared" si="23"/>
        <v>532.04998373665228</v>
      </c>
      <c r="I43" s="15">
        <f t="shared" si="8"/>
        <v>999.99999999999909</v>
      </c>
      <c r="K43" s="15">
        <f t="shared" si="14"/>
        <v>3.8438734143250053</v>
      </c>
      <c r="L43" s="15">
        <f t="shared" si="9"/>
        <v>3.0168470540926293</v>
      </c>
      <c r="M43" s="15">
        <f t="shared" si="15"/>
        <v>1.0764060616960796</v>
      </c>
      <c r="N43" s="15">
        <f t="shared" si="16"/>
        <v>0.84481253834564962</v>
      </c>
      <c r="O43" s="15"/>
      <c r="P43" s="18">
        <f t="shared" si="17"/>
        <v>10527.055292858449</v>
      </c>
      <c r="Q43" s="18">
        <f t="shared" si="1"/>
        <v>476.12451713709413</v>
      </c>
      <c r="R43" s="18">
        <f t="shared" si="18"/>
        <v>11003.179809995543</v>
      </c>
      <c r="S43" s="18">
        <f t="shared" si="19"/>
        <v>3081.2381597355329</v>
      </c>
      <c r="V43" s="15">
        <f t="shared" si="20"/>
        <v>3.8438734143250053</v>
      </c>
      <c r="W43" s="15">
        <f t="shared" si="10"/>
        <v>3.0168470540926293</v>
      </c>
      <c r="X43" s="15">
        <f t="shared" si="2"/>
        <v>1.0764060616960796</v>
      </c>
      <c r="Y43" s="15">
        <f t="shared" si="3"/>
        <v>0.84481253834564962</v>
      </c>
      <c r="Z43" s="48"/>
      <c r="AA43" s="18">
        <f t="shared" si="11"/>
        <v>10527.055292858449</v>
      </c>
      <c r="AB43" s="48">
        <f t="shared" si="21"/>
        <v>476.12451713709413</v>
      </c>
      <c r="AC43" s="48">
        <f t="shared" si="12"/>
        <v>11003.179809995543</v>
      </c>
      <c r="AD43" s="18">
        <f t="shared" si="4"/>
        <v>3081.2381597355329</v>
      </c>
    </row>
    <row r="44" spans="1:30" x14ac:dyDescent="0.2">
      <c r="A44">
        <v>38</v>
      </c>
      <c r="C44" s="19">
        <f t="shared" si="0"/>
        <v>0.1958</v>
      </c>
      <c r="E44" s="23">
        <f t="shared" si="5"/>
        <v>0.41133586157439667</v>
      </c>
      <c r="F44" s="23">
        <f t="shared" si="6"/>
        <v>2.2037826210886782</v>
      </c>
      <c r="G44" s="23">
        <f t="shared" si="7"/>
        <v>464.58226736615893</v>
      </c>
      <c r="H44" s="23">
        <f t="shared" si="23"/>
        <v>532.80261415117707</v>
      </c>
      <c r="I44" s="15">
        <f t="shared" si="8"/>
        <v>999.99999999999909</v>
      </c>
      <c r="K44" s="15">
        <f t="shared" si="14"/>
        <v>2.6151184826630747</v>
      </c>
      <c r="L44" s="15">
        <f t="shared" si="9"/>
        <v>2.0436060343121856</v>
      </c>
      <c r="M44" s="15">
        <f t="shared" si="15"/>
        <v>0.70755153586161124</v>
      </c>
      <c r="N44" s="15">
        <f t="shared" si="16"/>
        <v>0.55292201782045869</v>
      </c>
      <c r="O44" s="15"/>
      <c r="P44" s="18">
        <f t="shared" si="17"/>
        <v>7228.351655627629</v>
      </c>
      <c r="Q44" s="18">
        <f t="shared" si="1"/>
        <v>330.56739316330169</v>
      </c>
      <c r="R44" s="18">
        <f t="shared" si="18"/>
        <v>7558.9190487909309</v>
      </c>
      <c r="S44" s="18">
        <f t="shared" si="19"/>
        <v>2045.1558190890109</v>
      </c>
      <c r="V44" s="15">
        <f t="shared" si="20"/>
        <v>2.6151184826630747</v>
      </c>
      <c r="W44" s="15">
        <f t="shared" si="10"/>
        <v>2.0436060343121856</v>
      </c>
      <c r="X44" s="15">
        <f t="shared" si="2"/>
        <v>0.70755153586161124</v>
      </c>
      <c r="Y44" s="15">
        <f t="shared" si="3"/>
        <v>0.55292201782045869</v>
      </c>
      <c r="Z44" s="48"/>
      <c r="AA44" s="18">
        <f t="shared" si="11"/>
        <v>7228.351655627629</v>
      </c>
      <c r="AB44" s="48">
        <f t="shared" si="21"/>
        <v>330.56739316330169</v>
      </c>
      <c r="AC44" s="48">
        <f t="shared" si="12"/>
        <v>7558.9190487909309</v>
      </c>
      <c r="AD44" s="18">
        <f t="shared" si="4"/>
        <v>2045.1558190890109</v>
      </c>
    </row>
    <row r="45" spans="1:30" x14ac:dyDescent="0.2">
      <c r="A45">
        <v>39</v>
      </c>
      <c r="C45" s="19">
        <f t="shared" si="0"/>
        <v>0.1958</v>
      </c>
      <c r="E45" s="23">
        <f t="shared" si="5"/>
        <v>0.25058580687112242</v>
      </c>
      <c r="F45" s="23">
        <f t="shared" si="6"/>
        <v>1.5219250837232206</v>
      </c>
      <c r="G45" s="23">
        <f t="shared" si="7"/>
        <v>464.91283475932221</v>
      </c>
      <c r="H45" s="23">
        <f t="shared" si="23"/>
        <v>533.31465435008249</v>
      </c>
      <c r="I45" s="15">
        <f t="shared" si="8"/>
        <v>999.99999999999909</v>
      </c>
      <c r="K45" s="15">
        <f t="shared" si="14"/>
        <v>1.772510890594343</v>
      </c>
      <c r="L45" s="15">
        <f t="shared" si="9"/>
        <v>1.3795003293199817</v>
      </c>
      <c r="M45" s="15">
        <f t="shared" si="15"/>
        <v>0.46335651130807126</v>
      </c>
      <c r="N45" s="15">
        <f t="shared" si="16"/>
        <v>0.36061863615839956</v>
      </c>
      <c r="O45" s="15"/>
      <c r="P45" s="18">
        <f t="shared" si="17"/>
        <v>4941.6539614763451</v>
      </c>
      <c r="Q45" s="18">
        <f t="shared" si="1"/>
        <v>228.28876255848309</v>
      </c>
      <c r="R45" s="18">
        <f t="shared" si="18"/>
        <v>5169.9427240348286</v>
      </c>
      <c r="S45" s="18">
        <f t="shared" si="19"/>
        <v>1351.4876760323191</v>
      </c>
      <c r="V45" s="15">
        <f t="shared" si="20"/>
        <v>1.772510890594343</v>
      </c>
      <c r="W45" s="15">
        <f t="shared" si="10"/>
        <v>1.3795003293199817</v>
      </c>
      <c r="X45" s="15">
        <f t="shared" si="2"/>
        <v>0.46335651130807126</v>
      </c>
      <c r="Y45" s="15">
        <f t="shared" si="3"/>
        <v>0.36061863615839956</v>
      </c>
      <c r="Z45" s="48"/>
      <c r="AA45" s="18">
        <f t="shared" si="11"/>
        <v>4941.6539614763451</v>
      </c>
      <c r="AB45" s="48">
        <f t="shared" si="21"/>
        <v>228.28876255848309</v>
      </c>
      <c r="AC45" s="48">
        <f t="shared" si="12"/>
        <v>5169.9427240348286</v>
      </c>
      <c r="AD45" s="18">
        <f t="shared" si="4"/>
        <v>1351.4876760323191</v>
      </c>
    </row>
    <row r="46" spans="1:30" x14ac:dyDescent="0.2">
      <c r="A46">
        <v>40</v>
      </c>
      <c r="C46" s="19">
        <f t="shared" si="0"/>
        <v>0.1958</v>
      </c>
      <c r="E46" s="23">
        <f t="shared" si="5"/>
        <v>0.15140394451153219</v>
      </c>
      <c r="F46" s="23">
        <f t="shared" si="6"/>
        <v>1.0457605511459553</v>
      </c>
      <c r="G46" s="23">
        <f t="shared" si="7"/>
        <v>465.14112352188067</v>
      </c>
      <c r="H46" s="23">
        <f t="shared" si="23"/>
        <v>533.66171198246082</v>
      </c>
      <c r="I46" s="15">
        <f t="shared" si="8"/>
        <v>999.99999999999898</v>
      </c>
      <c r="K46" s="15">
        <f t="shared" si="14"/>
        <v>1.1971644956574876</v>
      </c>
      <c r="L46" s="15">
        <f t="shared" si="9"/>
        <v>0.92815416064542211</v>
      </c>
      <c r="M46" s="15">
        <f t="shared" si="15"/>
        <v>0.30237079150314</v>
      </c>
      <c r="N46" s="15">
        <f t="shared" si="16"/>
        <v>0.23442618721928979</v>
      </c>
      <c r="O46" s="15"/>
      <c r="P46" s="18">
        <f t="shared" si="17"/>
        <v>3364.3875702051646</v>
      </c>
      <c r="Q46" s="18">
        <f t="shared" si="1"/>
        <v>156.8640826718933</v>
      </c>
      <c r="R46" s="18">
        <f t="shared" si="18"/>
        <v>3521.2516528770579</v>
      </c>
      <c r="S46" s="18">
        <f t="shared" si="19"/>
        <v>889.37122110142889</v>
      </c>
      <c r="V46" s="15">
        <f t="shared" si="20"/>
        <v>1.1971644956574876</v>
      </c>
      <c r="W46" s="15">
        <f t="shared" si="10"/>
        <v>0.92815416064542211</v>
      </c>
      <c r="X46" s="15">
        <f t="shared" si="2"/>
        <v>0.30237079150314</v>
      </c>
      <c r="Y46" s="15">
        <f t="shared" si="3"/>
        <v>0.23442618721928979</v>
      </c>
      <c r="Z46" s="48"/>
      <c r="AA46" s="18">
        <f t="shared" si="11"/>
        <v>3364.3875702051646</v>
      </c>
      <c r="AB46" s="48">
        <f t="shared" si="21"/>
        <v>156.8640826718933</v>
      </c>
      <c r="AC46" s="48">
        <f t="shared" si="12"/>
        <v>3521.2516528770579</v>
      </c>
      <c r="AD46" s="18">
        <f t="shared" si="4"/>
        <v>889.37122110142889</v>
      </c>
    </row>
    <row r="47" spans="1:30" x14ac:dyDescent="0.2">
      <c r="A47">
        <v>41</v>
      </c>
      <c r="C47" s="19">
        <f t="shared" si="0"/>
        <v>0.1958</v>
      </c>
      <c r="E47" s="23">
        <f t="shared" si="5"/>
        <v>9.0721243551310088E-2</v>
      </c>
      <c r="F47" s="23">
        <f t="shared" si="6"/>
        <v>0.71517436118454802</v>
      </c>
      <c r="G47" s="23">
        <f t="shared" si="7"/>
        <v>465.29798760455259</v>
      </c>
      <c r="H47" s="23">
        <f t="shared" si="23"/>
        <v>533.89611679071049</v>
      </c>
      <c r="I47" s="15">
        <f t="shared" si="8"/>
        <v>999.99999999999886</v>
      </c>
      <c r="K47" s="15">
        <f t="shared" si="14"/>
        <v>0.80589560473585808</v>
      </c>
      <c r="L47" s="15">
        <f t="shared" si="9"/>
        <v>0.6225659522621555</v>
      </c>
      <c r="M47" s="15">
        <f t="shared" si="15"/>
        <v>0.19666380869111624</v>
      </c>
      <c r="N47" s="15">
        <f t="shared" si="16"/>
        <v>0.15192562239301091</v>
      </c>
      <c r="O47" s="15"/>
      <c r="P47" s="18">
        <f t="shared" si="17"/>
        <v>2281.6049488806093</v>
      </c>
      <c r="Q47" s="18">
        <f t="shared" si="1"/>
        <v>107.2761541776822</v>
      </c>
      <c r="R47" s="18">
        <f t="shared" si="18"/>
        <v>2388.8811030582915</v>
      </c>
      <c r="S47" s="18">
        <f t="shared" si="19"/>
        <v>582.96192891095768</v>
      </c>
      <c r="V47" s="15">
        <f t="shared" si="20"/>
        <v>0.80589560473585808</v>
      </c>
      <c r="W47" s="15">
        <f t="shared" si="10"/>
        <v>0.6225659522621555</v>
      </c>
      <c r="X47" s="15">
        <f t="shared" si="2"/>
        <v>0.19666380869111624</v>
      </c>
      <c r="Y47" s="15">
        <f t="shared" si="3"/>
        <v>0.15192562239301091</v>
      </c>
      <c r="Z47" s="48"/>
      <c r="AA47" s="18">
        <f t="shared" si="11"/>
        <v>2281.6049488806093</v>
      </c>
      <c r="AB47" s="48">
        <f t="shared" si="21"/>
        <v>107.2761541776822</v>
      </c>
      <c r="AC47" s="48">
        <f t="shared" si="12"/>
        <v>2388.8811030582915</v>
      </c>
      <c r="AD47" s="18">
        <f t="shared" si="4"/>
        <v>582.96192891095768</v>
      </c>
    </row>
    <row r="48" spans="1:30" x14ac:dyDescent="0.2">
      <c r="A48">
        <v>42</v>
      </c>
      <c r="C48" s="19">
        <f t="shared" si="0"/>
        <v>0.1958</v>
      </c>
      <c r="E48" s="23">
        <f t="shared" si="5"/>
        <v>5.3906562918188461E-2</v>
      </c>
      <c r="F48" s="23">
        <f t="shared" si="6"/>
        <v>0.48691852823270643</v>
      </c>
      <c r="G48" s="23">
        <f t="shared" si="7"/>
        <v>465.40526375873026</v>
      </c>
      <c r="H48" s="23">
        <f t="shared" si="23"/>
        <v>534.05391115011787</v>
      </c>
      <c r="I48" s="15">
        <f t="shared" si="8"/>
        <v>999.99999999999909</v>
      </c>
      <c r="K48" s="15">
        <f t="shared" si="14"/>
        <v>0.54082509115089494</v>
      </c>
      <c r="L48" s="15">
        <f t="shared" si="9"/>
        <v>0.41640013094680883</v>
      </c>
      <c r="M48" s="15">
        <f t="shared" si="15"/>
        <v>0.1275152541562643</v>
      </c>
      <c r="N48" s="15">
        <f t="shared" si="16"/>
        <v>9.8178448813073721E-2</v>
      </c>
      <c r="O48" s="15"/>
      <c r="P48" s="18">
        <f t="shared" si="17"/>
        <v>1541.6154290754021</v>
      </c>
      <c r="Q48" s="18">
        <f t="shared" si="1"/>
        <v>73.037779234905969</v>
      </c>
      <c r="R48" s="18">
        <f t="shared" si="18"/>
        <v>1614.6532083103079</v>
      </c>
      <c r="S48" s="18">
        <f t="shared" si="19"/>
        <v>380.70148297625963</v>
      </c>
      <c r="V48" s="15">
        <f t="shared" si="20"/>
        <v>0.54082509115089494</v>
      </c>
      <c r="W48" s="15">
        <f t="shared" si="10"/>
        <v>0.41640013094680883</v>
      </c>
      <c r="X48" s="15">
        <f t="shared" si="2"/>
        <v>0.1275152541562643</v>
      </c>
      <c r="Y48" s="15">
        <f t="shared" si="3"/>
        <v>9.8178448813073721E-2</v>
      </c>
      <c r="Z48" s="48"/>
      <c r="AA48" s="18">
        <f t="shared" si="11"/>
        <v>1541.6154290754021</v>
      </c>
      <c r="AB48" s="48">
        <f t="shared" si="21"/>
        <v>73.037779234905969</v>
      </c>
      <c r="AC48" s="48">
        <f t="shared" si="12"/>
        <v>1614.6532083103079</v>
      </c>
      <c r="AD48" s="18">
        <f t="shared" si="4"/>
        <v>380.70148297625963</v>
      </c>
    </row>
    <row r="49" spans="1:30" x14ac:dyDescent="0.2">
      <c r="A49">
        <v>43</v>
      </c>
      <c r="C49" s="19">
        <f t="shared" si="0"/>
        <v>0.1958</v>
      </c>
      <c r="E49" s="23">
        <f t="shared" si="5"/>
        <v>3.1761746871396643E-2</v>
      </c>
      <c r="F49" s="23">
        <f t="shared" si="6"/>
        <v>0.33013201219724708</v>
      </c>
      <c r="G49" s="23">
        <f t="shared" si="7"/>
        <v>465.47830153796514</v>
      </c>
      <c r="H49" s="23">
        <f t="shared" si="23"/>
        <v>534.15980470296518</v>
      </c>
      <c r="I49" s="15">
        <f t="shared" si="8"/>
        <v>999.99999999999898</v>
      </c>
      <c r="K49" s="15">
        <f t="shared" si="14"/>
        <v>0.36189375906864374</v>
      </c>
      <c r="L49" s="15">
        <f t="shared" si="9"/>
        <v>0.27777266867576211</v>
      </c>
      <c r="M49" s="15">
        <f t="shared" si="15"/>
        <v>8.2441531802835491E-2</v>
      </c>
      <c r="N49" s="15">
        <f t="shared" si="16"/>
        <v>6.3278251488851106E-2</v>
      </c>
      <c r="O49" s="15"/>
      <c r="P49" s="18">
        <f t="shared" si="17"/>
        <v>1038.0386568988363</v>
      </c>
      <c r="Q49" s="18">
        <f t="shared" si="1"/>
        <v>49.51980182958706</v>
      </c>
      <c r="R49" s="18">
        <f t="shared" si="18"/>
        <v>1087.5584587284234</v>
      </c>
      <c r="S49" s="18">
        <f t="shared" si="19"/>
        <v>247.75222842595477</v>
      </c>
      <c r="V49" s="15">
        <f t="shared" si="20"/>
        <v>0.36189375906864374</v>
      </c>
      <c r="W49" s="15">
        <f t="shared" si="10"/>
        <v>0.27777266867576211</v>
      </c>
      <c r="X49" s="15">
        <f t="shared" si="2"/>
        <v>8.2441531802835491E-2</v>
      </c>
      <c r="Y49" s="15">
        <f t="shared" si="3"/>
        <v>6.3278251488851106E-2</v>
      </c>
      <c r="Z49" s="48"/>
      <c r="AA49" s="18">
        <f t="shared" si="11"/>
        <v>1038.0386568988363</v>
      </c>
      <c r="AB49" s="48">
        <f t="shared" si="21"/>
        <v>49.51980182958706</v>
      </c>
      <c r="AC49" s="48">
        <f t="shared" si="12"/>
        <v>1087.5584587284234</v>
      </c>
      <c r="AD49" s="18">
        <f t="shared" si="4"/>
        <v>247.75222842595477</v>
      </c>
    </row>
    <row r="50" spans="1:30" x14ac:dyDescent="0.2">
      <c r="A50">
        <v>44</v>
      </c>
      <c r="C50" s="19">
        <f t="shared" si="0"/>
        <v>0.1958</v>
      </c>
      <c r="E50" s="23">
        <f t="shared" si="5"/>
        <v>1.855521252226992E-2</v>
      </c>
      <c r="F50" s="23">
        <f t="shared" si="6"/>
        <v>0.2229599466911463</v>
      </c>
      <c r="G50" s="23">
        <f t="shared" si="7"/>
        <v>465.52782133979474</v>
      </c>
      <c r="H50" s="23">
        <f t="shared" si="23"/>
        <v>534.23066350099089</v>
      </c>
      <c r="I50" s="15">
        <f t="shared" si="8"/>
        <v>999.99999999999909</v>
      </c>
      <c r="K50" s="15">
        <f t="shared" si="14"/>
        <v>0.24151515921341621</v>
      </c>
      <c r="L50" s="15">
        <f t="shared" si="9"/>
        <v>0.18484741191451615</v>
      </c>
      <c r="M50" s="15">
        <f t="shared" si="15"/>
        <v>5.3158045490781014E-2</v>
      </c>
      <c r="N50" s="15">
        <f t="shared" si="16"/>
        <v>4.0685343161925805E-2</v>
      </c>
      <c r="O50" s="15"/>
      <c r="P50" s="18">
        <f t="shared" si="17"/>
        <v>696.71265885684375</v>
      </c>
      <c r="Q50" s="18">
        <f t="shared" si="1"/>
        <v>33.443992003671944</v>
      </c>
      <c r="R50" s="18">
        <f t="shared" si="18"/>
        <v>730.1566508605157</v>
      </c>
      <c r="S50" s="18">
        <f t="shared" si="19"/>
        <v>160.70916868427983</v>
      </c>
      <c r="V50" s="15">
        <f t="shared" si="20"/>
        <v>0.24151515921341621</v>
      </c>
      <c r="W50" s="15">
        <f t="shared" si="10"/>
        <v>0.18484741191451615</v>
      </c>
      <c r="X50" s="15">
        <f t="shared" si="2"/>
        <v>5.3158045490781014E-2</v>
      </c>
      <c r="Y50" s="15">
        <f t="shared" si="3"/>
        <v>4.0685343161925805E-2</v>
      </c>
      <c r="Z50" s="48"/>
      <c r="AA50" s="18">
        <f t="shared" si="11"/>
        <v>696.71265885684375</v>
      </c>
      <c r="AB50" s="48">
        <f t="shared" si="21"/>
        <v>33.443992003671944</v>
      </c>
      <c r="AC50" s="48">
        <f t="shared" si="12"/>
        <v>730.1566508605157</v>
      </c>
      <c r="AD50" s="18">
        <f t="shared" si="4"/>
        <v>160.70916868427983</v>
      </c>
    </row>
    <row r="51" spans="1:30" x14ac:dyDescent="0.2">
      <c r="A51">
        <v>45</v>
      </c>
      <c r="C51" s="19">
        <f t="shared" si="0"/>
        <v>0.1958</v>
      </c>
      <c r="E51" s="23">
        <f t="shared" si="5"/>
        <v>1.0747179092898738E-2</v>
      </c>
      <c r="F51" s="23">
        <f t="shared" si="6"/>
        <v>0.15003531994285862</v>
      </c>
      <c r="G51" s="23">
        <f t="shared" si="7"/>
        <v>465.56126533179844</v>
      </c>
      <c r="H51" s="23">
        <f t="shared" si="23"/>
        <v>534.27795216916491</v>
      </c>
      <c r="I51" s="15">
        <f t="shared" si="8"/>
        <v>999.99999999999909</v>
      </c>
      <c r="K51" s="15">
        <f t="shared" si="14"/>
        <v>0.16078249903575736</v>
      </c>
      <c r="L51" s="15">
        <f t="shared" si="9"/>
        <v>0.12273631009539777</v>
      </c>
      <c r="M51" s="15">
        <f t="shared" si="15"/>
        <v>3.4191884196085966E-2</v>
      </c>
      <c r="N51" s="15">
        <f t="shared" si="16"/>
        <v>2.6101010536622112E-2</v>
      </c>
      <c r="O51" s="15"/>
      <c r="P51" s="18">
        <f t="shared" si="17"/>
        <v>466.22672846792398</v>
      </c>
      <c r="Q51" s="18">
        <f t="shared" si="1"/>
        <v>22.505297991428794</v>
      </c>
      <c r="R51" s="18">
        <f t="shared" si="18"/>
        <v>488.73202645935277</v>
      </c>
      <c r="S51" s="18">
        <f t="shared" si="19"/>
        <v>103.93338175382029</v>
      </c>
      <c r="V51" s="15">
        <f t="shared" si="20"/>
        <v>0.16078249903575736</v>
      </c>
      <c r="W51" s="15">
        <f t="shared" si="10"/>
        <v>0.12273631009539777</v>
      </c>
      <c r="X51" s="15">
        <f t="shared" si="2"/>
        <v>3.4191884196085966E-2</v>
      </c>
      <c r="Y51" s="15">
        <f t="shared" si="3"/>
        <v>2.6101010536622112E-2</v>
      </c>
      <c r="Z51" s="48"/>
      <c r="AA51" s="18">
        <f t="shared" si="11"/>
        <v>466.22672846792398</v>
      </c>
      <c r="AB51" s="48">
        <f>Q51</f>
        <v>22.505297991428794</v>
      </c>
      <c r="AC51" s="48">
        <f t="shared" si="12"/>
        <v>488.73202645935277</v>
      </c>
      <c r="AD51" s="18">
        <f t="shared" si="4"/>
        <v>103.93338175382029</v>
      </c>
    </row>
    <row r="52" spans="1:30" x14ac:dyDescent="0.2">
      <c r="F52" s="23"/>
      <c r="G52" s="47"/>
      <c r="K52" s="6"/>
      <c r="L52" s="6"/>
      <c r="M52" s="58" t="s">
        <v>71</v>
      </c>
      <c r="N52" s="58"/>
      <c r="O52" s="16"/>
      <c r="P52" s="6"/>
      <c r="Q52" s="6"/>
      <c r="R52" s="6"/>
      <c r="S52" s="6" t="s">
        <v>71</v>
      </c>
      <c r="V52" s="6"/>
      <c r="W52" s="6"/>
      <c r="X52" s="58" t="s">
        <v>71</v>
      </c>
      <c r="Y52" s="58"/>
      <c r="Z52" s="48"/>
      <c r="AA52" s="6"/>
      <c r="AB52" s="6"/>
      <c r="AC52" s="6"/>
      <c r="AD52" s="6" t="s">
        <v>71</v>
      </c>
    </row>
    <row r="53" spans="1:30" x14ac:dyDescent="0.2">
      <c r="K53" s="6" t="str">
        <f>K4</f>
        <v>Life years</v>
      </c>
      <c r="L53" s="6" t="str">
        <f>L4</f>
        <v>QALYs</v>
      </c>
      <c r="M53" s="6" t="str">
        <f>M4</f>
        <v>Life years</v>
      </c>
      <c r="N53" s="6" t="str">
        <f>N4</f>
        <v>QALYs</v>
      </c>
      <c r="O53" s="6"/>
      <c r="P53" s="6" t="str">
        <f>P4</f>
        <v>StateCost</v>
      </c>
      <c r="Q53" s="6" t="str">
        <f>Q4</f>
        <v>TransCost</v>
      </c>
      <c r="R53" s="6" t="str">
        <f>R4</f>
        <v>TotalCost</v>
      </c>
      <c r="S53" s="6" t="str">
        <f>S4</f>
        <v>Total cost</v>
      </c>
      <c r="V53" s="6" t="str">
        <f>V4</f>
        <v>Life years</v>
      </c>
      <c r="W53" s="6" t="str">
        <f>W4</f>
        <v>QALYs</v>
      </c>
      <c r="X53" s="6" t="str">
        <f>X4</f>
        <v>Life years</v>
      </c>
      <c r="Y53" s="6" t="str">
        <f>Y4</f>
        <v>QALYs</v>
      </c>
      <c r="Z53" s="48"/>
      <c r="AA53" s="6" t="str">
        <f>AA4</f>
        <v>StateCost</v>
      </c>
      <c r="AB53" s="6" t="str">
        <f>AB4</f>
        <v>TransCost</v>
      </c>
      <c r="AC53" s="6" t="str">
        <f>AC4</f>
        <v>TotalCost</v>
      </c>
      <c r="AD53" s="6" t="str">
        <f>AD4</f>
        <v>Total cost</v>
      </c>
    </row>
    <row r="54" spans="1:30" x14ac:dyDescent="0.2">
      <c r="J54" s="6" t="s">
        <v>64</v>
      </c>
      <c r="K54" s="23">
        <f>SUM(K6:K53)</f>
        <v>15860.229143787123</v>
      </c>
      <c r="L54" s="23">
        <f>SUM(L7:L51)</f>
        <v>14446.43932575804</v>
      </c>
      <c r="M54" s="23">
        <f>SUM(M6:M51)</f>
        <v>11413.171398684999</v>
      </c>
      <c r="N54" s="23">
        <f>SUM(N6:N51)</f>
        <v>10479.464893454904</v>
      </c>
      <c r="O54" s="6"/>
      <c r="P54" s="24">
        <f>SUM(P6:P53)</f>
        <v>28446181.421978574</v>
      </c>
      <c r="Q54" s="24">
        <f>SUM(Q6:Q50)</f>
        <v>465561.26533179835</v>
      </c>
      <c r="R54" s="24">
        <f>SUM(R6:R51)</f>
        <v>28911765.19260836</v>
      </c>
      <c r="S54" s="24">
        <f>SUM(S6:S51)</f>
        <v>20114902.564218171</v>
      </c>
      <c r="V54" s="23">
        <f>SUM(V6:V51)</f>
        <v>16360.229143787123</v>
      </c>
      <c r="W54" s="23">
        <f>SUM(W6:W51)</f>
        <v>14921.43932575804</v>
      </c>
      <c r="X54" s="23">
        <f>SUM(X6:X51)</f>
        <v>11913.171398684999</v>
      </c>
      <c r="Y54" s="23">
        <f>SUM(Y6:Y51)</f>
        <v>10954.464893454904</v>
      </c>
      <c r="Z54" s="48"/>
      <c r="AA54" s="24">
        <f>SUM(AA6:AA51)</f>
        <v>29196181.421978574</v>
      </c>
      <c r="AB54" s="24">
        <f>SUM(AB6:AB51)</f>
        <v>465583.7706297898</v>
      </c>
      <c r="AC54" s="24">
        <f>SUM(AC6:AC51)</f>
        <v>29661765.19260836</v>
      </c>
      <c r="AD54" s="24">
        <f>SUM(AD6:AD51)</f>
        <v>20864902.564218171</v>
      </c>
    </row>
    <row r="55" spans="1:30" x14ac:dyDescent="0.2">
      <c r="J55" s="6" t="s">
        <v>65</v>
      </c>
      <c r="K55" s="20">
        <f>K54/1000</f>
        <v>15.860229143787123</v>
      </c>
      <c r="L55" s="20">
        <f t="shared" ref="L55:S55" si="24">L54/1000</f>
        <v>14.446439325758039</v>
      </c>
      <c r="M55" s="20">
        <f t="shared" si="24"/>
        <v>11.413171398685</v>
      </c>
      <c r="N55" s="21">
        <f t="shared" si="24"/>
        <v>10.479464893454905</v>
      </c>
      <c r="O55" s="6"/>
      <c r="P55" s="24">
        <f t="shared" si="24"/>
        <v>28446.181421978574</v>
      </c>
      <c r="Q55" s="24">
        <f t="shared" si="24"/>
        <v>465.56126533179832</v>
      </c>
      <c r="R55" s="24">
        <f t="shared" si="24"/>
        <v>28911.76519260836</v>
      </c>
      <c r="S55" s="24">
        <f t="shared" si="24"/>
        <v>20114.90256421817</v>
      </c>
      <c r="V55" s="20">
        <f>V54/1000</f>
        <v>16.360229143787123</v>
      </c>
      <c r="W55" s="20">
        <f>W54/1000</f>
        <v>14.92143932575804</v>
      </c>
      <c r="X55" s="20">
        <f>X54/1000</f>
        <v>11.913171398685</v>
      </c>
      <c r="Y55" s="21">
        <f>Y54/1000</f>
        <v>10.954464893454904</v>
      </c>
      <c r="Z55" s="48"/>
      <c r="AA55" s="24">
        <f>AA54/1000</f>
        <v>29196.181421978574</v>
      </c>
      <c r="AB55" s="24">
        <f>AB54/1000</f>
        <v>465.5837706297898</v>
      </c>
      <c r="AC55" s="24">
        <f>AC54/1000</f>
        <v>29661.76519260836</v>
      </c>
      <c r="AD55" s="24">
        <f>AD54/1000</f>
        <v>20864.90256421817</v>
      </c>
    </row>
    <row r="56" spans="1:30" x14ac:dyDescent="0.2">
      <c r="Z56" s="48"/>
    </row>
    <row r="57" spans="1:30" x14ac:dyDescent="0.2">
      <c r="Z57" s="48"/>
    </row>
    <row r="58" spans="1:30" x14ac:dyDescent="0.2">
      <c r="Z58" s="48"/>
    </row>
    <row r="59" spans="1:30" x14ac:dyDescent="0.2">
      <c r="N59" s="12"/>
      <c r="Z59" s="48"/>
    </row>
    <row r="60" spans="1:30" x14ac:dyDescent="0.2">
      <c r="Z60" s="48"/>
    </row>
    <row r="61" spans="1:30" x14ac:dyDescent="0.2">
      <c r="Z61" s="48"/>
    </row>
    <row r="62" spans="1:30" x14ac:dyDescent="0.2">
      <c r="Z62" s="48"/>
    </row>
    <row r="63" spans="1:30" x14ac:dyDescent="0.2">
      <c r="Z63" s="48"/>
    </row>
    <row r="64" spans="1:30" x14ac:dyDescent="0.2">
      <c r="Z64" s="48"/>
    </row>
    <row r="65" spans="26:26" x14ac:dyDescent="0.2">
      <c r="Z65" s="48"/>
    </row>
    <row r="66" spans="26:26" x14ac:dyDescent="0.2">
      <c r="Z66" s="48"/>
    </row>
    <row r="67" spans="26:26" x14ac:dyDescent="0.2">
      <c r="Z67" s="48"/>
    </row>
    <row r="68" spans="26:26" x14ac:dyDescent="0.2">
      <c r="Z68" s="48"/>
    </row>
    <row r="69" spans="26:26" x14ac:dyDescent="0.2">
      <c r="Z69" s="48"/>
    </row>
    <row r="70" spans="26:26" x14ac:dyDescent="0.2">
      <c r="Z70" s="48"/>
    </row>
    <row r="71" spans="26:26" x14ac:dyDescent="0.2">
      <c r="Z71" s="48"/>
    </row>
    <row r="72" spans="26:26" x14ac:dyDescent="0.2">
      <c r="Z72" s="48"/>
    </row>
  </sheetData>
  <mergeCells count="5">
    <mergeCell ref="E3:H3"/>
    <mergeCell ref="M3:N3"/>
    <mergeCell ref="M52:N52"/>
    <mergeCell ref="V2:AD2"/>
    <mergeCell ref="X52:Y52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008"/>
  <sheetViews>
    <sheetView workbookViewId="0">
      <pane ySplit="4" topLeftCell="A982" activePane="bottomLeft" state="frozen"/>
      <selection pane="bottomLeft" activeCell="B983" sqref="B983"/>
    </sheetView>
  </sheetViews>
  <sheetFormatPr defaultRowHeight="12.75" x14ac:dyDescent="0.2"/>
  <cols>
    <col min="5" max="5" width="14.28515625" bestFit="1" customWidth="1"/>
    <col min="9" max="10" width="12" bestFit="1" customWidth="1"/>
    <col min="11" max="11" width="2.5703125" style="30" customWidth="1"/>
    <col min="18" max="18" width="2.28515625" style="30" customWidth="1"/>
    <col min="19" max="19" width="22" bestFit="1" customWidth="1"/>
    <col min="20" max="20" width="11.5703125" bestFit="1" customWidth="1"/>
    <col min="21" max="21" width="2.28515625" style="30" customWidth="1"/>
    <col min="22" max="22" width="14.28515625" bestFit="1" customWidth="1"/>
    <col min="23" max="23" width="11.5703125" bestFit="1" customWidth="1"/>
    <col min="24" max="24" width="2.28515625" style="30" customWidth="1"/>
    <col min="25" max="25" width="17.85546875" bestFit="1" customWidth="1"/>
    <col min="26" max="26" width="14.28515625" bestFit="1" customWidth="1"/>
    <col min="27" max="27" width="11.5703125" bestFit="1" customWidth="1"/>
  </cols>
  <sheetData>
    <row r="1" spans="1:27" x14ac:dyDescent="0.2">
      <c r="L1" t="s">
        <v>85</v>
      </c>
      <c r="S1" s="15" t="s">
        <v>102</v>
      </c>
      <c r="T1">
        <v>100000</v>
      </c>
    </row>
    <row r="2" spans="1:27" x14ac:dyDescent="0.2">
      <c r="B2" s="60" t="s">
        <v>2</v>
      </c>
      <c r="C2" s="60"/>
      <c r="D2" s="60"/>
      <c r="E2" t="s">
        <v>3</v>
      </c>
      <c r="F2" s="60" t="s">
        <v>4</v>
      </c>
      <c r="G2" s="60"/>
      <c r="H2" s="60" t="s">
        <v>5</v>
      </c>
      <c r="I2" s="60"/>
      <c r="J2" t="s">
        <v>84</v>
      </c>
      <c r="L2" t="s">
        <v>66</v>
      </c>
      <c r="O2" t="s">
        <v>73</v>
      </c>
      <c r="S2" s="15" t="s">
        <v>99</v>
      </c>
      <c r="T2" s="55"/>
      <c r="V2" t="s">
        <v>100</v>
      </c>
      <c r="Y2" t="s">
        <v>101</v>
      </c>
    </row>
    <row r="3" spans="1:27" x14ac:dyDescent="0.2">
      <c r="B3" t="str">
        <f>Parameters!A12</f>
        <v>cAsymp</v>
      </c>
      <c r="C3" t="str">
        <f>Parameters!A13</f>
        <v>cProg</v>
      </c>
      <c r="D3" t="str">
        <f>Parameters!A14</f>
        <v>cDrug</v>
      </c>
      <c r="E3" t="str">
        <f>Parameters!A15</f>
        <v>cDeath</v>
      </c>
      <c r="F3" t="str">
        <f>Parameters!A19</f>
        <v>uAsymp</v>
      </c>
      <c r="G3" t="str">
        <f>Parameters!A20</f>
        <v>uProg</v>
      </c>
      <c r="H3" t="str">
        <f>Parameters!A25</f>
        <v>tpProg</v>
      </c>
      <c r="I3" t="str">
        <f>Parameters!A26</f>
        <v>tpDcm</v>
      </c>
      <c r="J3" t="str">
        <f>Parameters!A33</f>
        <v>Eff</v>
      </c>
      <c r="L3" t="s">
        <v>86</v>
      </c>
      <c r="M3" t="s">
        <v>70</v>
      </c>
      <c r="N3" t="s">
        <v>60</v>
      </c>
      <c r="O3" t="s">
        <v>86</v>
      </c>
      <c r="P3" t="s">
        <v>70</v>
      </c>
      <c r="Q3" t="s">
        <v>60</v>
      </c>
      <c r="S3" t="s">
        <v>66</v>
      </c>
      <c r="T3" t="s">
        <v>73</v>
      </c>
      <c r="V3" t="s">
        <v>66</v>
      </c>
      <c r="W3" t="s">
        <v>73</v>
      </c>
      <c r="Y3" s="56" t="s">
        <v>103</v>
      </c>
      <c r="Z3" t="s">
        <v>66</v>
      </c>
      <c r="AA3" t="s">
        <v>73</v>
      </c>
    </row>
    <row r="4" spans="1:27" x14ac:dyDescent="0.2">
      <c r="B4" s="24">
        <f>cAsymp</f>
        <v>500</v>
      </c>
      <c r="C4" s="24">
        <f>cProg</f>
        <v>3000</v>
      </c>
      <c r="D4" s="24">
        <f>cDrug</f>
        <v>1000</v>
      </c>
      <c r="E4" s="24">
        <f>cDeath</f>
        <v>1000</v>
      </c>
      <c r="F4" s="22">
        <f>uAsymp</f>
        <v>0.95</v>
      </c>
      <c r="G4" s="22">
        <f>uProg</f>
        <v>0.75</v>
      </c>
      <c r="H4" s="22">
        <f>tpProg</f>
        <v>0.01</v>
      </c>
      <c r="I4" s="22">
        <f>tpDcm</f>
        <v>0.15</v>
      </c>
      <c r="J4" s="22">
        <f>Eff</f>
        <v>0.5</v>
      </c>
      <c r="L4" s="24">
        <f>'No drug'!$S$55</f>
        <v>11831.502756269565</v>
      </c>
      <c r="M4" s="20">
        <f>'No drug'!$M$55</f>
        <v>10.237721047153583</v>
      </c>
      <c r="N4" s="20">
        <f>'No drug'!$N$55</f>
        <v>9.2192204866681529</v>
      </c>
      <c r="O4" s="24">
        <f>Drug!$S$55</f>
        <v>20114.90256421817</v>
      </c>
      <c r="P4" s="20">
        <f>Drug!$M$55</f>
        <v>11.413171398685</v>
      </c>
      <c r="Q4" s="20">
        <f>Drug!$N$55</f>
        <v>10.479464893454905</v>
      </c>
      <c r="S4" s="24">
        <f>AVERAGE(S6:S1004)</f>
        <v>0</v>
      </c>
      <c r="T4" s="24">
        <f>AVERAGE(T6:T1004)</f>
        <v>0</v>
      </c>
      <c r="V4" s="20">
        <f>AVERAGE(V6:V1005)</f>
        <v>1</v>
      </c>
      <c r="W4" s="20">
        <f>AVERAGE(W6:W1005)</f>
        <v>1</v>
      </c>
      <c r="Z4" s="56"/>
    </row>
    <row r="5" spans="1:27" x14ac:dyDescent="0.2">
      <c r="A5" t="s">
        <v>83</v>
      </c>
      <c r="S5">
        <f>$T$1*N5-L5</f>
        <v>0</v>
      </c>
      <c r="T5">
        <f>$T$1*Q5-O5</f>
        <v>0</v>
      </c>
    </row>
    <row r="6" spans="1:27" x14ac:dyDescent="0.2">
      <c r="A6">
        <v>1</v>
      </c>
      <c r="S6">
        <f t="shared" ref="S6:S69" si="0">$T$1*N6-L6</f>
        <v>0</v>
      </c>
      <c r="T6">
        <f t="shared" ref="T6:T69" si="1">$T$1*Q6-O6</f>
        <v>0</v>
      </c>
      <c r="V6">
        <f t="shared" ref="V6:V69" si="2">IF(S6=MAX($S6:$T6),1,0)</f>
        <v>1</v>
      </c>
      <c r="W6">
        <f t="shared" ref="W6:W69" si="3">IF(T6=MAX($S6:$T6),1,0)</f>
        <v>1</v>
      </c>
      <c r="Y6">
        <v>0</v>
      </c>
    </row>
    <row r="7" spans="1:27" x14ac:dyDescent="0.2">
      <c r="A7">
        <v>2</v>
      </c>
      <c r="S7">
        <f t="shared" si="0"/>
        <v>0</v>
      </c>
      <c r="T7">
        <f t="shared" si="1"/>
        <v>0</v>
      </c>
      <c r="V7">
        <f t="shared" si="2"/>
        <v>1</v>
      </c>
      <c r="W7">
        <f t="shared" si="3"/>
        <v>1</v>
      </c>
      <c r="Y7">
        <v>100</v>
      </c>
    </row>
    <row r="8" spans="1:27" x14ac:dyDescent="0.2">
      <c r="A8">
        <v>3</v>
      </c>
      <c r="S8">
        <f t="shared" si="0"/>
        <v>0</v>
      </c>
      <c r="T8">
        <f t="shared" si="1"/>
        <v>0</v>
      </c>
      <c r="V8">
        <f t="shared" si="2"/>
        <v>1</v>
      </c>
      <c r="W8">
        <f t="shared" si="3"/>
        <v>1</v>
      </c>
      <c r="Y8">
        <v>200</v>
      </c>
    </row>
    <row r="9" spans="1:27" x14ac:dyDescent="0.2">
      <c r="A9">
        <v>4</v>
      </c>
      <c r="S9">
        <f t="shared" si="0"/>
        <v>0</v>
      </c>
      <c r="T9">
        <f t="shared" si="1"/>
        <v>0</v>
      </c>
      <c r="V9">
        <f t="shared" si="2"/>
        <v>1</v>
      </c>
      <c r="W9">
        <f t="shared" si="3"/>
        <v>1</v>
      </c>
      <c r="Y9">
        <v>300</v>
      </c>
    </row>
    <row r="10" spans="1:27" x14ac:dyDescent="0.2">
      <c r="A10">
        <v>5</v>
      </c>
      <c r="S10">
        <f t="shared" si="0"/>
        <v>0</v>
      </c>
      <c r="T10">
        <f t="shared" si="1"/>
        <v>0</v>
      </c>
      <c r="V10">
        <f t="shared" si="2"/>
        <v>1</v>
      </c>
      <c r="W10">
        <f t="shared" si="3"/>
        <v>1</v>
      </c>
      <c r="Y10">
        <v>400</v>
      </c>
    </row>
    <row r="11" spans="1:27" x14ac:dyDescent="0.2">
      <c r="A11">
        <v>6</v>
      </c>
      <c r="S11">
        <f t="shared" si="0"/>
        <v>0</v>
      </c>
      <c r="T11">
        <f t="shared" si="1"/>
        <v>0</v>
      </c>
      <c r="V11">
        <f t="shared" si="2"/>
        <v>1</v>
      </c>
      <c r="W11">
        <f t="shared" si="3"/>
        <v>1</v>
      </c>
      <c r="Y11">
        <v>500</v>
      </c>
    </row>
    <row r="12" spans="1:27" x14ac:dyDescent="0.2">
      <c r="A12">
        <v>7</v>
      </c>
      <c r="S12">
        <f t="shared" si="0"/>
        <v>0</v>
      </c>
      <c r="T12">
        <f t="shared" si="1"/>
        <v>0</v>
      </c>
      <c r="V12">
        <f t="shared" si="2"/>
        <v>1</v>
      </c>
      <c r="W12">
        <f t="shared" si="3"/>
        <v>1</v>
      </c>
      <c r="Y12">
        <v>600</v>
      </c>
    </row>
    <row r="13" spans="1:27" x14ac:dyDescent="0.2">
      <c r="A13">
        <v>8</v>
      </c>
      <c r="S13">
        <f t="shared" si="0"/>
        <v>0</v>
      </c>
      <c r="T13">
        <f t="shared" si="1"/>
        <v>0</v>
      </c>
      <c r="V13">
        <f t="shared" si="2"/>
        <v>1</v>
      </c>
      <c r="W13">
        <f t="shared" si="3"/>
        <v>1</v>
      </c>
      <c r="Y13">
        <v>700</v>
      </c>
    </row>
    <row r="14" spans="1:27" x14ac:dyDescent="0.2">
      <c r="A14">
        <v>9</v>
      </c>
      <c r="S14">
        <f t="shared" si="0"/>
        <v>0</v>
      </c>
      <c r="T14">
        <f t="shared" si="1"/>
        <v>0</v>
      </c>
      <c r="V14">
        <f t="shared" si="2"/>
        <v>1</v>
      </c>
      <c r="W14">
        <f t="shared" si="3"/>
        <v>1</v>
      </c>
      <c r="Y14">
        <v>800</v>
      </c>
    </row>
    <row r="15" spans="1:27" x14ac:dyDescent="0.2">
      <c r="A15">
        <v>10</v>
      </c>
      <c r="S15">
        <f t="shared" si="0"/>
        <v>0</v>
      </c>
      <c r="T15">
        <f t="shared" si="1"/>
        <v>0</v>
      </c>
      <c r="V15">
        <f t="shared" si="2"/>
        <v>1</v>
      </c>
      <c r="W15">
        <f t="shared" si="3"/>
        <v>1</v>
      </c>
      <c r="Y15">
        <v>900</v>
      </c>
    </row>
    <row r="16" spans="1:27" x14ac:dyDescent="0.2">
      <c r="A16">
        <v>11</v>
      </c>
      <c r="S16">
        <f t="shared" si="0"/>
        <v>0</v>
      </c>
      <c r="T16">
        <f t="shared" si="1"/>
        <v>0</v>
      </c>
      <c r="V16">
        <f t="shared" si="2"/>
        <v>1</v>
      </c>
      <c r="W16">
        <f t="shared" si="3"/>
        <v>1</v>
      </c>
      <c r="Y16">
        <v>1000</v>
      </c>
    </row>
    <row r="17" spans="1:25" x14ac:dyDescent="0.2">
      <c r="A17">
        <v>12</v>
      </c>
      <c r="S17">
        <f t="shared" si="0"/>
        <v>0</v>
      </c>
      <c r="T17">
        <f t="shared" si="1"/>
        <v>0</v>
      </c>
      <c r="V17">
        <f t="shared" si="2"/>
        <v>1</v>
      </c>
      <c r="W17">
        <f t="shared" si="3"/>
        <v>1</v>
      </c>
      <c r="Y17">
        <v>1500</v>
      </c>
    </row>
    <row r="18" spans="1:25" x14ac:dyDescent="0.2">
      <c r="A18">
        <v>13</v>
      </c>
      <c r="S18">
        <f t="shared" si="0"/>
        <v>0</v>
      </c>
      <c r="T18">
        <f t="shared" si="1"/>
        <v>0</v>
      </c>
      <c r="V18">
        <f t="shared" si="2"/>
        <v>1</v>
      </c>
      <c r="W18">
        <f t="shared" si="3"/>
        <v>1</v>
      </c>
      <c r="Y18">
        <v>2000</v>
      </c>
    </row>
    <row r="19" spans="1:25" x14ac:dyDescent="0.2">
      <c r="A19">
        <v>14</v>
      </c>
      <c r="S19">
        <f t="shared" si="0"/>
        <v>0</v>
      </c>
      <c r="T19">
        <f t="shared" si="1"/>
        <v>0</v>
      </c>
      <c r="V19">
        <f t="shared" si="2"/>
        <v>1</v>
      </c>
      <c r="W19">
        <f t="shared" si="3"/>
        <v>1</v>
      </c>
      <c r="Y19">
        <v>2500</v>
      </c>
    </row>
    <row r="20" spans="1:25" x14ac:dyDescent="0.2">
      <c r="A20">
        <v>15</v>
      </c>
      <c r="S20">
        <f t="shared" si="0"/>
        <v>0</v>
      </c>
      <c r="T20">
        <f t="shared" si="1"/>
        <v>0</v>
      </c>
      <c r="V20">
        <f t="shared" si="2"/>
        <v>1</v>
      </c>
      <c r="W20">
        <f t="shared" si="3"/>
        <v>1</v>
      </c>
      <c r="Y20">
        <v>3000</v>
      </c>
    </row>
    <row r="21" spans="1:25" x14ac:dyDescent="0.2">
      <c r="A21">
        <v>16</v>
      </c>
      <c r="S21">
        <f t="shared" si="0"/>
        <v>0</v>
      </c>
      <c r="T21">
        <f t="shared" si="1"/>
        <v>0</v>
      </c>
      <c r="V21">
        <f t="shared" si="2"/>
        <v>1</v>
      </c>
      <c r="W21">
        <f t="shared" si="3"/>
        <v>1</v>
      </c>
      <c r="Y21">
        <v>3500</v>
      </c>
    </row>
    <row r="22" spans="1:25" x14ac:dyDescent="0.2">
      <c r="A22">
        <v>17</v>
      </c>
      <c r="S22">
        <f t="shared" si="0"/>
        <v>0</v>
      </c>
      <c r="T22">
        <f t="shared" si="1"/>
        <v>0</v>
      </c>
      <c r="V22">
        <f t="shared" si="2"/>
        <v>1</v>
      </c>
      <c r="W22">
        <f t="shared" si="3"/>
        <v>1</v>
      </c>
      <c r="Y22">
        <v>4000</v>
      </c>
    </row>
    <row r="23" spans="1:25" x14ac:dyDescent="0.2">
      <c r="A23">
        <v>18</v>
      </c>
      <c r="S23">
        <f t="shared" si="0"/>
        <v>0</v>
      </c>
      <c r="T23">
        <f t="shared" si="1"/>
        <v>0</v>
      </c>
      <c r="V23">
        <f t="shared" si="2"/>
        <v>1</v>
      </c>
      <c r="W23">
        <f t="shared" si="3"/>
        <v>1</v>
      </c>
      <c r="Y23">
        <v>4500</v>
      </c>
    </row>
    <row r="24" spans="1:25" x14ac:dyDescent="0.2">
      <c r="A24">
        <v>19</v>
      </c>
      <c r="S24">
        <f t="shared" si="0"/>
        <v>0</v>
      </c>
      <c r="T24">
        <f t="shared" si="1"/>
        <v>0</v>
      </c>
      <c r="V24">
        <f t="shared" si="2"/>
        <v>1</v>
      </c>
      <c r="W24">
        <f t="shared" si="3"/>
        <v>1</v>
      </c>
      <c r="Y24">
        <v>5000</v>
      </c>
    </row>
    <row r="25" spans="1:25" x14ac:dyDescent="0.2">
      <c r="A25">
        <v>20</v>
      </c>
      <c r="S25">
        <f t="shared" si="0"/>
        <v>0</v>
      </c>
      <c r="T25">
        <f t="shared" si="1"/>
        <v>0</v>
      </c>
      <c r="V25">
        <f t="shared" si="2"/>
        <v>1</v>
      </c>
      <c r="W25">
        <f t="shared" si="3"/>
        <v>1</v>
      </c>
      <c r="Y25">
        <v>6000</v>
      </c>
    </row>
    <row r="26" spans="1:25" x14ac:dyDescent="0.2">
      <c r="A26">
        <v>21</v>
      </c>
      <c r="S26">
        <f t="shared" si="0"/>
        <v>0</v>
      </c>
      <c r="T26">
        <f t="shared" si="1"/>
        <v>0</v>
      </c>
      <c r="V26">
        <f t="shared" si="2"/>
        <v>1</v>
      </c>
      <c r="W26">
        <f t="shared" si="3"/>
        <v>1</v>
      </c>
      <c r="Y26">
        <v>7000</v>
      </c>
    </row>
    <row r="27" spans="1:25" x14ac:dyDescent="0.2">
      <c r="A27">
        <v>22</v>
      </c>
      <c r="S27">
        <f t="shared" si="0"/>
        <v>0</v>
      </c>
      <c r="T27">
        <f t="shared" si="1"/>
        <v>0</v>
      </c>
      <c r="V27">
        <f t="shared" si="2"/>
        <v>1</v>
      </c>
      <c r="W27">
        <f t="shared" si="3"/>
        <v>1</v>
      </c>
      <c r="Y27">
        <v>8000</v>
      </c>
    </row>
    <row r="28" spans="1:25" x14ac:dyDescent="0.2">
      <c r="A28">
        <v>23</v>
      </c>
      <c r="S28">
        <f t="shared" si="0"/>
        <v>0</v>
      </c>
      <c r="T28">
        <f t="shared" si="1"/>
        <v>0</v>
      </c>
      <c r="V28">
        <f t="shared" si="2"/>
        <v>1</v>
      </c>
      <c r="W28">
        <f t="shared" si="3"/>
        <v>1</v>
      </c>
      <c r="Y28">
        <v>9000</v>
      </c>
    </row>
    <row r="29" spans="1:25" x14ac:dyDescent="0.2">
      <c r="A29">
        <v>24</v>
      </c>
      <c r="S29">
        <f t="shared" si="0"/>
        <v>0</v>
      </c>
      <c r="T29">
        <f t="shared" si="1"/>
        <v>0</v>
      </c>
      <c r="V29">
        <f t="shared" si="2"/>
        <v>1</v>
      </c>
      <c r="W29">
        <f t="shared" si="3"/>
        <v>1</v>
      </c>
      <c r="Y29">
        <v>10000</v>
      </c>
    </row>
    <row r="30" spans="1:25" x14ac:dyDescent="0.2">
      <c r="A30">
        <v>25</v>
      </c>
      <c r="S30">
        <f t="shared" si="0"/>
        <v>0</v>
      </c>
      <c r="T30">
        <f t="shared" si="1"/>
        <v>0</v>
      </c>
      <c r="V30">
        <f t="shared" si="2"/>
        <v>1</v>
      </c>
      <c r="W30">
        <f t="shared" si="3"/>
        <v>1</v>
      </c>
      <c r="Y30">
        <v>11000</v>
      </c>
    </row>
    <row r="31" spans="1:25" x14ac:dyDescent="0.2">
      <c r="A31">
        <v>26</v>
      </c>
      <c r="S31">
        <f t="shared" si="0"/>
        <v>0</v>
      </c>
      <c r="T31">
        <f t="shared" si="1"/>
        <v>0</v>
      </c>
      <c r="V31">
        <f t="shared" si="2"/>
        <v>1</v>
      </c>
      <c r="W31">
        <f t="shared" si="3"/>
        <v>1</v>
      </c>
      <c r="Y31">
        <v>12000</v>
      </c>
    </row>
    <row r="32" spans="1:25" x14ac:dyDescent="0.2">
      <c r="A32">
        <v>27</v>
      </c>
      <c r="S32">
        <f t="shared" si="0"/>
        <v>0</v>
      </c>
      <c r="T32">
        <f t="shared" si="1"/>
        <v>0</v>
      </c>
      <c r="V32">
        <f t="shared" si="2"/>
        <v>1</v>
      </c>
      <c r="W32">
        <f t="shared" si="3"/>
        <v>1</v>
      </c>
      <c r="Y32">
        <v>13000</v>
      </c>
    </row>
    <row r="33" spans="1:25" x14ac:dyDescent="0.2">
      <c r="A33">
        <v>28</v>
      </c>
      <c r="S33">
        <f t="shared" si="0"/>
        <v>0</v>
      </c>
      <c r="T33">
        <f t="shared" si="1"/>
        <v>0</v>
      </c>
      <c r="V33">
        <f t="shared" si="2"/>
        <v>1</v>
      </c>
      <c r="W33">
        <f t="shared" si="3"/>
        <v>1</v>
      </c>
      <c r="Y33">
        <v>14000</v>
      </c>
    </row>
    <row r="34" spans="1:25" x14ac:dyDescent="0.2">
      <c r="A34">
        <v>29</v>
      </c>
      <c r="S34">
        <f t="shared" si="0"/>
        <v>0</v>
      </c>
      <c r="T34">
        <f t="shared" si="1"/>
        <v>0</v>
      </c>
      <c r="V34">
        <f t="shared" si="2"/>
        <v>1</v>
      </c>
      <c r="W34">
        <f t="shared" si="3"/>
        <v>1</v>
      </c>
      <c r="Y34">
        <v>15000</v>
      </c>
    </row>
    <row r="35" spans="1:25" x14ac:dyDescent="0.2">
      <c r="A35">
        <v>30</v>
      </c>
      <c r="S35">
        <f t="shared" si="0"/>
        <v>0</v>
      </c>
      <c r="T35">
        <f t="shared" si="1"/>
        <v>0</v>
      </c>
      <c r="V35">
        <f t="shared" si="2"/>
        <v>1</v>
      </c>
      <c r="W35">
        <f t="shared" si="3"/>
        <v>1</v>
      </c>
      <c r="Y35">
        <v>16000</v>
      </c>
    </row>
    <row r="36" spans="1:25" x14ac:dyDescent="0.2">
      <c r="A36">
        <v>31</v>
      </c>
      <c r="S36">
        <f t="shared" si="0"/>
        <v>0</v>
      </c>
      <c r="T36">
        <f t="shared" si="1"/>
        <v>0</v>
      </c>
      <c r="V36">
        <f t="shared" si="2"/>
        <v>1</v>
      </c>
      <c r="W36">
        <f t="shared" si="3"/>
        <v>1</v>
      </c>
      <c r="Y36">
        <v>17000</v>
      </c>
    </row>
    <row r="37" spans="1:25" x14ac:dyDescent="0.2">
      <c r="A37">
        <v>32</v>
      </c>
      <c r="S37">
        <f t="shared" si="0"/>
        <v>0</v>
      </c>
      <c r="T37">
        <f t="shared" si="1"/>
        <v>0</v>
      </c>
      <c r="V37">
        <f t="shared" si="2"/>
        <v>1</v>
      </c>
      <c r="W37">
        <f t="shared" si="3"/>
        <v>1</v>
      </c>
      <c r="Y37">
        <v>18000</v>
      </c>
    </row>
    <row r="38" spans="1:25" x14ac:dyDescent="0.2">
      <c r="A38">
        <v>33</v>
      </c>
      <c r="S38">
        <f t="shared" si="0"/>
        <v>0</v>
      </c>
      <c r="T38">
        <f t="shared" si="1"/>
        <v>0</v>
      </c>
      <c r="V38">
        <f t="shared" si="2"/>
        <v>1</v>
      </c>
      <c r="W38">
        <f t="shared" si="3"/>
        <v>1</v>
      </c>
      <c r="Y38">
        <v>19000</v>
      </c>
    </row>
    <row r="39" spans="1:25" x14ac:dyDescent="0.2">
      <c r="A39">
        <v>34</v>
      </c>
      <c r="S39">
        <f t="shared" si="0"/>
        <v>0</v>
      </c>
      <c r="T39">
        <f t="shared" si="1"/>
        <v>0</v>
      </c>
      <c r="V39">
        <f t="shared" si="2"/>
        <v>1</v>
      </c>
      <c r="W39">
        <f t="shared" si="3"/>
        <v>1</v>
      </c>
      <c r="Y39">
        <v>20000</v>
      </c>
    </row>
    <row r="40" spans="1:25" x14ac:dyDescent="0.2">
      <c r="A40">
        <v>35</v>
      </c>
      <c r="S40">
        <f t="shared" si="0"/>
        <v>0</v>
      </c>
      <c r="T40">
        <f t="shared" si="1"/>
        <v>0</v>
      </c>
      <c r="V40">
        <f t="shared" si="2"/>
        <v>1</v>
      </c>
      <c r="W40">
        <f t="shared" si="3"/>
        <v>1</v>
      </c>
      <c r="Y40">
        <v>21000</v>
      </c>
    </row>
    <row r="41" spans="1:25" x14ac:dyDescent="0.2">
      <c r="A41">
        <v>36</v>
      </c>
      <c r="S41">
        <f t="shared" si="0"/>
        <v>0</v>
      </c>
      <c r="T41">
        <f t="shared" si="1"/>
        <v>0</v>
      </c>
      <c r="V41">
        <f t="shared" si="2"/>
        <v>1</v>
      </c>
      <c r="W41">
        <f t="shared" si="3"/>
        <v>1</v>
      </c>
      <c r="Y41">
        <v>22000</v>
      </c>
    </row>
    <row r="42" spans="1:25" x14ac:dyDescent="0.2">
      <c r="A42">
        <v>37</v>
      </c>
      <c r="S42">
        <f t="shared" si="0"/>
        <v>0</v>
      </c>
      <c r="T42">
        <f t="shared" si="1"/>
        <v>0</v>
      </c>
      <c r="V42">
        <f t="shared" si="2"/>
        <v>1</v>
      </c>
      <c r="W42">
        <f t="shared" si="3"/>
        <v>1</v>
      </c>
      <c r="Y42">
        <v>23000</v>
      </c>
    </row>
    <row r="43" spans="1:25" x14ac:dyDescent="0.2">
      <c r="A43">
        <v>38</v>
      </c>
      <c r="S43">
        <f t="shared" si="0"/>
        <v>0</v>
      </c>
      <c r="T43">
        <f t="shared" si="1"/>
        <v>0</v>
      </c>
      <c r="V43">
        <f t="shared" si="2"/>
        <v>1</v>
      </c>
      <c r="W43">
        <f t="shared" si="3"/>
        <v>1</v>
      </c>
      <c r="Y43">
        <v>24000</v>
      </c>
    </row>
    <row r="44" spans="1:25" x14ac:dyDescent="0.2">
      <c r="A44">
        <v>39</v>
      </c>
      <c r="S44">
        <f t="shared" si="0"/>
        <v>0</v>
      </c>
      <c r="T44">
        <f t="shared" si="1"/>
        <v>0</v>
      </c>
      <c r="V44">
        <f t="shared" si="2"/>
        <v>1</v>
      </c>
      <c r="W44">
        <f t="shared" si="3"/>
        <v>1</v>
      </c>
      <c r="Y44">
        <v>25000</v>
      </c>
    </row>
    <row r="45" spans="1:25" x14ac:dyDescent="0.2">
      <c r="A45">
        <v>40</v>
      </c>
      <c r="S45">
        <f t="shared" si="0"/>
        <v>0</v>
      </c>
      <c r="T45">
        <f t="shared" si="1"/>
        <v>0</v>
      </c>
      <c r="V45">
        <f t="shared" si="2"/>
        <v>1</v>
      </c>
      <c r="W45">
        <f t="shared" si="3"/>
        <v>1</v>
      </c>
      <c r="Y45">
        <v>26000</v>
      </c>
    </row>
    <row r="46" spans="1:25" x14ac:dyDescent="0.2">
      <c r="A46">
        <v>41</v>
      </c>
      <c r="S46">
        <f t="shared" si="0"/>
        <v>0</v>
      </c>
      <c r="T46">
        <f t="shared" si="1"/>
        <v>0</v>
      </c>
      <c r="V46">
        <f t="shared" si="2"/>
        <v>1</v>
      </c>
      <c r="W46">
        <f t="shared" si="3"/>
        <v>1</v>
      </c>
      <c r="Y46">
        <v>27000</v>
      </c>
    </row>
    <row r="47" spans="1:25" x14ac:dyDescent="0.2">
      <c r="A47">
        <v>42</v>
      </c>
      <c r="S47">
        <f t="shared" si="0"/>
        <v>0</v>
      </c>
      <c r="T47">
        <f t="shared" si="1"/>
        <v>0</v>
      </c>
      <c r="V47">
        <f t="shared" si="2"/>
        <v>1</v>
      </c>
      <c r="W47">
        <f t="shared" si="3"/>
        <v>1</v>
      </c>
      <c r="Y47">
        <v>28000</v>
      </c>
    </row>
    <row r="48" spans="1:25" x14ac:dyDescent="0.2">
      <c r="A48">
        <v>43</v>
      </c>
      <c r="S48">
        <f t="shared" si="0"/>
        <v>0</v>
      </c>
      <c r="T48">
        <f t="shared" si="1"/>
        <v>0</v>
      </c>
      <c r="V48">
        <f t="shared" si="2"/>
        <v>1</v>
      </c>
      <c r="W48">
        <f t="shared" si="3"/>
        <v>1</v>
      </c>
      <c r="Y48">
        <v>29000</v>
      </c>
    </row>
    <row r="49" spans="1:25" x14ac:dyDescent="0.2">
      <c r="A49">
        <v>44</v>
      </c>
      <c r="S49">
        <f t="shared" si="0"/>
        <v>0</v>
      </c>
      <c r="T49">
        <f t="shared" si="1"/>
        <v>0</v>
      </c>
      <c r="V49">
        <f t="shared" si="2"/>
        <v>1</v>
      </c>
      <c r="W49">
        <f t="shared" si="3"/>
        <v>1</v>
      </c>
      <c r="Y49">
        <v>30000</v>
      </c>
    </row>
    <row r="50" spans="1:25" x14ac:dyDescent="0.2">
      <c r="A50">
        <v>45</v>
      </c>
      <c r="S50">
        <f t="shared" si="0"/>
        <v>0</v>
      </c>
      <c r="T50">
        <f t="shared" si="1"/>
        <v>0</v>
      </c>
      <c r="V50">
        <f t="shared" si="2"/>
        <v>1</v>
      </c>
      <c r="W50">
        <f t="shared" si="3"/>
        <v>1</v>
      </c>
      <c r="Y50">
        <v>35000</v>
      </c>
    </row>
    <row r="51" spans="1:25" x14ac:dyDescent="0.2">
      <c r="A51">
        <v>46</v>
      </c>
      <c r="S51">
        <f t="shared" si="0"/>
        <v>0</v>
      </c>
      <c r="T51">
        <f t="shared" si="1"/>
        <v>0</v>
      </c>
      <c r="V51">
        <f t="shared" si="2"/>
        <v>1</v>
      </c>
      <c r="W51">
        <f t="shared" si="3"/>
        <v>1</v>
      </c>
      <c r="Y51">
        <v>40000</v>
      </c>
    </row>
    <row r="52" spans="1:25" x14ac:dyDescent="0.2">
      <c r="A52">
        <v>47</v>
      </c>
      <c r="S52">
        <f t="shared" si="0"/>
        <v>0</v>
      </c>
      <c r="T52">
        <f t="shared" si="1"/>
        <v>0</v>
      </c>
      <c r="V52">
        <f t="shared" si="2"/>
        <v>1</v>
      </c>
      <c r="W52">
        <f t="shared" si="3"/>
        <v>1</v>
      </c>
      <c r="Y52">
        <v>45000</v>
      </c>
    </row>
    <row r="53" spans="1:25" x14ac:dyDescent="0.2">
      <c r="A53">
        <v>48</v>
      </c>
      <c r="S53">
        <f t="shared" si="0"/>
        <v>0</v>
      </c>
      <c r="T53">
        <f t="shared" si="1"/>
        <v>0</v>
      </c>
      <c r="V53">
        <f t="shared" si="2"/>
        <v>1</v>
      </c>
      <c r="W53">
        <f t="shared" si="3"/>
        <v>1</v>
      </c>
      <c r="Y53">
        <v>50000</v>
      </c>
    </row>
    <row r="54" spans="1:25" x14ac:dyDescent="0.2">
      <c r="A54">
        <v>49</v>
      </c>
      <c r="S54">
        <f t="shared" si="0"/>
        <v>0</v>
      </c>
      <c r="T54">
        <f t="shared" si="1"/>
        <v>0</v>
      </c>
      <c r="V54">
        <f t="shared" si="2"/>
        <v>1</v>
      </c>
      <c r="W54">
        <f t="shared" si="3"/>
        <v>1</v>
      </c>
      <c r="Y54">
        <v>55000</v>
      </c>
    </row>
    <row r="55" spans="1:25" x14ac:dyDescent="0.2">
      <c r="A55">
        <v>50</v>
      </c>
      <c r="S55">
        <f t="shared" si="0"/>
        <v>0</v>
      </c>
      <c r="T55">
        <f t="shared" si="1"/>
        <v>0</v>
      </c>
      <c r="V55">
        <f t="shared" si="2"/>
        <v>1</v>
      </c>
      <c r="W55">
        <f t="shared" si="3"/>
        <v>1</v>
      </c>
      <c r="Y55">
        <v>60000</v>
      </c>
    </row>
    <row r="56" spans="1:25" x14ac:dyDescent="0.2">
      <c r="A56">
        <v>51</v>
      </c>
      <c r="S56">
        <f t="shared" si="0"/>
        <v>0</v>
      </c>
      <c r="T56">
        <f t="shared" si="1"/>
        <v>0</v>
      </c>
      <c r="V56">
        <f t="shared" si="2"/>
        <v>1</v>
      </c>
      <c r="W56">
        <f t="shared" si="3"/>
        <v>1</v>
      </c>
      <c r="Y56">
        <v>65000</v>
      </c>
    </row>
    <row r="57" spans="1:25" x14ac:dyDescent="0.2">
      <c r="A57">
        <v>52</v>
      </c>
      <c r="S57">
        <f t="shared" si="0"/>
        <v>0</v>
      </c>
      <c r="T57">
        <f t="shared" si="1"/>
        <v>0</v>
      </c>
      <c r="V57">
        <f t="shared" si="2"/>
        <v>1</v>
      </c>
      <c r="W57">
        <f t="shared" si="3"/>
        <v>1</v>
      </c>
      <c r="Y57">
        <v>70000</v>
      </c>
    </row>
    <row r="58" spans="1:25" x14ac:dyDescent="0.2">
      <c r="A58">
        <v>53</v>
      </c>
      <c r="S58">
        <f t="shared" si="0"/>
        <v>0</v>
      </c>
      <c r="T58">
        <f t="shared" si="1"/>
        <v>0</v>
      </c>
      <c r="V58">
        <f t="shared" si="2"/>
        <v>1</v>
      </c>
      <c r="W58">
        <f t="shared" si="3"/>
        <v>1</v>
      </c>
      <c r="Y58">
        <v>75000</v>
      </c>
    </row>
    <row r="59" spans="1:25" x14ac:dyDescent="0.2">
      <c r="A59">
        <v>54</v>
      </c>
      <c r="S59">
        <f t="shared" si="0"/>
        <v>0</v>
      </c>
      <c r="T59">
        <f t="shared" si="1"/>
        <v>0</v>
      </c>
      <c r="V59">
        <f t="shared" si="2"/>
        <v>1</v>
      </c>
      <c r="W59">
        <f t="shared" si="3"/>
        <v>1</v>
      </c>
      <c r="Y59">
        <v>80000</v>
      </c>
    </row>
    <row r="60" spans="1:25" x14ac:dyDescent="0.2">
      <c r="A60">
        <v>55</v>
      </c>
      <c r="S60">
        <f t="shared" si="0"/>
        <v>0</v>
      </c>
      <c r="T60">
        <f t="shared" si="1"/>
        <v>0</v>
      </c>
      <c r="V60">
        <f t="shared" si="2"/>
        <v>1</v>
      </c>
      <c r="W60">
        <f t="shared" si="3"/>
        <v>1</v>
      </c>
      <c r="Y60">
        <v>85000</v>
      </c>
    </row>
    <row r="61" spans="1:25" x14ac:dyDescent="0.2">
      <c r="A61">
        <v>56</v>
      </c>
      <c r="S61">
        <f t="shared" si="0"/>
        <v>0</v>
      </c>
      <c r="T61">
        <f t="shared" si="1"/>
        <v>0</v>
      </c>
      <c r="V61">
        <f t="shared" si="2"/>
        <v>1</v>
      </c>
      <c r="W61">
        <f t="shared" si="3"/>
        <v>1</v>
      </c>
      <c r="Y61">
        <v>90000</v>
      </c>
    </row>
    <row r="62" spans="1:25" x14ac:dyDescent="0.2">
      <c r="A62">
        <v>57</v>
      </c>
      <c r="S62">
        <f t="shared" si="0"/>
        <v>0</v>
      </c>
      <c r="T62">
        <f t="shared" si="1"/>
        <v>0</v>
      </c>
      <c r="V62">
        <f t="shared" si="2"/>
        <v>1</v>
      </c>
      <c r="W62">
        <f t="shared" si="3"/>
        <v>1</v>
      </c>
      <c r="Y62">
        <v>95000</v>
      </c>
    </row>
    <row r="63" spans="1:25" x14ac:dyDescent="0.2">
      <c r="A63">
        <v>58</v>
      </c>
      <c r="S63">
        <f t="shared" si="0"/>
        <v>0</v>
      </c>
      <c r="T63">
        <f t="shared" si="1"/>
        <v>0</v>
      </c>
      <c r="V63">
        <f t="shared" si="2"/>
        <v>1</v>
      </c>
      <c r="W63">
        <f t="shared" si="3"/>
        <v>1</v>
      </c>
      <c r="Y63">
        <v>100000</v>
      </c>
    </row>
    <row r="64" spans="1:25" x14ac:dyDescent="0.2">
      <c r="A64">
        <v>59</v>
      </c>
      <c r="S64">
        <f t="shared" si="0"/>
        <v>0</v>
      </c>
      <c r="T64">
        <f t="shared" si="1"/>
        <v>0</v>
      </c>
      <c r="V64">
        <f t="shared" si="2"/>
        <v>1</v>
      </c>
      <c r="W64">
        <f t="shared" si="3"/>
        <v>1</v>
      </c>
    </row>
    <row r="65" spans="1:23" x14ac:dyDescent="0.2">
      <c r="A65">
        <v>60</v>
      </c>
      <c r="S65">
        <f t="shared" si="0"/>
        <v>0</v>
      </c>
      <c r="T65">
        <f t="shared" si="1"/>
        <v>0</v>
      </c>
      <c r="V65">
        <f t="shared" si="2"/>
        <v>1</v>
      </c>
      <c r="W65">
        <f t="shared" si="3"/>
        <v>1</v>
      </c>
    </row>
    <row r="66" spans="1:23" x14ac:dyDescent="0.2">
      <c r="A66">
        <v>61</v>
      </c>
      <c r="S66">
        <f t="shared" si="0"/>
        <v>0</v>
      </c>
      <c r="T66">
        <f t="shared" si="1"/>
        <v>0</v>
      </c>
      <c r="V66">
        <f t="shared" si="2"/>
        <v>1</v>
      </c>
      <c r="W66">
        <f t="shared" si="3"/>
        <v>1</v>
      </c>
    </row>
    <row r="67" spans="1:23" x14ac:dyDescent="0.2">
      <c r="A67">
        <v>62</v>
      </c>
      <c r="S67">
        <f t="shared" si="0"/>
        <v>0</v>
      </c>
      <c r="T67">
        <f t="shared" si="1"/>
        <v>0</v>
      </c>
      <c r="V67">
        <f t="shared" si="2"/>
        <v>1</v>
      </c>
      <c r="W67">
        <f t="shared" si="3"/>
        <v>1</v>
      </c>
    </row>
    <row r="68" spans="1:23" x14ac:dyDescent="0.2">
      <c r="A68">
        <v>63</v>
      </c>
      <c r="S68">
        <f t="shared" si="0"/>
        <v>0</v>
      </c>
      <c r="T68">
        <f t="shared" si="1"/>
        <v>0</v>
      </c>
      <c r="V68">
        <f t="shared" si="2"/>
        <v>1</v>
      </c>
      <c r="W68">
        <f t="shared" si="3"/>
        <v>1</v>
      </c>
    </row>
    <row r="69" spans="1:23" x14ac:dyDescent="0.2">
      <c r="A69">
        <v>64</v>
      </c>
      <c r="S69">
        <f t="shared" si="0"/>
        <v>0</v>
      </c>
      <c r="T69">
        <f t="shared" si="1"/>
        <v>0</v>
      </c>
      <c r="V69">
        <f t="shared" si="2"/>
        <v>1</v>
      </c>
      <c r="W69">
        <f t="shared" si="3"/>
        <v>1</v>
      </c>
    </row>
    <row r="70" spans="1:23" x14ac:dyDescent="0.2">
      <c r="A70">
        <v>65</v>
      </c>
      <c r="S70">
        <f t="shared" ref="S70:S133" si="4">$T$1*N70-L70</f>
        <v>0</v>
      </c>
      <c r="T70">
        <f t="shared" ref="T70:T133" si="5">$T$1*Q70-O70</f>
        <v>0</v>
      </c>
      <c r="V70">
        <f t="shared" ref="V70:V133" si="6">IF(S70=MAX($S70:$T70),1,0)</f>
        <v>1</v>
      </c>
      <c r="W70">
        <f t="shared" ref="W70:W133" si="7">IF(T70=MAX($S70:$T70),1,0)</f>
        <v>1</v>
      </c>
    </row>
    <row r="71" spans="1:23" x14ac:dyDescent="0.2">
      <c r="A71">
        <v>66</v>
      </c>
      <c r="S71">
        <f t="shared" si="4"/>
        <v>0</v>
      </c>
      <c r="T71">
        <f t="shared" si="5"/>
        <v>0</v>
      </c>
      <c r="V71">
        <f t="shared" si="6"/>
        <v>1</v>
      </c>
      <c r="W71">
        <f t="shared" si="7"/>
        <v>1</v>
      </c>
    </row>
    <row r="72" spans="1:23" x14ac:dyDescent="0.2">
      <c r="A72">
        <v>67</v>
      </c>
      <c r="S72">
        <f t="shared" si="4"/>
        <v>0</v>
      </c>
      <c r="T72">
        <f t="shared" si="5"/>
        <v>0</v>
      </c>
      <c r="V72">
        <f t="shared" si="6"/>
        <v>1</v>
      </c>
      <c r="W72">
        <f t="shared" si="7"/>
        <v>1</v>
      </c>
    </row>
    <row r="73" spans="1:23" x14ac:dyDescent="0.2">
      <c r="A73">
        <v>68</v>
      </c>
      <c r="S73">
        <f t="shared" si="4"/>
        <v>0</v>
      </c>
      <c r="T73">
        <f t="shared" si="5"/>
        <v>0</v>
      </c>
      <c r="V73">
        <f t="shared" si="6"/>
        <v>1</v>
      </c>
      <c r="W73">
        <f t="shared" si="7"/>
        <v>1</v>
      </c>
    </row>
    <row r="74" spans="1:23" x14ac:dyDescent="0.2">
      <c r="A74">
        <v>69</v>
      </c>
      <c r="S74">
        <f t="shared" si="4"/>
        <v>0</v>
      </c>
      <c r="T74">
        <f t="shared" si="5"/>
        <v>0</v>
      </c>
      <c r="V74">
        <f t="shared" si="6"/>
        <v>1</v>
      </c>
      <c r="W74">
        <f t="shared" si="7"/>
        <v>1</v>
      </c>
    </row>
    <row r="75" spans="1:23" x14ac:dyDescent="0.2">
      <c r="A75">
        <v>70</v>
      </c>
      <c r="S75">
        <f t="shared" si="4"/>
        <v>0</v>
      </c>
      <c r="T75">
        <f t="shared" si="5"/>
        <v>0</v>
      </c>
      <c r="V75">
        <f t="shared" si="6"/>
        <v>1</v>
      </c>
      <c r="W75">
        <f t="shared" si="7"/>
        <v>1</v>
      </c>
    </row>
    <row r="76" spans="1:23" x14ac:dyDescent="0.2">
      <c r="A76">
        <v>71</v>
      </c>
      <c r="S76">
        <f t="shared" si="4"/>
        <v>0</v>
      </c>
      <c r="T76">
        <f t="shared" si="5"/>
        <v>0</v>
      </c>
      <c r="V76">
        <f t="shared" si="6"/>
        <v>1</v>
      </c>
      <c r="W76">
        <f t="shared" si="7"/>
        <v>1</v>
      </c>
    </row>
    <row r="77" spans="1:23" x14ac:dyDescent="0.2">
      <c r="A77">
        <v>72</v>
      </c>
      <c r="S77">
        <f t="shared" si="4"/>
        <v>0</v>
      </c>
      <c r="T77">
        <f t="shared" si="5"/>
        <v>0</v>
      </c>
      <c r="V77">
        <f t="shared" si="6"/>
        <v>1</v>
      </c>
      <c r="W77">
        <f t="shared" si="7"/>
        <v>1</v>
      </c>
    </row>
    <row r="78" spans="1:23" x14ac:dyDescent="0.2">
      <c r="A78">
        <v>73</v>
      </c>
      <c r="S78">
        <f t="shared" si="4"/>
        <v>0</v>
      </c>
      <c r="T78">
        <f t="shared" si="5"/>
        <v>0</v>
      </c>
      <c r="V78">
        <f t="shared" si="6"/>
        <v>1</v>
      </c>
      <c r="W78">
        <f t="shared" si="7"/>
        <v>1</v>
      </c>
    </row>
    <row r="79" spans="1:23" x14ac:dyDescent="0.2">
      <c r="A79">
        <v>74</v>
      </c>
      <c r="S79">
        <f t="shared" si="4"/>
        <v>0</v>
      </c>
      <c r="T79">
        <f t="shared" si="5"/>
        <v>0</v>
      </c>
      <c r="V79">
        <f t="shared" si="6"/>
        <v>1</v>
      </c>
      <c r="W79">
        <f t="shared" si="7"/>
        <v>1</v>
      </c>
    </row>
    <row r="80" spans="1:23" x14ac:dyDescent="0.2">
      <c r="A80">
        <v>75</v>
      </c>
      <c r="S80">
        <f t="shared" si="4"/>
        <v>0</v>
      </c>
      <c r="T80">
        <f t="shared" si="5"/>
        <v>0</v>
      </c>
      <c r="V80">
        <f t="shared" si="6"/>
        <v>1</v>
      </c>
      <c r="W80">
        <f t="shared" si="7"/>
        <v>1</v>
      </c>
    </row>
    <row r="81" spans="1:23" x14ac:dyDescent="0.2">
      <c r="A81">
        <v>76</v>
      </c>
      <c r="S81">
        <f t="shared" si="4"/>
        <v>0</v>
      </c>
      <c r="T81">
        <f t="shared" si="5"/>
        <v>0</v>
      </c>
      <c r="V81">
        <f t="shared" si="6"/>
        <v>1</v>
      </c>
      <c r="W81">
        <f t="shared" si="7"/>
        <v>1</v>
      </c>
    </row>
    <row r="82" spans="1:23" x14ac:dyDescent="0.2">
      <c r="A82">
        <v>77</v>
      </c>
      <c r="S82">
        <f t="shared" si="4"/>
        <v>0</v>
      </c>
      <c r="T82">
        <f t="shared" si="5"/>
        <v>0</v>
      </c>
      <c r="V82">
        <f t="shared" si="6"/>
        <v>1</v>
      </c>
      <c r="W82">
        <f t="shared" si="7"/>
        <v>1</v>
      </c>
    </row>
    <row r="83" spans="1:23" x14ac:dyDescent="0.2">
      <c r="A83">
        <v>78</v>
      </c>
      <c r="S83">
        <f t="shared" si="4"/>
        <v>0</v>
      </c>
      <c r="T83">
        <f t="shared" si="5"/>
        <v>0</v>
      </c>
      <c r="V83">
        <f t="shared" si="6"/>
        <v>1</v>
      </c>
      <c r="W83">
        <f t="shared" si="7"/>
        <v>1</v>
      </c>
    </row>
    <row r="84" spans="1:23" x14ac:dyDescent="0.2">
      <c r="A84">
        <v>79</v>
      </c>
      <c r="S84">
        <f t="shared" si="4"/>
        <v>0</v>
      </c>
      <c r="T84">
        <f t="shared" si="5"/>
        <v>0</v>
      </c>
      <c r="V84">
        <f t="shared" si="6"/>
        <v>1</v>
      </c>
      <c r="W84">
        <f t="shared" si="7"/>
        <v>1</v>
      </c>
    </row>
    <row r="85" spans="1:23" x14ac:dyDescent="0.2">
      <c r="A85">
        <v>80</v>
      </c>
      <c r="S85">
        <f t="shared" si="4"/>
        <v>0</v>
      </c>
      <c r="T85">
        <f t="shared" si="5"/>
        <v>0</v>
      </c>
      <c r="V85">
        <f t="shared" si="6"/>
        <v>1</v>
      </c>
      <c r="W85">
        <f t="shared" si="7"/>
        <v>1</v>
      </c>
    </row>
    <row r="86" spans="1:23" x14ac:dyDescent="0.2">
      <c r="A86">
        <v>81</v>
      </c>
      <c r="S86">
        <f t="shared" si="4"/>
        <v>0</v>
      </c>
      <c r="T86">
        <f t="shared" si="5"/>
        <v>0</v>
      </c>
      <c r="V86">
        <f t="shared" si="6"/>
        <v>1</v>
      </c>
      <c r="W86">
        <f t="shared" si="7"/>
        <v>1</v>
      </c>
    </row>
    <row r="87" spans="1:23" x14ac:dyDescent="0.2">
      <c r="A87">
        <v>82</v>
      </c>
      <c r="S87">
        <f t="shared" si="4"/>
        <v>0</v>
      </c>
      <c r="T87">
        <f t="shared" si="5"/>
        <v>0</v>
      </c>
      <c r="V87">
        <f t="shared" si="6"/>
        <v>1</v>
      </c>
      <c r="W87">
        <f t="shared" si="7"/>
        <v>1</v>
      </c>
    </row>
    <row r="88" spans="1:23" x14ac:dyDescent="0.2">
      <c r="A88">
        <v>83</v>
      </c>
      <c r="S88">
        <f t="shared" si="4"/>
        <v>0</v>
      </c>
      <c r="T88">
        <f t="shared" si="5"/>
        <v>0</v>
      </c>
      <c r="V88">
        <f t="shared" si="6"/>
        <v>1</v>
      </c>
      <c r="W88">
        <f t="shared" si="7"/>
        <v>1</v>
      </c>
    </row>
    <row r="89" spans="1:23" x14ac:dyDescent="0.2">
      <c r="A89">
        <v>84</v>
      </c>
      <c r="S89">
        <f t="shared" si="4"/>
        <v>0</v>
      </c>
      <c r="T89">
        <f t="shared" si="5"/>
        <v>0</v>
      </c>
      <c r="V89">
        <f t="shared" si="6"/>
        <v>1</v>
      </c>
      <c r="W89">
        <f t="shared" si="7"/>
        <v>1</v>
      </c>
    </row>
    <row r="90" spans="1:23" x14ac:dyDescent="0.2">
      <c r="A90">
        <v>85</v>
      </c>
      <c r="S90">
        <f t="shared" si="4"/>
        <v>0</v>
      </c>
      <c r="T90">
        <f t="shared" si="5"/>
        <v>0</v>
      </c>
      <c r="V90">
        <f t="shared" si="6"/>
        <v>1</v>
      </c>
      <c r="W90">
        <f t="shared" si="7"/>
        <v>1</v>
      </c>
    </row>
    <row r="91" spans="1:23" x14ac:dyDescent="0.2">
      <c r="A91">
        <v>86</v>
      </c>
      <c r="S91">
        <f t="shared" si="4"/>
        <v>0</v>
      </c>
      <c r="T91">
        <f t="shared" si="5"/>
        <v>0</v>
      </c>
      <c r="V91">
        <f t="shared" si="6"/>
        <v>1</v>
      </c>
      <c r="W91">
        <f t="shared" si="7"/>
        <v>1</v>
      </c>
    </row>
    <row r="92" spans="1:23" x14ac:dyDescent="0.2">
      <c r="A92">
        <v>87</v>
      </c>
      <c r="S92">
        <f t="shared" si="4"/>
        <v>0</v>
      </c>
      <c r="T92">
        <f t="shared" si="5"/>
        <v>0</v>
      </c>
      <c r="V92">
        <f t="shared" si="6"/>
        <v>1</v>
      </c>
      <c r="W92">
        <f t="shared" si="7"/>
        <v>1</v>
      </c>
    </row>
    <row r="93" spans="1:23" x14ac:dyDescent="0.2">
      <c r="A93">
        <v>88</v>
      </c>
      <c r="S93">
        <f t="shared" si="4"/>
        <v>0</v>
      </c>
      <c r="T93">
        <f t="shared" si="5"/>
        <v>0</v>
      </c>
      <c r="V93">
        <f t="shared" si="6"/>
        <v>1</v>
      </c>
      <c r="W93">
        <f t="shared" si="7"/>
        <v>1</v>
      </c>
    </row>
    <row r="94" spans="1:23" x14ac:dyDescent="0.2">
      <c r="A94">
        <v>89</v>
      </c>
      <c r="S94">
        <f t="shared" si="4"/>
        <v>0</v>
      </c>
      <c r="T94">
        <f t="shared" si="5"/>
        <v>0</v>
      </c>
      <c r="V94">
        <f t="shared" si="6"/>
        <v>1</v>
      </c>
      <c r="W94">
        <f t="shared" si="7"/>
        <v>1</v>
      </c>
    </row>
    <row r="95" spans="1:23" x14ac:dyDescent="0.2">
      <c r="A95">
        <v>90</v>
      </c>
      <c r="S95">
        <f t="shared" si="4"/>
        <v>0</v>
      </c>
      <c r="T95">
        <f t="shared" si="5"/>
        <v>0</v>
      </c>
      <c r="V95">
        <f t="shared" si="6"/>
        <v>1</v>
      </c>
      <c r="W95">
        <f t="shared" si="7"/>
        <v>1</v>
      </c>
    </row>
    <row r="96" spans="1:23" x14ac:dyDescent="0.2">
      <c r="A96">
        <v>91</v>
      </c>
      <c r="S96">
        <f t="shared" si="4"/>
        <v>0</v>
      </c>
      <c r="T96">
        <f t="shared" si="5"/>
        <v>0</v>
      </c>
      <c r="V96">
        <f t="shared" si="6"/>
        <v>1</v>
      </c>
      <c r="W96">
        <f t="shared" si="7"/>
        <v>1</v>
      </c>
    </row>
    <row r="97" spans="1:23" x14ac:dyDescent="0.2">
      <c r="A97">
        <v>92</v>
      </c>
      <c r="S97">
        <f t="shared" si="4"/>
        <v>0</v>
      </c>
      <c r="T97">
        <f t="shared" si="5"/>
        <v>0</v>
      </c>
      <c r="V97">
        <f t="shared" si="6"/>
        <v>1</v>
      </c>
      <c r="W97">
        <f t="shared" si="7"/>
        <v>1</v>
      </c>
    </row>
    <row r="98" spans="1:23" x14ac:dyDescent="0.2">
      <c r="A98">
        <v>93</v>
      </c>
      <c r="S98">
        <f t="shared" si="4"/>
        <v>0</v>
      </c>
      <c r="T98">
        <f t="shared" si="5"/>
        <v>0</v>
      </c>
      <c r="V98">
        <f t="shared" si="6"/>
        <v>1</v>
      </c>
      <c r="W98">
        <f t="shared" si="7"/>
        <v>1</v>
      </c>
    </row>
    <row r="99" spans="1:23" x14ac:dyDescent="0.2">
      <c r="A99">
        <v>94</v>
      </c>
      <c r="S99">
        <f t="shared" si="4"/>
        <v>0</v>
      </c>
      <c r="T99">
        <f t="shared" si="5"/>
        <v>0</v>
      </c>
      <c r="V99">
        <f t="shared" si="6"/>
        <v>1</v>
      </c>
      <c r="W99">
        <f t="shared" si="7"/>
        <v>1</v>
      </c>
    </row>
    <row r="100" spans="1:23" x14ac:dyDescent="0.2">
      <c r="A100">
        <v>95</v>
      </c>
      <c r="S100">
        <f t="shared" si="4"/>
        <v>0</v>
      </c>
      <c r="T100">
        <f t="shared" si="5"/>
        <v>0</v>
      </c>
      <c r="V100">
        <f t="shared" si="6"/>
        <v>1</v>
      </c>
      <c r="W100">
        <f t="shared" si="7"/>
        <v>1</v>
      </c>
    </row>
    <row r="101" spans="1:23" x14ac:dyDescent="0.2">
      <c r="A101">
        <v>96</v>
      </c>
      <c r="S101">
        <f t="shared" si="4"/>
        <v>0</v>
      </c>
      <c r="T101">
        <f t="shared" si="5"/>
        <v>0</v>
      </c>
      <c r="V101">
        <f t="shared" si="6"/>
        <v>1</v>
      </c>
      <c r="W101">
        <f t="shared" si="7"/>
        <v>1</v>
      </c>
    </row>
    <row r="102" spans="1:23" x14ac:dyDescent="0.2">
      <c r="A102">
        <v>97</v>
      </c>
      <c r="S102">
        <f t="shared" si="4"/>
        <v>0</v>
      </c>
      <c r="T102">
        <f t="shared" si="5"/>
        <v>0</v>
      </c>
      <c r="V102">
        <f t="shared" si="6"/>
        <v>1</v>
      </c>
      <c r="W102">
        <f t="shared" si="7"/>
        <v>1</v>
      </c>
    </row>
    <row r="103" spans="1:23" x14ac:dyDescent="0.2">
      <c r="A103">
        <v>98</v>
      </c>
      <c r="S103">
        <f t="shared" si="4"/>
        <v>0</v>
      </c>
      <c r="T103">
        <f t="shared" si="5"/>
        <v>0</v>
      </c>
      <c r="V103">
        <f t="shared" si="6"/>
        <v>1</v>
      </c>
      <c r="W103">
        <f t="shared" si="7"/>
        <v>1</v>
      </c>
    </row>
    <row r="104" spans="1:23" x14ac:dyDescent="0.2">
      <c r="A104">
        <v>99</v>
      </c>
      <c r="S104">
        <f t="shared" si="4"/>
        <v>0</v>
      </c>
      <c r="T104">
        <f t="shared" si="5"/>
        <v>0</v>
      </c>
      <c r="V104">
        <f t="shared" si="6"/>
        <v>1</v>
      </c>
      <c r="W104">
        <f t="shared" si="7"/>
        <v>1</v>
      </c>
    </row>
    <row r="105" spans="1:23" x14ac:dyDescent="0.2">
      <c r="A105">
        <v>100</v>
      </c>
      <c r="S105">
        <f t="shared" si="4"/>
        <v>0</v>
      </c>
      <c r="T105">
        <f t="shared" si="5"/>
        <v>0</v>
      </c>
      <c r="V105">
        <f t="shared" si="6"/>
        <v>1</v>
      </c>
      <c r="W105">
        <f t="shared" si="7"/>
        <v>1</v>
      </c>
    </row>
    <row r="106" spans="1:23" x14ac:dyDescent="0.2">
      <c r="A106">
        <v>101</v>
      </c>
      <c r="S106">
        <f t="shared" si="4"/>
        <v>0</v>
      </c>
      <c r="T106">
        <f t="shared" si="5"/>
        <v>0</v>
      </c>
      <c r="V106">
        <f t="shared" si="6"/>
        <v>1</v>
      </c>
      <c r="W106">
        <f t="shared" si="7"/>
        <v>1</v>
      </c>
    </row>
    <row r="107" spans="1:23" x14ac:dyDescent="0.2">
      <c r="A107">
        <v>102</v>
      </c>
      <c r="S107">
        <f t="shared" si="4"/>
        <v>0</v>
      </c>
      <c r="T107">
        <f t="shared" si="5"/>
        <v>0</v>
      </c>
      <c r="V107">
        <f t="shared" si="6"/>
        <v>1</v>
      </c>
      <c r="W107">
        <f t="shared" si="7"/>
        <v>1</v>
      </c>
    </row>
    <row r="108" spans="1:23" x14ac:dyDescent="0.2">
      <c r="A108">
        <v>103</v>
      </c>
      <c r="S108">
        <f t="shared" si="4"/>
        <v>0</v>
      </c>
      <c r="T108">
        <f t="shared" si="5"/>
        <v>0</v>
      </c>
      <c r="V108">
        <f t="shared" si="6"/>
        <v>1</v>
      </c>
      <c r="W108">
        <f t="shared" si="7"/>
        <v>1</v>
      </c>
    </row>
    <row r="109" spans="1:23" x14ac:dyDescent="0.2">
      <c r="A109">
        <v>104</v>
      </c>
      <c r="S109">
        <f t="shared" si="4"/>
        <v>0</v>
      </c>
      <c r="T109">
        <f t="shared" si="5"/>
        <v>0</v>
      </c>
      <c r="V109">
        <f t="shared" si="6"/>
        <v>1</v>
      </c>
      <c r="W109">
        <f t="shared" si="7"/>
        <v>1</v>
      </c>
    </row>
    <row r="110" spans="1:23" x14ac:dyDescent="0.2">
      <c r="A110">
        <v>105</v>
      </c>
      <c r="S110">
        <f t="shared" si="4"/>
        <v>0</v>
      </c>
      <c r="T110">
        <f t="shared" si="5"/>
        <v>0</v>
      </c>
      <c r="V110">
        <f t="shared" si="6"/>
        <v>1</v>
      </c>
      <c r="W110">
        <f t="shared" si="7"/>
        <v>1</v>
      </c>
    </row>
    <row r="111" spans="1:23" x14ac:dyDescent="0.2">
      <c r="A111">
        <v>106</v>
      </c>
      <c r="S111">
        <f t="shared" si="4"/>
        <v>0</v>
      </c>
      <c r="T111">
        <f t="shared" si="5"/>
        <v>0</v>
      </c>
      <c r="V111">
        <f t="shared" si="6"/>
        <v>1</v>
      </c>
      <c r="W111">
        <f t="shared" si="7"/>
        <v>1</v>
      </c>
    </row>
    <row r="112" spans="1:23" x14ac:dyDescent="0.2">
      <c r="A112">
        <v>107</v>
      </c>
      <c r="S112">
        <f t="shared" si="4"/>
        <v>0</v>
      </c>
      <c r="T112">
        <f t="shared" si="5"/>
        <v>0</v>
      </c>
      <c r="V112">
        <f t="shared" si="6"/>
        <v>1</v>
      </c>
      <c r="W112">
        <f t="shared" si="7"/>
        <v>1</v>
      </c>
    </row>
    <row r="113" spans="1:23" x14ac:dyDescent="0.2">
      <c r="A113">
        <v>108</v>
      </c>
      <c r="S113">
        <f t="shared" si="4"/>
        <v>0</v>
      </c>
      <c r="T113">
        <f t="shared" si="5"/>
        <v>0</v>
      </c>
      <c r="V113">
        <f t="shared" si="6"/>
        <v>1</v>
      </c>
      <c r="W113">
        <f t="shared" si="7"/>
        <v>1</v>
      </c>
    </row>
    <row r="114" spans="1:23" x14ac:dyDescent="0.2">
      <c r="A114">
        <v>109</v>
      </c>
      <c r="S114">
        <f t="shared" si="4"/>
        <v>0</v>
      </c>
      <c r="T114">
        <f t="shared" si="5"/>
        <v>0</v>
      </c>
      <c r="V114">
        <f t="shared" si="6"/>
        <v>1</v>
      </c>
      <c r="W114">
        <f t="shared" si="7"/>
        <v>1</v>
      </c>
    </row>
    <row r="115" spans="1:23" x14ac:dyDescent="0.2">
      <c r="A115">
        <v>110</v>
      </c>
      <c r="S115">
        <f t="shared" si="4"/>
        <v>0</v>
      </c>
      <c r="T115">
        <f t="shared" si="5"/>
        <v>0</v>
      </c>
      <c r="V115">
        <f t="shared" si="6"/>
        <v>1</v>
      </c>
      <c r="W115">
        <f t="shared" si="7"/>
        <v>1</v>
      </c>
    </row>
    <row r="116" spans="1:23" x14ac:dyDescent="0.2">
      <c r="A116">
        <v>111</v>
      </c>
      <c r="S116">
        <f t="shared" si="4"/>
        <v>0</v>
      </c>
      <c r="T116">
        <f t="shared" si="5"/>
        <v>0</v>
      </c>
      <c r="V116">
        <f t="shared" si="6"/>
        <v>1</v>
      </c>
      <c r="W116">
        <f t="shared" si="7"/>
        <v>1</v>
      </c>
    </row>
    <row r="117" spans="1:23" x14ac:dyDescent="0.2">
      <c r="A117">
        <v>112</v>
      </c>
      <c r="S117">
        <f t="shared" si="4"/>
        <v>0</v>
      </c>
      <c r="T117">
        <f t="shared" si="5"/>
        <v>0</v>
      </c>
      <c r="V117">
        <f t="shared" si="6"/>
        <v>1</v>
      </c>
      <c r="W117">
        <f t="shared" si="7"/>
        <v>1</v>
      </c>
    </row>
    <row r="118" spans="1:23" x14ac:dyDescent="0.2">
      <c r="A118">
        <v>113</v>
      </c>
      <c r="S118">
        <f t="shared" si="4"/>
        <v>0</v>
      </c>
      <c r="T118">
        <f t="shared" si="5"/>
        <v>0</v>
      </c>
      <c r="V118">
        <f t="shared" si="6"/>
        <v>1</v>
      </c>
      <c r="W118">
        <f t="shared" si="7"/>
        <v>1</v>
      </c>
    </row>
    <row r="119" spans="1:23" x14ac:dyDescent="0.2">
      <c r="A119">
        <v>114</v>
      </c>
      <c r="S119">
        <f t="shared" si="4"/>
        <v>0</v>
      </c>
      <c r="T119">
        <f t="shared" si="5"/>
        <v>0</v>
      </c>
      <c r="V119">
        <f t="shared" si="6"/>
        <v>1</v>
      </c>
      <c r="W119">
        <f t="shared" si="7"/>
        <v>1</v>
      </c>
    </row>
    <row r="120" spans="1:23" x14ac:dyDescent="0.2">
      <c r="A120">
        <v>115</v>
      </c>
      <c r="S120">
        <f t="shared" si="4"/>
        <v>0</v>
      </c>
      <c r="T120">
        <f t="shared" si="5"/>
        <v>0</v>
      </c>
      <c r="V120">
        <f t="shared" si="6"/>
        <v>1</v>
      </c>
      <c r="W120">
        <f t="shared" si="7"/>
        <v>1</v>
      </c>
    </row>
    <row r="121" spans="1:23" x14ac:dyDescent="0.2">
      <c r="A121">
        <v>116</v>
      </c>
      <c r="S121">
        <f t="shared" si="4"/>
        <v>0</v>
      </c>
      <c r="T121">
        <f t="shared" si="5"/>
        <v>0</v>
      </c>
      <c r="V121">
        <f t="shared" si="6"/>
        <v>1</v>
      </c>
      <c r="W121">
        <f t="shared" si="7"/>
        <v>1</v>
      </c>
    </row>
    <row r="122" spans="1:23" x14ac:dyDescent="0.2">
      <c r="A122">
        <v>117</v>
      </c>
      <c r="S122">
        <f t="shared" si="4"/>
        <v>0</v>
      </c>
      <c r="T122">
        <f t="shared" si="5"/>
        <v>0</v>
      </c>
      <c r="V122">
        <f t="shared" si="6"/>
        <v>1</v>
      </c>
      <c r="W122">
        <f t="shared" si="7"/>
        <v>1</v>
      </c>
    </row>
    <row r="123" spans="1:23" x14ac:dyDescent="0.2">
      <c r="A123">
        <v>118</v>
      </c>
      <c r="S123">
        <f t="shared" si="4"/>
        <v>0</v>
      </c>
      <c r="T123">
        <f t="shared" si="5"/>
        <v>0</v>
      </c>
      <c r="V123">
        <f t="shared" si="6"/>
        <v>1</v>
      </c>
      <c r="W123">
        <f t="shared" si="7"/>
        <v>1</v>
      </c>
    </row>
    <row r="124" spans="1:23" x14ac:dyDescent="0.2">
      <c r="A124">
        <v>119</v>
      </c>
      <c r="S124">
        <f t="shared" si="4"/>
        <v>0</v>
      </c>
      <c r="T124">
        <f t="shared" si="5"/>
        <v>0</v>
      </c>
      <c r="V124">
        <f t="shared" si="6"/>
        <v>1</v>
      </c>
      <c r="W124">
        <f t="shared" si="7"/>
        <v>1</v>
      </c>
    </row>
    <row r="125" spans="1:23" x14ac:dyDescent="0.2">
      <c r="A125">
        <v>120</v>
      </c>
      <c r="S125">
        <f t="shared" si="4"/>
        <v>0</v>
      </c>
      <c r="T125">
        <f t="shared" si="5"/>
        <v>0</v>
      </c>
      <c r="V125">
        <f t="shared" si="6"/>
        <v>1</v>
      </c>
      <c r="W125">
        <f t="shared" si="7"/>
        <v>1</v>
      </c>
    </row>
    <row r="126" spans="1:23" x14ac:dyDescent="0.2">
      <c r="A126">
        <v>121</v>
      </c>
      <c r="S126">
        <f t="shared" si="4"/>
        <v>0</v>
      </c>
      <c r="T126">
        <f t="shared" si="5"/>
        <v>0</v>
      </c>
      <c r="V126">
        <f t="shared" si="6"/>
        <v>1</v>
      </c>
      <c r="W126">
        <f t="shared" si="7"/>
        <v>1</v>
      </c>
    </row>
    <row r="127" spans="1:23" x14ac:dyDescent="0.2">
      <c r="A127">
        <v>122</v>
      </c>
      <c r="S127">
        <f t="shared" si="4"/>
        <v>0</v>
      </c>
      <c r="T127">
        <f t="shared" si="5"/>
        <v>0</v>
      </c>
      <c r="V127">
        <f t="shared" si="6"/>
        <v>1</v>
      </c>
      <c r="W127">
        <f t="shared" si="7"/>
        <v>1</v>
      </c>
    </row>
    <row r="128" spans="1:23" x14ac:dyDescent="0.2">
      <c r="A128">
        <v>123</v>
      </c>
      <c r="S128">
        <f t="shared" si="4"/>
        <v>0</v>
      </c>
      <c r="T128">
        <f t="shared" si="5"/>
        <v>0</v>
      </c>
      <c r="V128">
        <f t="shared" si="6"/>
        <v>1</v>
      </c>
      <c r="W128">
        <f t="shared" si="7"/>
        <v>1</v>
      </c>
    </row>
    <row r="129" spans="1:23" x14ac:dyDescent="0.2">
      <c r="A129">
        <v>124</v>
      </c>
      <c r="S129">
        <f t="shared" si="4"/>
        <v>0</v>
      </c>
      <c r="T129">
        <f t="shared" si="5"/>
        <v>0</v>
      </c>
      <c r="V129">
        <f t="shared" si="6"/>
        <v>1</v>
      </c>
      <c r="W129">
        <f t="shared" si="7"/>
        <v>1</v>
      </c>
    </row>
    <row r="130" spans="1:23" x14ac:dyDescent="0.2">
      <c r="A130">
        <v>125</v>
      </c>
      <c r="S130">
        <f t="shared" si="4"/>
        <v>0</v>
      </c>
      <c r="T130">
        <f t="shared" si="5"/>
        <v>0</v>
      </c>
      <c r="V130">
        <f t="shared" si="6"/>
        <v>1</v>
      </c>
      <c r="W130">
        <f t="shared" si="7"/>
        <v>1</v>
      </c>
    </row>
    <row r="131" spans="1:23" x14ac:dyDescent="0.2">
      <c r="A131">
        <v>126</v>
      </c>
      <c r="S131">
        <f t="shared" si="4"/>
        <v>0</v>
      </c>
      <c r="T131">
        <f t="shared" si="5"/>
        <v>0</v>
      </c>
      <c r="V131">
        <f t="shared" si="6"/>
        <v>1</v>
      </c>
      <c r="W131">
        <f t="shared" si="7"/>
        <v>1</v>
      </c>
    </row>
    <row r="132" spans="1:23" x14ac:dyDescent="0.2">
      <c r="A132">
        <v>127</v>
      </c>
      <c r="S132">
        <f t="shared" si="4"/>
        <v>0</v>
      </c>
      <c r="T132">
        <f t="shared" si="5"/>
        <v>0</v>
      </c>
      <c r="V132">
        <f t="shared" si="6"/>
        <v>1</v>
      </c>
      <c r="W132">
        <f t="shared" si="7"/>
        <v>1</v>
      </c>
    </row>
    <row r="133" spans="1:23" x14ac:dyDescent="0.2">
      <c r="A133">
        <v>128</v>
      </c>
      <c r="S133">
        <f t="shared" si="4"/>
        <v>0</v>
      </c>
      <c r="T133">
        <f t="shared" si="5"/>
        <v>0</v>
      </c>
      <c r="V133">
        <f t="shared" si="6"/>
        <v>1</v>
      </c>
      <c r="W133">
        <f t="shared" si="7"/>
        <v>1</v>
      </c>
    </row>
    <row r="134" spans="1:23" x14ac:dyDescent="0.2">
      <c r="A134">
        <v>129</v>
      </c>
      <c r="S134">
        <f t="shared" ref="S134:S197" si="8">$T$1*N134-L134</f>
        <v>0</v>
      </c>
      <c r="T134">
        <f t="shared" ref="T134:T197" si="9">$T$1*Q134-O134</f>
        <v>0</v>
      </c>
      <c r="V134">
        <f t="shared" ref="V134:V197" si="10">IF(S134=MAX($S134:$T134),1,0)</f>
        <v>1</v>
      </c>
      <c r="W134">
        <f t="shared" ref="W134:W197" si="11">IF(T134=MAX($S134:$T134),1,0)</f>
        <v>1</v>
      </c>
    </row>
    <row r="135" spans="1:23" x14ac:dyDescent="0.2">
      <c r="A135">
        <v>130</v>
      </c>
      <c r="S135">
        <f t="shared" si="8"/>
        <v>0</v>
      </c>
      <c r="T135">
        <f t="shared" si="9"/>
        <v>0</v>
      </c>
      <c r="V135">
        <f t="shared" si="10"/>
        <v>1</v>
      </c>
      <c r="W135">
        <f t="shared" si="11"/>
        <v>1</v>
      </c>
    </row>
    <row r="136" spans="1:23" x14ac:dyDescent="0.2">
      <c r="A136">
        <v>131</v>
      </c>
      <c r="S136">
        <f t="shared" si="8"/>
        <v>0</v>
      </c>
      <c r="T136">
        <f t="shared" si="9"/>
        <v>0</v>
      </c>
      <c r="V136">
        <f t="shared" si="10"/>
        <v>1</v>
      </c>
      <c r="W136">
        <f t="shared" si="11"/>
        <v>1</v>
      </c>
    </row>
    <row r="137" spans="1:23" x14ac:dyDescent="0.2">
      <c r="A137">
        <v>132</v>
      </c>
      <c r="S137">
        <f t="shared" si="8"/>
        <v>0</v>
      </c>
      <c r="T137">
        <f t="shared" si="9"/>
        <v>0</v>
      </c>
      <c r="V137">
        <f t="shared" si="10"/>
        <v>1</v>
      </c>
      <c r="W137">
        <f t="shared" si="11"/>
        <v>1</v>
      </c>
    </row>
    <row r="138" spans="1:23" x14ac:dyDescent="0.2">
      <c r="A138">
        <v>133</v>
      </c>
      <c r="S138">
        <f t="shared" si="8"/>
        <v>0</v>
      </c>
      <c r="T138">
        <f t="shared" si="9"/>
        <v>0</v>
      </c>
      <c r="V138">
        <f t="shared" si="10"/>
        <v>1</v>
      </c>
      <c r="W138">
        <f t="shared" si="11"/>
        <v>1</v>
      </c>
    </row>
    <row r="139" spans="1:23" x14ac:dyDescent="0.2">
      <c r="A139">
        <v>134</v>
      </c>
      <c r="S139">
        <f t="shared" si="8"/>
        <v>0</v>
      </c>
      <c r="T139">
        <f t="shared" si="9"/>
        <v>0</v>
      </c>
      <c r="V139">
        <f t="shared" si="10"/>
        <v>1</v>
      </c>
      <c r="W139">
        <f t="shared" si="11"/>
        <v>1</v>
      </c>
    </row>
    <row r="140" spans="1:23" x14ac:dyDescent="0.2">
      <c r="A140">
        <v>135</v>
      </c>
      <c r="S140">
        <f t="shared" si="8"/>
        <v>0</v>
      </c>
      <c r="T140">
        <f t="shared" si="9"/>
        <v>0</v>
      </c>
      <c r="V140">
        <f t="shared" si="10"/>
        <v>1</v>
      </c>
      <c r="W140">
        <f t="shared" si="11"/>
        <v>1</v>
      </c>
    </row>
    <row r="141" spans="1:23" x14ac:dyDescent="0.2">
      <c r="A141">
        <v>136</v>
      </c>
      <c r="S141">
        <f t="shared" si="8"/>
        <v>0</v>
      </c>
      <c r="T141">
        <f t="shared" si="9"/>
        <v>0</v>
      </c>
      <c r="V141">
        <f t="shared" si="10"/>
        <v>1</v>
      </c>
      <c r="W141">
        <f t="shared" si="11"/>
        <v>1</v>
      </c>
    </row>
    <row r="142" spans="1:23" x14ac:dyDescent="0.2">
      <c r="A142">
        <v>137</v>
      </c>
      <c r="S142">
        <f t="shared" si="8"/>
        <v>0</v>
      </c>
      <c r="T142">
        <f t="shared" si="9"/>
        <v>0</v>
      </c>
      <c r="V142">
        <f t="shared" si="10"/>
        <v>1</v>
      </c>
      <c r="W142">
        <f t="shared" si="11"/>
        <v>1</v>
      </c>
    </row>
    <row r="143" spans="1:23" x14ac:dyDescent="0.2">
      <c r="A143">
        <v>138</v>
      </c>
      <c r="S143">
        <f t="shared" si="8"/>
        <v>0</v>
      </c>
      <c r="T143">
        <f t="shared" si="9"/>
        <v>0</v>
      </c>
      <c r="V143">
        <f t="shared" si="10"/>
        <v>1</v>
      </c>
      <c r="W143">
        <f t="shared" si="11"/>
        <v>1</v>
      </c>
    </row>
    <row r="144" spans="1:23" x14ac:dyDescent="0.2">
      <c r="A144">
        <v>139</v>
      </c>
      <c r="S144">
        <f t="shared" si="8"/>
        <v>0</v>
      </c>
      <c r="T144">
        <f t="shared" si="9"/>
        <v>0</v>
      </c>
      <c r="V144">
        <f t="shared" si="10"/>
        <v>1</v>
      </c>
      <c r="W144">
        <f t="shared" si="11"/>
        <v>1</v>
      </c>
    </row>
    <row r="145" spans="1:23" x14ac:dyDescent="0.2">
      <c r="A145">
        <v>140</v>
      </c>
      <c r="S145">
        <f t="shared" si="8"/>
        <v>0</v>
      </c>
      <c r="T145">
        <f t="shared" si="9"/>
        <v>0</v>
      </c>
      <c r="V145">
        <f t="shared" si="10"/>
        <v>1</v>
      </c>
      <c r="W145">
        <f t="shared" si="11"/>
        <v>1</v>
      </c>
    </row>
    <row r="146" spans="1:23" x14ac:dyDescent="0.2">
      <c r="A146">
        <v>141</v>
      </c>
      <c r="S146">
        <f t="shared" si="8"/>
        <v>0</v>
      </c>
      <c r="T146">
        <f t="shared" si="9"/>
        <v>0</v>
      </c>
      <c r="V146">
        <f t="shared" si="10"/>
        <v>1</v>
      </c>
      <c r="W146">
        <f t="shared" si="11"/>
        <v>1</v>
      </c>
    </row>
    <row r="147" spans="1:23" x14ac:dyDescent="0.2">
      <c r="A147">
        <v>142</v>
      </c>
      <c r="S147">
        <f t="shared" si="8"/>
        <v>0</v>
      </c>
      <c r="T147">
        <f t="shared" si="9"/>
        <v>0</v>
      </c>
      <c r="V147">
        <f t="shared" si="10"/>
        <v>1</v>
      </c>
      <c r="W147">
        <f t="shared" si="11"/>
        <v>1</v>
      </c>
    </row>
    <row r="148" spans="1:23" x14ac:dyDescent="0.2">
      <c r="A148">
        <v>143</v>
      </c>
      <c r="S148">
        <f t="shared" si="8"/>
        <v>0</v>
      </c>
      <c r="T148">
        <f t="shared" si="9"/>
        <v>0</v>
      </c>
      <c r="V148">
        <f t="shared" si="10"/>
        <v>1</v>
      </c>
      <c r="W148">
        <f t="shared" si="11"/>
        <v>1</v>
      </c>
    </row>
    <row r="149" spans="1:23" x14ac:dyDescent="0.2">
      <c r="A149">
        <v>144</v>
      </c>
      <c r="S149">
        <f t="shared" si="8"/>
        <v>0</v>
      </c>
      <c r="T149">
        <f t="shared" si="9"/>
        <v>0</v>
      </c>
      <c r="V149">
        <f t="shared" si="10"/>
        <v>1</v>
      </c>
      <c r="W149">
        <f t="shared" si="11"/>
        <v>1</v>
      </c>
    </row>
    <row r="150" spans="1:23" x14ac:dyDescent="0.2">
      <c r="A150">
        <v>145</v>
      </c>
      <c r="S150">
        <f t="shared" si="8"/>
        <v>0</v>
      </c>
      <c r="T150">
        <f t="shared" si="9"/>
        <v>0</v>
      </c>
      <c r="V150">
        <f t="shared" si="10"/>
        <v>1</v>
      </c>
      <c r="W150">
        <f t="shared" si="11"/>
        <v>1</v>
      </c>
    </row>
    <row r="151" spans="1:23" x14ac:dyDescent="0.2">
      <c r="A151">
        <v>146</v>
      </c>
      <c r="S151">
        <f t="shared" si="8"/>
        <v>0</v>
      </c>
      <c r="T151">
        <f t="shared" si="9"/>
        <v>0</v>
      </c>
      <c r="V151">
        <f t="shared" si="10"/>
        <v>1</v>
      </c>
      <c r="W151">
        <f t="shared" si="11"/>
        <v>1</v>
      </c>
    </row>
    <row r="152" spans="1:23" x14ac:dyDescent="0.2">
      <c r="A152">
        <v>147</v>
      </c>
      <c r="S152">
        <f t="shared" si="8"/>
        <v>0</v>
      </c>
      <c r="T152">
        <f t="shared" si="9"/>
        <v>0</v>
      </c>
      <c r="V152">
        <f t="shared" si="10"/>
        <v>1</v>
      </c>
      <c r="W152">
        <f t="shared" si="11"/>
        <v>1</v>
      </c>
    </row>
    <row r="153" spans="1:23" x14ac:dyDescent="0.2">
      <c r="A153">
        <v>148</v>
      </c>
      <c r="S153">
        <f t="shared" si="8"/>
        <v>0</v>
      </c>
      <c r="T153">
        <f t="shared" si="9"/>
        <v>0</v>
      </c>
      <c r="V153">
        <f t="shared" si="10"/>
        <v>1</v>
      </c>
      <c r="W153">
        <f t="shared" si="11"/>
        <v>1</v>
      </c>
    </row>
    <row r="154" spans="1:23" x14ac:dyDescent="0.2">
      <c r="A154">
        <v>149</v>
      </c>
      <c r="S154">
        <f t="shared" si="8"/>
        <v>0</v>
      </c>
      <c r="T154">
        <f t="shared" si="9"/>
        <v>0</v>
      </c>
      <c r="V154">
        <f t="shared" si="10"/>
        <v>1</v>
      </c>
      <c r="W154">
        <f t="shared" si="11"/>
        <v>1</v>
      </c>
    </row>
    <row r="155" spans="1:23" x14ac:dyDescent="0.2">
      <c r="A155">
        <v>150</v>
      </c>
      <c r="S155">
        <f t="shared" si="8"/>
        <v>0</v>
      </c>
      <c r="T155">
        <f t="shared" si="9"/>
        <v>0</v>
      </c>
      <c r="V155">
        <f t="shared" si="10"/>
        <v>1</v>
      </c>
      <c r="W155">
        <f t="shared" si="11"/>
        <v>1</v>
      </c>
    </row>
    <row r="156" spans="1:23" x14ac:dyDescent="0.2">
      <c r="A156">
        <v>151</v>
      </c>
      <c r="S156">
        <f t="shared" si="8"/>
        <v>0</v>
      </c>
      <c r="T156">
        <f t="shared" si="9"/>
        <v>0</v>
      </c>
      <c r="V156">
        <f t="shared" si="10"/>
        <v>1</v>
      </c>
      <c r="W156">
        <f t="shared" si="11"/>
        <v>1</v>
      </c>
    </row>
    <row r="157" spans="1:23" x14ac:dyDescent="0.2">
      <c r="A157">
        <v>152</v>
      </c>
      <c r="S157">
        <f t="shared" si="8"/>
        <v>0</v>
      </c>
      <c r="T157">
        <f t="shared" si="9"/>
        <v>0</v>
      </c>
      <c r="V157">
        <f t="shared" si="10"/>
        <v>1</v>
      </c>
      <c r="W157">
        <f t="shared" si="11"/>
        <v>1</v>
      </c>
    </row>
    <row r="158" spans="1:23" x14ac:dyDescent="0.2">
      <c r="A158">
        <v>153</v>
      </c>
      <c r="S158">
        <f t="shared" si="8"/>
        <v>0</v>
      </c>
      <c r="T158">
        <f t="shared" si="9"/>
        <v>0</v>
      </c>
      <c r="V158">
        <f t="shared" si="10"/>
        <v>1</v>
      </c>
      <c r="W158">
        <f t="shared" si="11"/>
        <v>1</v>
      </c>
    </row>
    <row r="159" spans="1:23" x14ac:dyDescent="0.2">
      <c r="A159">
        <v>154</v>
      </c>
      <c r="S159">
        <f t="shared" si="8"/>
        <v>0</v>
      </c>
      <c r="T159">
        <f t="shared" si="9"/>
        <v>0</v>
      </c>
      <c r="V159">
        <f t="shared" si="10"/>
        <v>1</v>
      </c>
      <c r="W159">
        <f t="shared" si="11"/>
        <v>1</v>
      </c>
    </row>
    <row r="160" spans="1:23" x14ac:dyDescent="0.2">
      <c r="A160">
        <v>155</v>
      </c>
      <c r="S160">
        <f t="shared" si="8"/>
        <v>0</v>
      </c>
      <c r="T160">
        <f t="shared" si="9"/>
        <v>0</v>
      </c>
      <c r="V160">
        <f t="shared" si="10"/>
        <v>1</v>
      </c>
      <c r="W160">
        <f t="shared" si="11"/>
        <v>1</v>
      </c>
    </row>
    <row r="161" spans="1:23" x14ac:dyDescent="0.2">
      <c r="A161">
        <v>156</v>
      </c>
      <c r="S161">
        <f t="shared" si="8"/>
        <v>0</v>
      </c>
      <c r="T161">
        <f t="shared" si="9"/>
        <v>0</v>
      </c>
      <c r="V161">
        <f t="shared" si="10"/>
        <v>1</v>
      </c>
      <c r="W161">
        <f t="shared" si="11"/>
        <v>1</v>
      </c>
    </row>
    <row r="162" spans="1:23" x14ac:dyDescent="0.2">
      <c r="A162">
        <v>157</v>
      </c>
      <c r="S162">
        <f t="shared" si="8"/>
        <v>0</v>
      </c>
      <c r="T162">
        <f t="shared" si="9"/>
        <v>0</v>
      </c>
      <c r="V162">
        <f t="shared" si="10"/>
        <v>1</v>
      </c>
      <c r="W162">
        <f t="shared" si="11"/>
        <v>1</v>
      </c>
    </row>
    <row r="163" spans="1:23" x14ac:dyDescent="0.2">
      <c r="A163">
        <v>158</v>
      </c>
      <c r="S163">
        <f t="shared" si="8"/>
        <v>0</v>
      </c>
      <c r="T163">
        <f t="shared" si="9"/>
        <v>0</v>
      </c>
      <c r="V163">
        <f t="shared" si="10"/>
        <v>1</v>
      </c>
      <c r="W163">
        <f t="shared" si="11"/>
        <v>1</v>
      </c>
    </row>
    <row r="164" spans="1:23" x14ac:dyDescent="0.2">
      <c r="A164">
        <v>159</v>
      </c>
      <c r="S164">
        <f t="shared" si="8"/>
        <v>0</v>
      </c>
      <c r="T164">
        <f t="shared" si="9"/>
        <v>0</v>
      </c>
      <c r="V164">
        <f t="shared" si="10"/>
        <v>1</v>
      </c>
      <c r="W164">
        <f t="shared" si="11"/>
        <v>1</v>
      </c>
    </row>
    <row r="165" spans="1:23" x14ac:dyDescent="0.2">
      <c r="A165">
        <v>160</v>
      </c>
      <c r="S165">
        <f t="shared" si="8"/>
        <v>0</v>
      </c>
      <c r="T165">
        <f t="shared" si="9"/>
        <v>0</v>
      </c>
      <c r="V165">
        <f t="shared" si="10"/>
        <v>1</v>
      </c>
      <c r="W165">
        <f t="shared" si="11"/>
        <v>1</v>
      </c>
    </row>
    <row r="166" spans="1:23" x14ac:dyDescent="0.2">
      <c r="A166">
        <v>161</v>
      </c>
      <c r="S166">
        <f t="shared" si="8"/>
        <v>0</v>
      </c>
      <c r="T166">
        <f t="shared" si="9"/>
        <v>0</v>
      </c>
      <c r="V166">
        <f t="shared" si="10"/>
        <v>1</v>
      </c>
      <c r="W166">
        <f t="shared" si="11"/>
        <v>1</v>
      </c>
    </row>
    <row r="167" spans="1:23" x14ac:dyDescent="0.2">
      <c r="A167">
        <v>162</v>
      </c>
      <c r="S167">
        <f t="shared" si="8"/>
        <v>0</v>
      </c>
      <c r="T167">
        <f t="shared" si="9"/>
        <v>0</v>
      </c>
      <c r="V167">
        <f t="shared" si="10"/>
        <v>1</v>
      </c>
      <c r="W167">
        <f t="shared" si="11"/>
        <v>1</v>
      </c>
    </row>
    <row r="168" spans="1:23" x14ac:dyDescent="0.2">
      <c r="A168">
        <v>163</v>
      </c>
      <c r="S168">
        <f t="shared" si="8"/>
        <v>0</v>
      </c>
      <c r="T168">
        <f t="shared" si="9"/>
        <v>0</v>
      </c>
      <c r="V168">
        <f t="shared" si="10"/>
        <v>1</v>
      </c>
      <c r="W168">
        <f t="shared" si="11"/>
        <v>1</v>
      </c>
    </row>
    <row r="169" spans="1:23" x14ac:dyDescent="0.2">
      <c r="A169">
        <v>164</v>
      </c>
      <c r="S169">
        <f t="shared" si="8"/>
        <v>0</v>
      </c>
      <c r="T169">
        <f t="shared" si="9"/>
        <v>0</v>
      </c>
      <c r="V169">
        <f t="shared" si="10"/>
        <v>1</v>
      </c>
      <c r="W169">
        <f t="shared" si="11"/>
        <v>1</v>
      </c>
    </row>
    <row r="170" spans="1:23" x14ac:dyDescent="0.2">
      <c r="A170">
        <v>165</v>
      </c>
      <c r="S170">
        <f t="shared" si="8"/>
        <v>0</v>
      </c>
      <c r="T170">
        <f t="shared" si="9"/>
        <v>0</v>
      </c>
      <c r="V170">
        <f t="shared" si="10"/>
        <v>1</v>
      </c>
      <c r="W170">
        <f t="shared" si="11"/>
        <v>1</v>
      </c>
    </row>
    <row r="171" spans="1:23" x14ac:dyDescent="0.2">
      <c r="A171">
        <v>166</v>
      </c>
      <c r="S171">
        <f t="shared" si="8"/>
        <v>0</v>
      </c>
      <c r="T171">
        <f t="shared" si="9"/>
        <v>0</v>
      </c>
      <c r="V171">
        <f t="shared" si="10"/>
        <v>1</v>
      </c>
      <c r="W171">
        <f t="shared" si="11"/>
        <v>1</v>
      </c>
    </row>
    <row r="172" spans="1:23" x14ac:dyDescent="0.2">
      <c r="A172">
        <v>167</v>
      </c>
      <c r="S172">
        <f t="shared" si="8"/>
        <v>0</v>
      </c>
      <c r="T172">
        <f t="shared" si="9"/>
        <v>0</v>
      </c>
      <c r="V172">
        <f t="shared" si="10"/>
        <v>1</v>
      </c>
      <c r="W172">
        <f t="shared" si="11"/>
        <v>1</v>
      </c>
    </row>
    <row r="173" spans="1:23" x14ac:dyDescent="0.2">
      <c r="A173">
        <v>168</v>
      </c>
      <c r="S173">
        <f t="shared" si="8"/>
        <v>0</v>
      </c>
      <c r="T173">
        <f t="shared" si="9"/>
        <v>0</v>
      </c>
      <c r="V173">
        <f t="shared" si="10"/>
        <v>1</v>
      </c>
      <c r="W173">
        <f t="shared" si="11"/>
        <v>1</v>
      </c>
    </row>
    <row r="174" spans="1:23" x14ac:dyDescent="0.2">
      <c r="A174">
        <v>169</v>
      </c>
      <c r="S174">
        <f t="shared" si="8"/>
        <v>0</v>
      </c>
      <c r="T174">
        <f t="shared" si="9"/>
        <v>0</v>
      </c>
      <c r="V174">
        <f t="shared" si="10"/>
        <v>1</v>
      </c>
      <c r="W174">
        <f t="shared" si="11"/>
        <v>1</v>
      </c>
    </row>
    <row r="175" spans="1:23" x14ac:dyDescent="0.2">
      <c r="A175">
        <v>170</v>
      </c>
      <c r="S175">
        <f t="shared" si="8"/>
        <v>0</v>
      </c>
      <c r="T175">
        <f t="shared" si="9"/>
        <v>0</v>
      </c>
      <c r="V175">
        <f t="shared" si="10"/>
        <v>1</v>
      </c>
      <c r="W175">
        <f t="shared" si="11"/>
        <v>1</v>
      </c>
    </row>
    <row r="176" spans="1:23" x14ac:dyDescent="0.2">
      <c r="A176">
        <v>171</v>
      </c>
      <c r="S176">
        <f t="shared" si="8"/>
        <v>0</v>
      </c>
      <c r="T176">
        <f t="shared" si="9"/>
        <v>0</v>
      </c>
      <c r="V176">
        <f t="shared" si="10"/>
        <v>1</v>
      </c>
      <c r="W176">
        <f t="shared" si="11"/>
        <v>1</v>
      </c>
    </row>
    <row r="177" spans="1:23" x14ac:dyDescent="0.2">
      <c r="A177">
        <v>172</v>
      </c>
      <c r="S177">
        <f t="shared" si="8"/>
        <v>0</v>
      </c>
      <c r="T177">
        <f t="shared" si="9"/>
        <v>0</v>
      </c>
      <c r="V177">
        <f t="shared" si="10"/>
        <v>1</v>
      </c>
      <c r="W177">
        <f t="shared" si="11"/>
        <v>1</v>
      </c>
    </row>
    <row r="178" spans="1:23" x14ac:dyDescent="0.2">
      <c r="A178">
        <v>173</v>
      </c>
      <c r="S178">
        <f t="shared" si="8"/>
        <v>0</v>
      </c>
      <c r="T178">
        <f t="shared" si="9"/>
        <v>0</v>
      </c>
      <c r="V178">
        <f t="shared" si="10"/>
        <v>1</v>
      </c>
      <c r="W178">
        <f t="shared" si="11"/>
        <v>1</v>
      </c>
    </row>
    <row r="179" spans="1:23" x14ac:dyDescent="0.2">
      <c r="A179">
        <v>174</v>
      </c>
      <c r="S179">
        <f t="shared" si="8"/>
        <v>0</v>
      </c>
      <c r="T179">
        <f t="shared" si="9"/>
        <v>0</v>
      </c>
      <c r="V179">
        <f t="shared" si="10"/>
        <v>1</v>
      </c>
      <c r="W179">
        <f t="shared" si="11"/>
        <v>1</v>
      </c>
    </row>
    <row r="180" spans="1:23" x14ac:dyDescent="0.2">
      <c r="A180">
        <v>175</v>
      </c>
      <c r="S180">
        <f t="shared" si="8"/>
        <v>0</v>
      </c>
      <c r="T180">
        <f t="shared" si="9"/>
        <v>0</v>
      </c>
      <c r="V180">
        <f t="shared" si="10"/>
        <v>1</v>
      </c>
      <c r="W180">
        <f t="shared" si="11"/>
        <v>1</v>
      </c>
    </row>
    <row r="181" spans="1:23" x14ac:dyDescent="0.2">
      <c r="A181">
        <v>176</v>
      </c>
      <c r="S181">
        <f t="shared" si="8"/>
        <v>0</v>
      </c>
      <c r="T181">
        <f t="shared" si="9"/>
        <v>0</v>
      </c>
      <c r="V181">
        <f t="shared" si="10"/>
        <v>1</v>
      </c>
      <c r="W181">
        <f t="shared" si="11"/>
        <v>1</v>
      </c>
    </row>
    <row r="182" spans="1:23" x14ac:dyDescent="0.2">
      <c r="A182">
        <v>177</v>
      </c>
      <c r="S182">
        <f t="shared" si="8"/>
        <v>0</v>
      </c>
      <c r="T182">
        <f t="shared" si="9"/>
        <v>0</v>
      </c>
      <c r="V182">
        <f t="shared" si="10"/>
        <v>1</v>
      </c>
      <c r="W182">
        <f t="shared" si="11"/>
        <v>1</v>
      </c>
    </row>
    <row r="183" spans="1:23" x14ac:dyDescent="0.2">
      <c r="A183">
        <v>178</v>
      </c>
      <c r="S183">
        <f t="shared" si="8"/>
        <v>0</v>
      </c>
      <c r="T183">
        <f t="shared" si="9"/>
        <v>0</v>
      </c>
      <c r="V183">
        <f t="shared" si="10"/>
        <v>1</v>
      </c>
      <c r="W183">
        <f t="shared" si="11"/>
        <v>1</v>
      </c>
    </row>
    <row r="184" spans="1:23" x14ac:dyDescent="0.2">
      <c r="A184">
        <v>179</v>
      </c>
      <c r="S184">
        <f t="shared" si="8"/>
        <v>0</v>
      </c>
      <c r="T184">
        <f t="shared" si="9"/>
        <v>0</v>
      </c>
      <c r="V184">
        <f t="shared" si="10"/>
        <v>1</v>
      </c>
      <c r="W184">
        <f t="shared" si="11"/>
        <v>1</v>
      </c>
    </row>
    <row r="185" spans="1:23" x14ac:dyDescent="0.2">
      <c r="A185">
        <v>180</v>
      </c>
      <c r="S185">
        <f t="shared" si="8"/>
        <v>0</v>
      </c>
      <c r="T185">
        <f t="shared" si="9"/>
        <v>0</v>
      </c>
      <c r="V185">
        <f t="shared" si="10"/>
        <v>1</v>
      </c>
      <c r="W185">
        <f t="shared" si="11"/>
        <v>1</v>
      </c>
    </row>
    <row r="186" spans="1:23" x14ac:dyDescent="0.2">
      <c r="A186">
        <v>181</v>
      </c>
      <c r="S186">
        <f t="shared" si="8"/>
        <v>0</v>
      </c>
      <c r="T186">
        <f t="shared" si="9"/>
        <v>0</v>
      </c>
      <c r="V186">
        <f t="shared" si="10"/>
        <v>1</v>
      </c>
      <c r="W186">
        <f t="shared" si="11"/>
        <v>1</v>
      </c>
    </row>
    <row r="187" spans="1:23" x14ac:dyDescent="0.2">
      <c r="A187">
        <v>182</v>
      </c>
      <c r="S187">
        <f t="shared" si="8"/>
        <v>0</v>
      </c>
      <c r="T187">
        <f t="shared" si="9"/>
        <v>0</v>
      </c>
      <c r="V187">
        <f t="shared" si="10"/>
        <v>1</v>
      </c>
      <c r="W187">
        <f t="shared" si="11"/>
        <v>1</v>
      </c>
    </row>
    <row r="188" spans="1:23" x14ac:dyDescent="0.2">
      <c r="A188">
        <v>183</v>
      </c>
      <c r="S188">
        <f t="shared" si="8"/>
        <v>0</v>
      </c>
      <c r="T188">
        <f t="shared" si="9"/>
        <v>0</v>
      </c>
      <c r="V188">
        <f t="shared" si="10"/>
        <v>1</v>
      </c>
      <c r="W188">
        <f t="shared" si="11"/>
        <v>1</v>
      </c>
    </row>
    <row r="189" spans="1:23" x14ac:dyDescent="0.2">
      <c r="A189">
        <v>184</v>
      </c>
      <c r="S189">
        <f t="shared" si="8"/>
        <v>0</v>
      </c>
      <c r="T189">
        <f t="shared" si="9"/>
        <v>0</v>
      </c>
      <c r="V189">
        <f t="shared" si="10"/>
        <v>1</v>
      </c>
      <c r="W189">
        <f t="shared" si="11"/>
        <v>1</v>
      </c>
    </row>
    <row r="190" spans="1:23" x14ac:dyDescent="0.2">
      <c r="A190">
        <v>185</v>
      </c>
      <c r="S190">
        <f t="shared" si="8"/>
        <v>0</v>
      </c>
      <c r="T190">
        <f t="shared" si="9"/>
        <v>0</v>
      </c>
      <c r="V190">
        <f t="shared" si="10"/>
        <v>1</v>
      </c>
      <c r="W190">
        <f t="shared" si="11"/>
        <v>1</v>
      </c>
    </row>
    <row r="191" spans="1:23" x14ac:dyDescent="0.2">
      <c r="A191">
        <v>186</v>
      </c>
      <c r="S191">
        <f t="shared" si="8"/>
        <v>0</v>
      </c>
      <c r="T191">
        <f t="shared" si="9"/>
        <v>0</v>
      </c>
      <c r="V191">
        <f t="shared" si="10"/>
        <v>1</v>
      </c>
      <c r="W191">
        <f t="shared" si="11"/>
        <v>1</v>
      </c>
    </row>
    <row r="192" spans="1:23" x14ac:dyDescent="0.2">
      <c r="A192">
        <v>187</v>
      </c>
      <c r="S192">
        <f t="shared" si="8"/>
        <v>0</v>
      </c>
      <c r="T192">
        <f t="shared" si="9"/>
        <v>0</v>
      </c>
      <c r="V192">
        <f t="shared" si="10"/>
        <v>1</v>
      </c>
      <c r="W192">
        <f t="shared" si="11"/>
        <v>1</v>
      </c>
    </row>
    <row r="193" spans="1:23" x14ac:dyDescent="0.2">
      <c r="A193">
        <v>188</v>
      </c>
      <c r="S193">
        <f t="shared" si="8"/>
        <v>0</v>
      </c>
      <c r="T193">
        <f t="shared" si="9"/>
        <v>0</v>
      </c>
      <c r="V193">
        <f t="shared" si="10"/>
        <v>1</v>
      </c>
      <c r="W193">
        <f t="shared" si="11"/>
        <v>1</v>
      </c>
    </row>
    <row r="194" spans="1:23" x14ac:dyDescent="0.2">
      <c r="A194">
        <v>189</v>
      </c>
      <c r="S194">
        <f t="shared" si="8"/>
        <v>0</v>
      </c>
      <c r="T194">
        <f t="shared" si="9"/>
        <v>0</v>
      </c>
      <c r="V194">
        <f t="shared" si="10"/>
        <v>1</v>
      </c>
      <c r="W194">
        <f t="shared" si="11"/>
        <v>1</v>
      </c>
    </row>
    <row r="195" spans="1:23" x14ac:dyDescent="0.2">
      <c r="A195">
        <v>190</v>
      </c>
      <c r="S195">
        <f t="shared" si="8"/>
        <v>0</v>
      </c>
      <c r="T195">
        <f t="shared" si="9"/>
        <v>0</v>
      </c>
      <c r="V195">
        <f t="shared" si="10"/>
        <v>1</v>
      </c>
      <c r="W195">
        <f t="shared" si="11"/>
        <v>1</v>
      </c>
    </row>
    <row r="196" spans="1:23" x14ac:dyDescent="0.2">
      <c r="A196">
        <v>191</v>
      </c>
      <c r="S196">
        <f t="shared" si="8"/>
        <v>0</v>
      </c>
      <c r="T196">
        <f t="shared" si="9"/>
        <v>0</v>
      </c>
      <c r="V196">
        <f t="shared" si="10"/>
        <v>1</v>
      </c>
      <c r="W196">
        <f t="shared" si="11"/>
        <v>1</v>
      </c>
    </row>
    <row r="197" spans="1:23" x14ac:dyDescent="0.2">
      <c r="A197">
        <v>192</v>
      </c>
      <c r="S197">
        <f t="shared" si="8"/>
        <v>0</v>
      </c>
      <c r="T197">
        <f t="shared" si="9"/>
        <v>0</v>
      </c>
      <c r="V197">
        <f t="shared" si="10"/>
        <v>1</v>
      </c>
      <c r="W197">
        <f t="shared" si="11"/>
        <v>1</v>
      </c>
    </row>
    <row r="198" spans="1:23" x14ac:dyDescent="0.2">
      <c r="A198">
        <v>193</v>
      </c>
      <c r="S198">
        <f t="shared" ref="S198:S261" si="12">$T$1*N198-L198</f>
        <v>0</v>
      </c>
      <c r="T198">
        <f t="shared" ref="T198:T261" si="13">$T$1*Q198-O198</f>
        <v>0</v>
      </c>
      <c r="V198">
        <f t="shared" ref="V198:V261" si="14">IF(S198=MAX($S198:$T198),1,0)</f>
        <v>1</v>
      </c>
      <c r="W198">
        <f t="shared" ref="W198:W261" si="15">IF(T198=MAX($S198:$T198),1,0)</f>
        <v>1</v>
      </c>
    </row>
    <row r="199" spans="1:23" x14ac:dyDescent="0.2">
      <c r="A199">
        <v>194</v>
      </c>
      <c r="S199">
        <f t="shared" si="12"/>
        <v>0</v>
      </c>
      <c r="T199">
        <f t="shared" si="13"/>
        <v>0</v>
      </c>
      <c r="V199">
        <f t="shared" si="14"/>
        <v>1</v>
      </c>
      <c r="W199">
        <f t="shared" si="15"/>
        <v>1</v>
      </c>
    </row>
    <row r="200" spans="1:23" x14ac:dyDescent="0.2">
      <c r="A200">
        <v>195</v>
      </c>
      <c r="S200">
        <f t="shared" si="12"/>
        <v>0</v>
      </c>
      <c r="T200">
        <f t="shared" si="13"/>
        <v>0</v>
      </c>
      <c r="V200">
        <f t="shared" si="14"/>
        <v>1</v>
      </c>
      <c r="W200">
        <f t="shared" si="15"/>
        <v>1</v>
      </c>
    </row>
    <row r="201" spans="1:23" x14ac:dyDescent="0.2">
      <c r="A201">
        <v>196</v>
      </c>
      <c r="S201">
        <f t="shared" si="12"/>
        <v>0</v>
      </c>
      <c r="T201">
        <f t="shared" si="13"/>
        <v>0</v>
      </c>
      <c r="V201">
        <f t="shared" si="14"/>
        <v>1</v>
      </c>
      <c r="W201">
        <f t="shared" si="15"/>
        <v>1</v>
      </c>
    </row>
    <row r="202" spans="1:23" x14ac:dyDescent="0.2">
      <c r="A202">
        <v>197</v>
      </c>
      <c r="S202">
        <f t="shared" si="12"/>
        <v>0</v>
      </c>
      <c r="T202">
        <f t="shared" si="13"/>
        <v>0</v>
      </c>
      <c r="V202">
        <f t="shared" si="14"/>
        <v>1</v>
      </c>
      <c r="W202">
        <f t="shared" si="15"/>
        <v>1</v>
      </c>
    </row>
    <row r="203" spans="1:23" x14ac:dyDescent="0.2">
      <c r="A203">
        <v>198</v>
      </c>
      <c r="S203">
        <f t="shared" si="12"/>
        <v>0</v>
      </c>
      <c r="T203">
        <f t="shared" si="13"/>
        <v>0</v>
      </c>
      <c r="V203">
        <f t="shared" si="14"/>
        <v>1</v>
      </c>
      <c r="W203">
        <f t="shared" si="15"/>
        <v>1</v>
      </c>
    </row>
    <row r="204" spans="1:23" x14ac:dyDescent="0.2">
      <c r="A204">
        <v>199</v>
      </c>
      <c r="S204">
        <f t="shared" si="12"/>
        <v>0</v>
      </c>
      <c r="T204">
        <f t="shared" si="13"/>
        <v>0</v>
      </c>
      <c r="V204">
        <f t="shared" si="14"/>
        <v>1</v>
      </c>
      <c r="W204">
        <f t="shared" si="15"/>
        <v>1</v>
      </c>
    </row>
    <row r="205" spans="1:23" x14ac:dyDescent="0.2">
      <c r="A205">
        <v>200</v>
      </c>
      <c r="S205">
        <f t="shared" si="12"/>
        <v>0</v>
      </c>
      <c r="T205">
        <f t="shared" si="13"/>
        <v>0</v>
      </c>
      <c r="V205">
        <f t="shared" si="14"/>
        <v>1</v>
      </c>
      <c r="W205">
        <f t="shared" si="15"/>
        <v>1</v>
      </c>
    </row>
    <row r="206" spans="1:23" x14ac:dyDescent="0.2">
      <c r="A206">
        <v>201</v>
      </c>
      <c r="S206">
        <f t="shared" si="12"/>
        <v>0</v>
      </c>
      <c r="T206">
        <f t="shared" si="13"/>
        <v>0</v>
      </c>
      <c r="V206">
        <f t="shared" si="14"/>
        <v>1</v>
      </c>
      <c r="W206">
        <f t="shared" si="15"/>
        <v>1</v>
      </c>
    </row>
    <row r="207" spans="1:23" x14ac:dyDescent="0.2">
      <c r="A207">
        <v>202</v>
      </c>
      <c r="S207">
        <f t="shared" si="12"/>
        <v>0</v>
      </c>
      <c r="T207">
        <f t="shared" si="13"/>
        <v>0</v>
      </c>
      <c r="V207">
        <f t="shared" si="14"/>
        <v>1</v>
      </c>
      <c r="W207">
        <f t="shared" si="15"/>
        <v>1</v>
      </c>
    </row>
    <row r="208" spans="1:23" x14ac:dyDescent="0.2">
      <c r="A208">
        <v>203</v>
      </c>
      <c r="S208">
        <f t="shared" si="12"/>
        <v>0</v>
      </c>
      <c r="T208">
        <f t="shared" si="13"/>
        <v>0</v>
      </c>
      <c r="V208">
        <f t="shared" si="14"/>
        <v>1</v>
      </c>
      <c r="W208">
        <f t="shared" si="15"/>
        <v>1</v>
      </c>
    </row>
    <row r="209" spans="1:23" x14ac:dyDescent="0.2">
      <c r="A209">
        <v>204</v>
      </c>
      <c r="S209">
        <f t="shared" si="12"/>
        <v>0</v>
      </c>
      <c r="T209">
        <f t="shared" si="13"/>
        <v>0</v>
      </c>
      <c r="V209">
        <f t="shared" si="14"/>
        <v>1</v>
      </c>
      <c r="W209">
        <f t="shared" si="15"/>
        <v>1</v>
      </c>
    </row>
    <row r="210" spans="1:23" x14ac:dyDescent="0.2">
      <c r="A210">
        <v>205</v>
      </c>
      <c r="S210">
        <f t="shared" si="12"/>
        <v>0</v>
      </c>
      <c r="T210">
        <f t="shared" si="13"/>
        <v>0</v>
      </c>
      <c r="V210">
        <f t="shared" si="14"/>
        <v>1</v>
      </c>
      <c r="W210">
        <f t="shared" si="15"/>
        <v>1</v>
      </c>
    </row>
    <row r="211" spans="1:23" x14ac:dyDescent="0.2">
      <c r="A211">
        <v>206</v>
      </c>
      <c r="S211">
        <f t="shared" si="12"/>
        <v>0</v>
      </c>
      <c r="T211">
        <f t="shared" si="13"/>
        <v>0</v>
      </c>
      <c r="V211">
        <f t="shared" si="14"/>
        <v>1</v>
      </c>
      <c r="W211">
        <f t="shared" si="15"/>
        <v>1</v>
      </c>
    </row>
    <row r="212" spans="1:23" x14ac:dyDescent="0.2">
      <c r="A212">
        <v>207</v>
      </c>
      <c r="S212">
        <f t="shared" si="12"/>
        <v>0</v>
      </c>
      <c r="T212">
        <f t="shared" si="13"/>
        <v>0</v>
      </c>
      <c r="V212">
        <f t="shared" si="14"/>
        <v>1</v>
      </c>
      <c r="W212">
        <f t="shared" si="15"/>
        <v>1</v>
      </c>
    </row>
    <row r="213" spans="1:23" x14ac:dyDescent="0.2">
      <c r="A213">
        <v>208</v>
      </c>
      <c r="S213">
        <f t="shared" si="12"/>
        <v>0</v>
      </c>
      <c r="T213">
        <f t="shared" si="13"/>
        <v>0</v>
      </c>
      <c r="V213">
        <f t="shared" si="14"/>
        <v>1</v>
      </c>
      <c r="W213">
        <f t="shared" si="15"/>
        <v>1</v>
      </c>
    </row>
    <row r="214" spans="1:23" x14ac:dyDescent="0.2">
      <c r="A214">
        <v>209</v>
      </c>
      <c r="S214">
        <f t="shared" si="12"/>
        <v>0</v>
      </c>
      <c r="T214">
        <f t="shared" si="13"/>
        <v>0</v>
      </c>
      <c r="V214">
        <f t="shared" si="14"/>
        <v>1</v>
      </c>
      <c r="W214">
        <f t="shared" si="15"/>
        <v>1</v>
      </c>
    </row>
    <row r="215" spans="1:23" x14ac:dyDescent="0.2">
      <c r="A215">
        <v>210</v>
      </c>
      <c r="S215">
        <f t="shared" si="12"/>
        <v>0</v>
      </c>
      <c r="T215">
        <f t="shared" si="13"/>
        <v>0</v>
      </c>
      <c r="V215">
        <f t="shared" si="14"/>
        <v>1</v>
      </c>
      <c r="W215">
        <f t="shared" si="15"/>
        <v>1</v>
      </c>
    </row>
    <row r="216" spans="1:23" x14ac:dyDescent="0.2">
      <c r="A216">
        <v>211</v>
      </c>
      <c r="S216">
        <f t="shared" si="12"/>
        <v>0</v>
      </c>
      <c r="T216">
        <f t="shared" si="13"/>
        <v>0</v>
      </c>
      <c r="V216">
        <f t="shared" si="14"/>
        <v>1</v>
      </c>
      <c r="W216">
        <f t="shared" si="15"/>
        <v>1</v>
      </c>
    </row>
    <row r="217" spans="1:23" x14ac:dyDescent="0.2">
      <c r="A217">
        <v>212</v>
      </c>
      <c r="S217">
        <f t="shared" si="12"/>
        <v>0</v>
      </c>
      <c r="T217">
        <f t="shared" si="13"/>
        <v>0</v>
      </c>
      <c r="V217">
        <f t="shared" si="14"/>
        <v>1</v>
      </c>
      <c r="W217">
        <f t="shared" si="15"/>
        <v>1</v>
      </c>
    </row>
    <row r="218" spans="1:23" x14ac:dyDescent="0.2">
      <c r="A218">
        <v>213</v>
      </c>
      <c r="S218">
        <f t="shared" si="12"/>
        <v>0</v>
      </c>
      <c r="T218">
        <f t="shared" si="13"/>
        <v>0</v>
      </c>
      <c r="V218">
        <f t="shared" si="14"/>
        <v>1</v>
      </c>
      <c r="W218">
        <f t="shared" si="15"/>
        <v>1</v>
      </c>
    </row>
    <row r="219" spans="1:23" x14ac:dyDescent="0.2">
      <c r="A219">
        <v>214</v>
      </c>
      <c r="S219">
        <f t="shared" si="12"/>
        <v>0</v>
      </c>
      <c r="T219">
        <f t="shared" si="13"/>
        <v>0</v>
      </c>
      <c r="V219">
        <f t="shared" si="14"/>
        <v>1</v>
      </c>
      <c r="W219">
        <f t="shared" si="15"/>
        <v>1</v>
      </c>
    </row>
    <row r="220" spans="1:23" x14ac:dyDescent="0.2">
      <c r="A220">
        <v>215</v>
      </c>
      <c r="S220">
        <f t="shared" si="12"/>
        <v>0</v>
      </c>
      <c r="T220">
        <f t="shared" si="13"/>
        <v>0</v>
      </c>
      <c r="V220">
        <f t="shared" si="14"/>
        <v>1</v>
      </c>
      <c r="W220">
        <f t="shared" si="15"/>
        <v>1</v>
      </c>
    </row>
    <row r="221" spans="1:23" x14ac:dyDescent="0.2">
      <c r="A221">
        <v>216</v>
      </c>
      <c r="S221">
        <f t="shared" si="12"/>
        <v>0</v>
      </c>
      <c r="T221">
        <f t="shared" si="13"/>
        <v>0</v>
      </c>
      <c r="V221">
        <f t="shared" si="14"/>
        <v>1</v>
      </c>
      <c r="W221">
        <f t="shared" si="15"/>
        <v>1</v>
      </c>
    </row>
    <row r="222" spans="1:23" x14ac:dyDescent="0.2">
      <c r="A222">
        <v>217</v>
      </c>
      <c r="S222">
        <f t="shared" si="12"/>
        <v>0</v>
      </c>
      <c r="T222">
        <f t="shared" si="13"/>
        <v>0</v>
      </c>
      <c r="V222">
        <f t="shared" si="14"/>
        <v>1</v>
      </c>
      <c r="W222">
        <f t="shared" si="15"/>
        <v>1</v>
      </c>
    </row>
    <row r="223" spans="1:23" x14ac:dyDescent="0.2">
      <c r="A223">
        <v>218</v>
      </c>
      <c r="S223">
        <f t="shared" si="12"/>
        <v>0</v>
      </c>
      <c r="T223">
        <f t="shared" si="13"/>
        <v>0</v>
      </c>
      <c r="V223">
        <f t="shared" si="14"/>
        <v>1</v>
      </c>
      <c r="W223">
        <f t="shared" si="15"/>
        <v>1</v>
      </c>
    </row>
    <row r="224" spans="1:23" x14ac:dyDescent="0.2">
      <c r="A224">
        <v>219</v>
      </c>
      <c r="S224">
        <f t="shared" si="12"/>
        <v>0</v>
      </c>
      <c r="T224">
        <f t="shared" si="13"/>
        <v>0</v>
      </c>
      <c r="V224">
        <f t="shared" si="14"/>
        <v>1</v>
      </c>
      <c r="W224">
        <f t="shared" si="15"/>
        <v>1</v>
      </c>
    </row>
    <row r="225" spans="1:23" x14ac:dyDescent="0.2">
      <c r="A225">
        <v>220</v>
      </c>
      <c r="S225">
        <f t="shared" si="12"/>
        <v>0</v>
      </c>
      <c r="T225">
        <f t="shared" si="13"/>
        <v>0</v>
      </c>
      <c r="V225">
        <f t="shared" si="14"/>
        <v>1</v>
      </c>
      <c r="W225">
        <f t="shared" si="15"/>
        <v>1</v>
      </c>
    </row>
    <row r="226" spans="1:23" x14ac:dyDescent="0.2">
      <c r="A226">
        <v>221</v>
      </c>
      <c r="S226">
        <f t="shared" si="12"/>
        <v>0</v>
      </c>
      <c r="T226">
        <f t="shared" si="13"/>
        <v>0</v>
      </c>
      <c r="V226">
        <f t="shared" si="14"/>
        <v>1</v>
      </c>
      <c r="W226">
        <f t="shared" si="15"/>
        <v>1</v>
      </c>
    </row>
    <row r="227" spans="1:23" x14ac:dyDescent="0.2">
      <c r="A227">
        <v>222</v>
      </c>
      <c r="S227">
        <f t="shared" si="12"/>
        <v>0</v>
      </c>
      <c r="T227">
        <f t="shared" si="13"/>
        <v>0</v>
      </c>
      <c r="V227">
        <f t="shared" si="14"/>
        <v>1</v>
      </c>
      <c r="W227">
        <f t="shared" si="15"/>
        <v>1</v>
      </c>
    </row>
    <row r="228" spans="1:23" x14ac:dyDescent="0.2">
      <c r="A228">
        <v>223</v>
      </c>
      <c r="S228">
        <f t="shared" si="12"/>
        <v>0</v>
      </c>
      <c r="T228">
        <f t="shared" si="13"/>
        <v>0</v>
      </c>
      <c r="V228">
        <f t="shared" si="14"/>
        <v>1</v>
      </c>
      <c r="W228">
        <f t="shared" si="15"/>
        <v>1</v>
      </c>
    </row>
    <row r="229" spans="1:23" x14ac:dyDescent="0.2">
      <c r="A229">
        <v>224</v>
      </c>
      <c r="S229">
        <f t="shared" si="12"/>
        <v>0</v>
      </c>
      <c r="T229">
        <f t="shared" si="13"/>
        <v>0</v>
      </c>
      <c r="V229">
        <f t="shared" si="14"/>
        <v>1</v>
      </c>
      <c r="W229">
        <f t="shared" si="15"/>
        <v>1</v>
      </c>
    </row>
    <row r="230" spans="1:23" x14ac:dyDescent="0.2">
      <c r="A230">
        <v>225</v>
      </c>
      <c r="S230">
        <f t="shared" si="12"/>
        <v>0</v>
      </c>
      <c r="T230">
        <f t="shared" si="13"/>
        <v>0</v>
      </c>
      <c r="V230">
        <f t="shared" si="14"/>
        <v>1</v>
      </c>
      <c r="W230">
        <f t="shared" si="15"/>
        <v>1</v>
      </c>
    </row>
    <row r="231" spans="1:23" x14ac:dyDescent="0.2">
      <c r="A231">
        <v>226</v>
      </c>
      <c r="S231">
        <f t="shared" si="12"/>
        <v>0</v>
      </c>
      <c r="T231">
        <f t="shared" si="13"/>
        <v>0</v>
      </c>
      <c r="V231">
        <f t="shared" si="14"/>
        <v>1</v>
      </c>
      <c r="W231">
        <f t="shared" si="15"/>
        <v>1</v>
      </c>
    </row>
    <row r="232" spans="1:23" x14ac:dyDescent="0.2">
      <c r="A232">
        <v>227</v>
      </c>
      <c r="S232">
        <f t="shared" si="12"/>
        <v>0</v>
      </c>
      <c r="T232">
        <f t="shared" si="13"/>
        <v>0</v>
      </c>
      <c r="V232">
        <f t="shared" si="14"/>
        <v>1</v>
      </c>
      <c r="W232">
        <f t="shared" si="15"/>
        <v>1</v>
      </c>
    </row>
    <row r="233" spans="1:23" x14ac:dyDescent="0.2">
      <c r="A233">
        <v>228</v>
      </c>
      <c r="S233">
        <f t="shared" si="12"/>
        <v>0</v>
      </c>
      <c r="T233">
        <f t="shared" si="13"/>
        <v>0</v>
      </c>
      <c r="V233">
        <f t="shared" si="14"/>
        <v>1</v>
      </c>
      <c r="W233">
        <f t="shared" si="15"/>
        <v>1</v>
      </c>
    </row>
    <row r="234" spans="1:23" x14ac:dyDescent="0.2">
      <c r="A234">
        <v>229</v>
      </c>
      <c r="S234">
        <f t="shared" si="12"/>
        <v>0</v>
      </c>
      <c r="T234">
        <f t="shared" si="13"/>
        <v>0</v>
      </c>
      <c r="V234">
        <f t="shared" si="14"/>
        <v>1</v>
      </c>
      <c r="W234">
        <f t="shared" si="15"/>
        <v>1</v>
      </c>
    </row>
    <row r="235" spans="1:23" x14ac:dyDescent="0.2">
      <c r="A235">
        <v>230</v>
      </c>
      <c r="S235">
        <f t="shared" si="12"/>
        <v>0</v>
      </c>
      <c r="T235">
        <f t="shared" si="13"/>
        <v>0</v>
      </c>
      <c r="V235">
        <f t="shared" si="14"/>
        <v>1</v>
      </c>
      <c r="W235">
        <f t="shared" si="15"/>
        <v>1</v>
      </c>
    </row>
    <row r="236" spans="1:23" x14ac:dyDescent="0.2">
      <c r="A236">
        <v>231</v>
      </c>
      <c r="S236">
        <f t="shared" si="12"/>
        <v>0</v>
      </c>
      <c r="T236">
        <f t="shared" si="13"/>
        <v>0</v>
      </c>
      <c r="V236">
        <f t="shared" si="14"/>
        <v>1</v>
      </c>
      <c r="W236">
        <f t="shared" si="15"/>
        <v>1</v>
      </c>
    </row>
    <row r="237" spans="1:23" x14ac:dyDescent="0.2">
      <c r="A237">
        <v>232</v>
      </c>
      <c r="S237">
        <f t="shared" si="12"/>
        <v>0</v>
      </c>
      <c r="T237">
        <f t="shared" si="13"/>
        <v>0</v>
      </c>
      <c r="V237">
        <f t="shared" si="14"/>
        <v>1</v>
      </c>
      <c r="W237">
        <f t="shared" si="15"/>
        <v>1</v>
      </c>
    </row>
    <row r="238" spans="1:23" x14ac:dyDescent="0.2">
      <c r="A238">
        <v>233</v>
      </c>
      <c r="S238">
        <f t="shared" si="12"/>
        <v>0</v>
      </c>
      <c r="T238">
        <f t="shared" si="13"/>
        <v>0</v>
      </c>
      <c r="V238">
        <f t="shared" si="14"/>
        <v>1</v>
      </c>
      <c r="W238">
        <f t="shared" si="15"/>
        <v>1</v>
      </c>
    </row>
    <row r="239" spans="1:23" x14ac:dyDescent="0.2">
      <c r="A239">
        <v>234</v>
      </c>
      <c r="S239">
        <f t="shared" si="12"/>
        <v>0</v>
      </c>
      <c r="T239">
        <f t="shared" si="13"/>
        <v>0</v>
      </c>
      <c r="V239">
        <f t="shared" si="14"/>
        <v>1</v>
      </c>
      <c r="W239">
        <f t="shared" si="15"/>
        <v>1</v>
      </c>
    </row>
    <row r="240" spans="1:23" x14ac:dyDescent="0.2">
      <c r="A240">
        <v>235</v>
      </c>
      <c r="S240">
        <f t="shared" si="12"/>
        <v>0</v>
      </c>
      <c r="T240">
        <f t="shared" si="13"/>
        <v>0</v>
      </c>
      <c r="V240">
        <f t="shared" si="14"/>
        <v>1</v>
      </c>
      <c r="W240">
        <f t="shared" si="15"/>
        <v>1</v>
      </c>
    </row>
    <row r="241" spans="1:23" x14ac:dyDescent="0.2">
      <c r="A241">
        <v>236</v>
      </c>
      <c r="S241">
        <f t="shared" si="12"/>
        <v>0</v>
      </c>
      <c r="T241">
        <f t="shared" si="13"/>
        <v>0</v>
      </c>
      <c r="V241">
        <f t="shared" si="14"/>
        <v>1</v>
      </c>
      <c r="W241">
        <f t="shared" si="15"/>
        <v>1</v>
      </c>
    </row>
    <row r="242" spans="1:23" x14ac:dyDescent="0.2">
      <c r="A242">
        <v>237</v>
      </c>
      <c r="S242">
        <f t="shared" si="12"/>
        <v>0</v>
      </c>
      <c r="T242">
        <f t="shared" si="13"/>
        <v>0</v>
      </c>
      <c r="V242">
        <f t="shared" si="14"/>
        <v>1</v>
      </c>
      <c r="W242">
        <f t="shared" si="15"/>
        <v>1</v>
      </c>
    </row>
    <row r="243" spans="1:23" x14ac:dyDescent="0.2">
      <c r="A243">
        <v>238</v>
      </c>
      <c r="S243">
        <f t="shared" si="12"/>
        <v>0</v>
      </c>
      <c r="T243">
        <f t="shared" si="13"/>
        <v>0</v>
      </c>
      <c r="V243">
        <f t="shared" si="14"/>
        <v>1</v>
      </c>
      <c r="W243">
        <f t="shared" si="15"/>
        <v>1</v>
      </c>
    </row>
    <row r="244" spans="1:23" x14ac:dyDescent="0.2">
      <c r="A244">
        <v>239</v>
      </c>
      <c r="S244">
        <f t="shared" si="12"/>
        <v>0</v>
      </c>
      <c r="T244">
        <f t="shared" si="13"/>
        <v>0</v>
      </c>
      <c r="V244">
        <f t="shared" si="14"/>
        <v>1</v>
      </c>
      <c r="W244">
        <f t="shared" si="15"/>
        <v>1</v>
      </c>
    </row>
    <row r="245" spans="1:23" x14ac:dyDescent="0.2">
      <c r="A245">
        <v>240</v>
      </c>
      <c r="S245">
        <f t="shared" si="12"/>
        <v>0</v>
      </c>
      <c r="T245">
        <f t="shared" si="13"/>
        <v>0</v>
      </c>
      <c r="V245">
        <f t="shared" si="14"/>
        <v>1</v>
      </c>
      <c r="W245">
        <f t="shared" si="15"/>
        <v>1</v>
      </c>
    </row>
    <row r="246" spans="1:23" x14ac:dyDescent="0.2">
      <c r="A246">
        <v>241</v>
      </c>
      <c r="S246">
        <f t="shared" si="12"/>
        <v>0</v>
      </c>
      <c r="T246">
        <f t="shared" si="13"/>
        <v>0</v>
      </c>
      <c r="V246">
        <f t="shared" si="14"/>
        <v>1</v>
      </c>
      <c r="W246">
        <f t="shared" si="15"/>
        <v>1</v>
      </c>
    </row>
    <row r="247" spans="1:23" x14ac:dyDescent="0.2">
      <c r="A247">
        <v>242</v>
      </c>
      <c r="S247">
        <f t="shared" si="12"/>
        <v>0</v>
      </c>
      <c r="T247">
        <f t="shared" si="13"/>
        <v>0</v>
      </c>
      <c r="V247">
        <f t="shared" si="14"/>
        <v>1</v>
      </c>
      <c r="W247">
        <f t="shared" si="15"/>
        <v>1</v>
      </c>
    </row>
    <row r="248" spans="1:23" x14ac:dyDescent="0.2">
      <c r="A248">
        <v>243</v>
      </c>
      <c r="S248">
        <f t="shared" si="12"/>
        <v>0</v>
      </c>
      <c r="T248">
        <f t="shared" si="13"/>
        <v>0</v>
      </c>
      <c r="V248">
        <f t="shared" si="14"/>
        <v>1</v>
      </c>
      <c r="W248">
        <f t="shared" si="15"/>
        <v>1</v>
      </c>
    </row>
    <row r="249" spans="1:23" x14ac:dyDescent="0.2">
      <c r="A249">
        <v>244</v>
      </c>
      <c r="S249">
        <f t="shared" si="12"/>
        <v>0</v>
      </c>
      <c r="T249">
        <f t="shared" si="13"/>
        <v>0</v>
      </c>
      <c r="V249">
        <f t="shared" si="14"/>
        <v>1</v>
      </c>
      <c r="W249">
        <f t="shared" si="15"/>
        <v>1</v>
      </c>
    </row>
    <row r="250" spans="1:23" x14ac:dyDescent="0.2">
      <c r="A250">
        <v>245</v>
      </c>
      <c r="S250">
        <f t="shared" si="12"/>
        <v>0</v>
      </c>
      <c r="T250">
        <f t="shared" si="13"/>
        <v>0</v>
      </c>
      <c r="V250">
        <f t="shared" si="14"/>
        <v>1</v>
      </c>
      <c r="W250">
        <f t="shared" si="15"/>
        <v>1</v>
      </c>
    </row>
    <row r="251" spans="1:23" x14ac:dyDescent="0.2">
      <c r="A251">
        <v>246</v>
      </c>
      <c r="S251">
        <f t="shared" si="12"/>
        <v>0</v>
      </c>
      <c r="T251">
        <f t="shared" si="13"/>
        <v>0</v>
      </c>
      <c r="V251">
        <f t="shared" si="14"/>
        <v>1</v>
      </c>
      <c r="W251">
        <f t="shared" si="15"/>
        <v>1</v>
      </c>
    </row>
    <row r="252" spans="1:23" x14ac:dyDescent="0.2">
      <c r="A252">
        <v>247</v>
      </c>
      <c r="S252">
        <f t="shared" si="12"/>
        <v>0</v>
      </c>
      <c r="T252">
        <f t="shared" si="13"/>
        <v>0</v>
      </c>
      <c r="V252">
        <f t="shared" si="14"/>
        <v>1</v>
      </c>
      <c r="W252">
        <f t="shared" si="15"/>
        <v>1</v>
      </c>
    </row>
    <row r="253" spans="1:23" x14ac:dyDescent="0.2">
      <c r="A253">
        <v>248</v>
      </c>
      <c r="S253">
        <f t="shared" si="12"/>
        <v>0</v>
      </c>
      <c r="T253">
        <f t="shared" si="13"/>
        <v>0</v>
      </c>
      <c r="V253">
        <f t="shared" si="14"/>
        <v>1</v>
      </c>
      <c r="W253">
        <f t="shared" si="15"/>
        <v>1</v>
      </c>
    </row>
    <row r="254" spans="1:23" x14ac:dyDescent="0.2">
      <c r="A254">
        <v>249</v>
      </c>
      <c r="S254">
        <f t="shared" si="12"/>
        <v>0</v>
      </c>
      <c r="T254">
        <f t="shared" si="13"/>
        <v>0</v>
      </c>
      <c r="V254">
        <f t="shared" si="14"/>
        <v>1</v>
      </c>
      <c r="W254">
        <f t="shared" si="15"/>
        <v>1</v>
      </c>
    </row>
    <row r="255" spans="1:23" x14ac:dyDescent="0.2">
      <c r="A255">
        <v>250</v>
      </c>
      <c r="S255">
        <f t="shared" si="12"/>
        <v>0</v>
      </c>
      <c r="T255">
        <f t="shared" si="13"/>
        <v>0</v>
      </c>
      <c r="V255">
        <f t="shared" si="14"/>
        <v>1</v>
      </c>
      <c r="W255">
        <f t="shared" si="15"/>
        <v>1</v>
      </c>
    </row>
    <row r="256" spans="1:23" x14ac:dyDescent="0.2">
      <c r="A256">
        <v>251</v>
      </c>
      <c r="S256">
        <f t="shared" si="12"/>
        <v>0</v>
      </c>
      <c r="T256">
        <f t="shared" si="13"/>
        <v>0</v>
      </c>
      <c r="V256">
        <f t="shared" si="14"/>
        <v>1</v>
      </c>
      <c r="W256">
        <f t="shared" si="15"/>
        <v>1</v>
      </c>
    </row>
    <row r="257" spans="1:23" x14ac:dyDescent="0.2">
      <c r="A257">
        <v>252</v>
      </c>
      <c r="S257">
        <f t="shared" si="12"/>
        <v>0</v>
      </c>
      <c r="T257">
        <f t="shared" si="13"/>
        <v>0</v>
      </c>
      <c r="V257">
        <f t="shared" si="14"/>
        <v>1</v>
      </c>
      <c r="W257">
        <f t="shared" si="15"/>
        <v>1</v>
      </c>
    </row>
    <row r="258" spans="1:23" x14ac:dyDescent="0.2">
      <c r="A258">
        <v>253</v>
      </c>
      <c r="S258">
        <f t="shared" si="12"/>
        <v>0</v>
      </c>
      <c r="T258">
        <f t="shared" si="13"/>
        <v>0</v>
      </c>
      <c r="V258">
        <f t="shared" si="14"/>
        <v>1</v>
      </c>
      <c r="W258">
        <f t="shared" si="15"/>
        <v>1</v>
      </c>
    </row>
    <row r="259" spans="1:23" x14ac:dyDescent="0.2">
      <c r="A259">
        <v>254</v>
      </c>
      <c r="S259">
        <f t="shared" si="12"/>
        <v>0</v>
      </c>
      <c r="T259">
        <f t="shared" si="13"/>
        <v>0</v>
      </c>
      <c r="V259">
        <f t="shared" si="14"/>
        <v>1</v>
      </c>
      <c r="W259">
        <f t="shared" si="15"/>
        <v>1</v>
      </c>
    </row>
    <row r="260" spans="1:23" x14ac:dyDescent="0.2">
      <c r="A260">
        <v>255</v>
      </c>
      <c r="S260">
        <f t="shared" si="12"/>
        <v>0</v>
      </c>
      <c r="T260">
        <f t="shared" si="13"/>
        <v>0</v>
      </c>
      <c r="V260">
        <f t="shared" si="14"/>
        <v>1</v>
      </c>
      <c r="W260">
        <f t="shared" si="15"/>
        <v>1</v>
      </c>
    </row>
    <row r="261" spans="1:23" x14ac:dyDescent="0.2">
      <c r="A261">
        <v>256</v>
      </c>
      <c r="S261">
        <f t="shared" si="12"/>
        <v>0</v>
      </c>
      <c r="T261">
        <f t="shared" si="13"/>
        <v>0</v>
      </c>
      <c r="V261">
        <f t="shared" si="14"/>
        <v>1</v>
      </c>
      <c r="W261">
        <f t="shared" si="15"/>
        <v>1</v>
      </c>
    </row>
    <row r="262" spans="1:23" x14ac:dyDescent="0.2">
      <c r="A262">
        <v>257</v>
      </c>
      <c r="S262">
        <f t="shared" ref="S262:S325" si="16">$T$1*N262-L262</f>
        <v>0</v>
      </c>
      <c r="T262">
        <f t="shared" ref="T262:T325" si="17">$T$1*Q262-O262</f>
        <v>0</v>
      </c>
      <c r="V262">
        <f t="shared" ref="V262:V325" si="18">IF(S262=MAX($S262:$T262),1,0)</f>
        <v>1</v>
      </c>
      <c r="W262">
        <f t="shared" ref="W262:W325" si="19">IF(T262=MAX($S262:$T262),1,0)</f>
        <v>1</v>
      </c>
    </row>
    <row r="263" spans="1:23" x14ac:dyDescent="0.2">
      <c r="A263">
        <v>258</v>
      </c>
      <c r="S263">
        <f t="shared" si="16"/>
        <v>0</v>
      </c>
      <c r="T263">
        <f t="shared" si="17"/>
        <v>0</v>
      </c>
      <c r="V263">
        <f t="shared" si="18"/>
        <v>1</v>
      </c>
      <c r="W263">
        <f t="shared" si="19"/>
        <v>1</v>
      </c>
    </row>
    <row r="264" spans="1:23" x14ac:dyDescent="0.2">
      <c r="A264">
        <v>259</v>
      </c>
      <c r="S264">
        <f t="shared" si="16"/>
        <v>0</v>
      </c>
      <c r="T264">
        <f t="shared" si="17"/>
        <v>0</v>
      </c>
      <c r="V264">
        <f t="shared" si="18"/>
        <v>1</v>
      </c>
      <c r="W264">
        <f t="shared" si="19"/>
        <v>1</v>
      </c>
    </row>
    <row r="265" spans="1:23" x14ac:dyDescent="0.2">
      <c r="A265">
        <v>260</v>
      </c>
      <c r="S265">
        <f t="shared" si="16"/>
        <v>0</v>
      </c>
      <c r="T265">
        <f t="shared" si="17"/>
        <v>0</v>
      </c>
      <c r="V265">
        <f t="shared" si="18"/>
        <v>1</v>
      </c>
      <c r="W265">
        <f t="shared" si="19"/>
        <v>1</v>
      </c>
    </row>
    <row r="266" spans="1:23" x14ac:dyDescent="0.2">
      <c r="A266">
        <v>261</v>
      </c>
      <c r="S266">
        <f t="shared" si="16"/>
        <v>0</v>
      </c>
      <c r="T266">
        <f t="shared" si="17"/>
        <v>0</v>
      </c>
      <c r="V266">
        <f t="shared" si="18"/>
        <v>1</v>
      </c>
      <c r="W266">
        <f t="shared" si="19"/>
        <v>1</v>
      </c>
    </row>
    <row r="267" spans="1:23" x14ac:dyDescent="0.2">
      <c r="A267">
        <v>262</v>
      </c>
      <c r="S267">
        <f t="shared" si="16"/>
        <v>0</v>
      </c>
      <c r="T267">
        <f t="shared" si="17"/>
        <v>0</v>
      </c>
      <c r="V267">
        <f t="shared" si="18"/>
        <v>1</v>
      </c>
      <c r="W267">
        <f t="shared" si="19"/>
        <v>1</v>
      </c>
    </row>
    <row r="268" spans="1:23" x14ac:dyDescent="0.2">
      <c r="A268">
        <v>263</v>
      </c>
      <c r="S268">
        <f t="shared" si="16"/>
        <v>0</v>
      </c>
      <c r="T268">
        <f t="shared" si="17"/>
        <v>0</v>
      </c>
      <c r="V268">
        <f t="shared" si="18"/>
        <v>1</v>
      </c>
      <c r="W268">
        <f t="shared" si="19"/>
        <v>1</v>
      </c>
    </row>
    <row r="269" spans="1:23" x14ac:dyDescent="0.2">
      <c r="A269">
        <v>264</v>
      </c>
      <c r="S269">
        <f t="shared" si="16"/>
        <v>0</v>
      </c>
      <c r="T269">
        <f t="shared" si="17"/>
        <v>0</v>
      </c>
      <c r="V269">
        <f t="shared" si="18"/>
        <v>1</v>
      </c>
      <c r="W269">
        <f t="shared" si="19"/>
        <v>1</v>
      </c>
    </row>
    <row r="270" spans="1:23" x14ac:dyDescent="0.2">
      <c r="A270">
        <v>265</v>
      </c>
      <c r="S270">
        <f t="shared" si="16"/>
        <v>0</v>
      </c>
      <c r="T270">
        <f t="shared" si="17"/>
        <v>0</v>
      </c>
      <c r="V270">
        <f t="shared" si="18"/>
        <v>1</v>
      </c>
      <c r="W270">
        <f t="shared" si="19"/>
        <v>1</v>
      </c>
    </row>
    <row r="271" spans="1:23" x14ac:dyDescent="0.2">
      <c r="A271">
        <v>266</v>
      </c>
      <c r="S271">
        <f t="shared" si="16"/>
        <v>0</v>
      </c>
      <c r="T271">
        <f t="shared" si="17"/>
        <v>0</v>
      </c>
      <c r="V271">
        <f t="shared" si="18"/>
        <v>1</v>
      </c>
      <c r="W271">
        <f t="shared" si="19"/>
        <v>1</v>
      </c>
    </row>
    <row r="272" spans="1:23" x14ac:dyDescent="0.2">
      <c r="A272">
        <v>267</v>
      </c>
      <c r="S272">
        <f t="shared" si="16"/>
        <v>0</v>
      </c>
      <c r="T272">
        <f t="shared" si="17"/>
        <v>0</v>
      </c>
      <c r="V272">
        <f t="shared" si="18"/>
        <v>1</v>
      </c>
      <c r="W272">
        <f t="shared" si="19"/>
        <v>1</v>
      </c>
    </row>
    <row r="273" spans="1:23" x14ac:dyDescent="0.2">
      <c r="A273">
        <v>268</v>
      </c>
      <c r="S273">
        <f t="shared" si="16"/>
        <v>0</v>
      </c>
      <c r="T273">
        <f t="shared" si="17"/>
        <v>0</v>
      </c>
      <c r="V273">
        <f t="shared" si="18"/>
        <v>1</v>
      </c>
      <c r="W273">
        <f t="shared" si="19"/>
        <v>1</v>
      </c>
    </row>
    <row r="274" spans="1:23" x14ac:dyDescent="0.2">
      <c r="A274">
        <v>269</v>
      </c>
      <c r="S274">
        <f t="shared" si="16"/>
        <v>0</v>
      </c>
      <c r="T274">
        <f t="shared" si="17"/>
        <v>0</v>
      </c>
      <c r="V274">
        <f t="shared" si="18"/>
        <v>1</v>
      </c>
      <c r="W274">
        <f t="shared" si="19"/>
        <v>1</v>
      </c>
    </row>
    <row r="275" spans="1:23" x14ac:dyDescent="0.2">
      <c r="A275">
        <v>270</v>
      </c>
      <c r="S275">
        <f t="shared" si="16"/>
        <v>0</v>
      </c>
      <c r="T275">
        <f t="shared" si="17"/>
        <v>0</v>
      </c>
      <c r="V275">
        <f t="shared" si="18"/>
        <v>1</v>
      </c>
      <c r="W275">
        <f t="shared" si="19"/>
        <v>1</v>
      </c>
    </row>
    <row r="276" spans="1:23" x14ac:dyDescent="0.2">
      <c r="A276">
        <v>271</v>
      </c>
      <c r="S276">
        <f t="shared" si="16"/>
        <v>0</v>
      </c>
      <c r="T276">
        <f t="shared" si="17"/>
        <v>0</v>
      </c>
      <c r="V276">
        <f t="shared" si="18"/>
        <v>1</v>
      </c>
      <c r="W276">
        <f t="shared" si="19"/>
        <v>1</v>
      </c>
    </row>
    <row r="277" spans="1:23" x14ac:dyDescent="0.2">
      <c r="A277">
        <v>272</v>
      </c>
      <c r="S277">
        <f t="shared" si="16"/>
        <v>0</v>
      </c>
      <c r="T277">
        <f t="shared" si="17"/>
        <v>0</v>
      </c>
      <c r="V277">
        <f t="shared" si="18"/>
        <v>1</v>
      </c>
      <c r="W277">
        <f t="shared" si="19"/>
        <v>1</v>
      </c>
    </row>
    <row r="278" spans="1:23" x14ac:dyDescent="0.2">
      <c r="A278">
        <v>273</v>
      </c>
      <c r="S278">
        <f t="shared" si="16"/>
        <v>0</v>
      </c>
      <c r="T278">
        <f t="shared" si="17"/>
        <v>0</v>
      </c>
      <c r="V278">
        <f t="shared" si="18"/>
        <v>1</v>
      </c>
      <c r="W278">
        <f t="shared" si="19"/>
        <v>1</v>
      </c>
    </row>
    <row r="279" spans="1:23" x14ac:dyDescent="0.2">
      <c r="A279">
        <v>274</v>
      </c>
      <c r="S279">
        <f t="shared" si="16"/>
        <v>0</v>
      </c>
      <c r="T279">
        <f t="shared" si="17"/>
        <v>0</v>
      </c>
      <c r="V279">
        <f t="shared" si="18"/>
        <v>1</v>
      </c>
      <c r="W279">
        <f t="shared" si="19"/>
        <v>1</v>
      </c>
    </row>
    <row r="280" spans="1:23" x14ac:dyDescent="0.2">
      <c r="A280">
        <v>275</v>
      </c>
      <c r="S280">
        <f t="shared" si="16"/>
        <v>0</v>
      </c>
      <c r="T280">
        <f t="shared" si="17"/>
        <v>0</v>
      </c>
      <c r="V280">
        <f t="shared" si="18"/>
        <v>1</v>
      </c>
      <c r="W280">
        <f t="shared" si="19"/>
        <v>1</v>
      </c>
    </row>
    <row r="281" spans="1:23" x14ac:dyDescent="0.2">
      <c r="A281">
        <v>276</v>
      </c>
      <c r="S281">
        <f t="shared" si="16"/>
        <v>0</v>
      </c>
      <c r="T281">
        <f t="shared" si="17"/>
        <v>0</v>
      </c>
      <c r="V281">
        <f t="shared" si="18"/>
        <v>1</v>
      </c>
      <c r="W281">
        <f t="shared" si="19"/>
        <v>1</v>
      </c>
    </row>
    <row r="282" spans="1:23" x14ac:dyDescent="0.2">
      <c r="A282">
        <v>277</v>
      </c>
      <c r="S282">
        <f t="shared" si="16"/>
        <v>0</v>
      </c>
      <c r="T282">
        <f t="shared" si="17"/>
        <v>0</v>
      </c>
      <c r="V282">
        <f t="shared" si="18"/>
        <v>1</v>
      </c>
      <c r="W282">
        <f t="shared" si="19"/>
        <v>1</v>
      </c>
    </row>
    <row r="283" spans="1:23" x14ac:dyDescent="0.2">
      <c r="A283">
        <v>278</v>
      </c>
      <c r="S283">
        <f t="shared" si="16"/>
        <v>0</v>
      </c>
      <c r="T283">
        <f t="shared" si="17"/>
        <v>0</v>
      </c>
      <c r="V283">
        <f t="shared" si="18"/>
        <v>1</v>
      </c>
      <c r="W283">
        <f t="shared" si="19"/>
        <v>1</v>
      </c>
    </row>
    <row r="284" spans="1:23" x14ac:dyDescent="0.2">
      <c r="A284">
        <v>279</v>
      </c>
      <c r="S284">
        <f t="shared" si="16"/>
        <v>0</v>
      </c>
      <c r="T284">
        <f t="shared" si="17"/>
        <v>0</v>
      </c>
      <c r="V284">
        <f t="shared" si="18"/>
        <v>1</v>
      </c>
      <c r="W284">
        <f t="shared" si="19"/>
        <v>1</v>
      </c>
    </row>
    <row r="285" spans="1:23" x14ac:dyDescent="0.2">
      <c r="A285">
        <v>280</v>
      </c>
      <c r="S285">
        <f t="shared" si="16"/>
        <v>0</v>
      </c>
      <c r="T285">
        <f t="shared" si="17"/>
        <v>0</v>
      </c>
      <c r="V285">
        <f t="shared" si="18"/>
        <v>1</v>
      </c>
      <c r="W285">
        <f t="shared" si="19"/>
        <v>1</v>
      </c>
    </row>
    <row r="286" spans="1:23" x14ac:dyDescent="0.2">
      <c r="A286">
        <v>281</v>
      </c>
      <c r="S286">
        <f t="shared" si="16"/>
        <v>0</v>
      </c>
      <c r="T286">
        <f t="shared" si="17"/>
        <v>0</v>
      </c>
      <c r="V286">
        <f t="shared" si="18"/>
        <v>1</v>
      </c>
      <c r="W286">
        <f t="shared" si="19"/>
        <v>1</v>
      </c>
    </row>
    <row r="287" spans="1:23" x14ac:dyDescent="0.2">
      <c r="A287">
        <v>282</v>
      </c>
      <c r="S287">
        <f t="shared" si="16"/>
        <v>0</v>
      </c>
      <c r="T287">
        <f t="shared" si="17"/>
        <v>0</v>
      </c>
      <c r="V287">
        <f t="shared" si="18"/>
        <v>1</v>
      </c>
      <c r="W287">
        <f t="shared" si="19"/>
        <v>1</v>
      </c>
    </row>
    <row r="288" spans="1:23" x14ac:dyDescent="0.2">
      <c r="A288">
        <v>283</v>
      </c>
      <c r="S288">
        <f t="shared" si="16"/>
        <v>0</v>
      </c>
      <c r="T288">
        <f t="shared" si="17"/>
        <v>0</v>
      </c>
      <c r="V288">
        <f t="shared" si="18"/>
        <v>1</v>
      </c>
      <c r="W288">
        <f t="shared" si="19"/>
        <v>1</v>
      </c>
    </row>
    <row r="289" spans="1:23" x14ac:dyDescent="0.2">
      <c r="A289">
        <v>284</v>
      </c>
      <c r="S289">
        <f t="shared" si="16"/>
        <v>0</v>
      </c>
      <c r="T289">
        <f t="shared" si="17"/>
        <v>0</v>
      </c>
      <c r="V289">
        <f t="shared" si="18"/>
        <v>1</v>
      </c>
      <c r="W289">
        <f t="shared" si="19"/>
        <v>1</v>
      </c>
    </row>
    <row r="290" spans="1:23" x14ac:dyDescent="0.2">
      <c r="A290">
        <v>285</v>
      </c>
      <c r="S290">
        <f t="shared" si="16"/>
        <v>0</v>
      </c>
      <c r="T290">
        <f t="shared" si="17"/>
        <v>0</v>
      </c>
      <c r="V290">
        <f t="shared" si="18"/>
        <v>1</v>
      </c>
      <c r="W290">
        <f t="shared" si="19"/>
        <v>1</v>
      </c>
    </row>
    <row r="291" spans="1:23" x14ac:dyDescent="0.2">
      <c r="A291">
        <v>286</v>
      </c>
      <c r="S291">
        <f t="shared" si="16"/>
        <v>0</v>
      </c>
      <c r="T291">
        <f t="shared" si="17"/>
        <v>0</v>
      </c>
      <c r="V291">
        <f t="shared" si="18"/>
        <v>1</v>
      </c>
      <c r="W291">
        <f t="shared" si="19"/>
        <v>1</v>
      </c>
    </row>
    <row r="292" spans="1:23" x14ac:dyDescent="0.2">
      <c r="A292">
        <v>287</v>
      </c>
      <c r="S292">
        <f t="shared" si="16"/>
        <v>0</v>
      </c>
      <c r="T292">
        <f t="shared" si="17"/>
        <v>0</v>
      </c>
      <c r="V292">
        <f t="shared" si="18"/>
        <v>1</v>
      </c>
      <c r="W292">
        <f t="shared" si="19"/>
        <v>1</v>
      </c>
    </row>
    <row r="293" spans="1:23" x14ac:dyDescent="0.2">
      <c r="A293">
        <v>288</v>
      </c>
      <c r="S293">
        <f t="shared" si="16"/>
        <v>0</v>
      </c>
      <c r="T293">
        <f t="shared" si="17"/>
        <v>0</v>
      </c>
      <c r="V293">
        <f t="shared" si="18"/>
        <v>1</v>
      </c>
      <c r="W293">
        <f t="shared" si="19"/>
        <v>1</v>
      </c>
    </row>
    <row r="294" spans="1:23" x14ac:dyDescent="0.2">
      <c r="A294">
        <v>289</v>
      </c>
      <c r="S294">
        <f t="shared" si="16"/>
        <v>0</v>
      </c>
      <c r="T294">
        <f t="shared" si="17"/>
        <v>0</v>
      </c>
      <c r="V294">
        <f t="shared" si="18"/>
        <v>1</v>
      </c>
      <c r="W294">
        <f t="shared" si="19"/>
        <v>1</v>
      </c>
    </row>
    <row r="295" spans="1:23" x14ac:dyDescent="0.2">
      <c r="A295">
        <v>290</v>
      </c>
      <c r="S295">
        <f t="shared" si="16"/>
        <v>0</v>
      </c>
      <c r="T295">
        <f t="shared" si="17"/>
        <v>0</v>
      </c>
      <c r="V295">
        <f t="shared" si="18"/>
        <v>1</v>
      </c>
      <c r="W295">
        <f t="shared" si="19"/>
        <v>1</v>
      </c>
    </row>
    <row r="296" spans="1:23" x14ac:dyDescent="0.2">
      <c r="A296">
        <v>291</v>
      </c>
      <c r="S296">
        <f t="shared" si="16"/>
        <v>0</v>
      </c>
      <c r="T296">
        <f t="shared" si="17"/>
        <v>0</v>
      </c>
      <c r="V296">
        <f t="shared" si="18"/>
        <v>1</v>
      </c>
      <c r="W296">
        <f t="shared" si="19"/>
        <v>1</v>
      </c>
    </row>
    <row r="297" spans="1:23" x14ac:dyDescent="0.2">
      <c r="A297">
        <v>292</v>
      </c>
      <c r="S297">
        <f t="shared" si="16"/>
        <v>0</v>
      </c>
      <c r="T297">
        <f t="shared" si="17"/>
        <v>0</v>
      </c>
      <c r="V297">
        <f t="shared" si="18"/>
        <v>1</v>
      </c>
      <c r="W297">
        <f t="shared" si="19"/>
        <v>1</v>
      </c>
    </row>
    <row r="298" spans="1:23" x14ac:dyDescent="0.2">
      <c r="A298">
        <v>293</v>
      </c>
      <c r="S298">
        <f t="shared" si="16"/>
        <v>0</v>
      </c>
      <c r="T298">
        <f t="shared" si="17"/>
        <v>0</v>
      </c>
      <c r="V298">
        <f t="shared" si="18"/>
        <v>1</v>
      </c>
      <c r="W298">
        <f t="shared" si="19"/>
        <v>1</v>
      </c>
    </row>
    <row r="299" spans="1:23" x14ac:dyDescent="0.2">
      <c r="A299">
        <v>294</v>
      </c>
      <c r="S299">
        <f t="shared" si="16"/>
        <v>0</v>
      </c>
      <c r="T299">
        <f t="shared" si="17"/>
        <v>0</v>
      </c>
      <c r="V299">
        <f t="shared" si="18"/>
        <v>1</v>
      </c>
      <c r="W299">
        <f t="shared" si="19"/>
        <v>1</v>
      </c>
    </row>
    <row r="300" spans="1:23" x14ac:dyDescent="0.2">
      <c r="A300">
        <v>295</v>
      </c>
      <c r="S300">
        <f t="shared" si="16"/>
        <v>0</v>
      </c>
      <c r="T300">
        <f t="shared" si="17"/>
        <v>0</v>
      </c>
      <c r="V300">
        <f t="shared" si="18"/>
        <v>1</v>
      </c>
      <c r="W300">
        <f t="shared" si="19"/>
        <v>1</v>
      </c>
    </row>
    <row r="301" spans="1:23" x14ac:dyDescent="0.2">
      <c r="A301">
        <v>296</v>
      </c>
      <c r="S301">
        <f t="shared" si="16"/>
        <v>0</v>
      </c>
      <c r="T301">
        <f t="shared" si="17"/>
        <v>0</v>
      </c>
      <c r="V301">
        <f t="shared" si="18"/>
        <v>1</v>
      </c>
      <c r="W301">
        <f t="shared" si="19"/>
        <v>1</v>
      </c>
    </row>
    <row r="302" spans="1:23" x14ac:dyDescent="0.2">
      <c r="A302">
        <v>297</v>
      </c>
      <c r="S302">
        <f t="shared" si="16"/>
        <v>0</v>
      </c>
      <c r="T302">
        <f t="shared" si="17"/>
        <v>0</v>
      </c>
      <c r="V302">
        <f t="shared" si="18"/>
        <v>1</v>
      </c>
      <c r="W302">
        <f t="shared" si="19"/>
        <v>1</v>
      </c>
    </row>
    <row r="303" spans="1:23" x14ac:dyDescent="0.2">
      <c r="A303">
        <v>298</v>
      </c>
      <c r="S303">
        <f t="shared" si="16"/>
        <v>0</v>
      </c>
      <c r="T303">
        <f t="shared" si="17"/>
        <v>0</v>
      </c>
      <c r="V303">
        <f t="shared" si="18"/>
        <v>1</v>
      </c>
      <c r="W303">
        <f t="shared" si="19"/>
        <v>1</v>
      </c>
    </row>
    <row r="304" spans="1:23" x14ac:dyDescent="0.2">
      <c r="A304">
        <v>299</v>
      </c>
      <c r="S304">
        <f t="shared" si="16"/>
        <v>0</v>
      </c>
      <c r="T304">
        <f t="shared" si="17"/>
        <v>0</v>
      </c>
      <c r="V304">
        <f t="shared" si="18"/>
        <v>1</v>
      </c>
      <c r="W304">
        <f t="shared" si="19"/>
        <v>1</v>
      </c>
    </row>
    <row r="305" spans="1:23" x14ac:dyDescent="0.2">
      <c r="A305">
        <v>300</v>
      </c>
      <c r="S305">
        <f t="shared" si="16"/>
        <v>0</v>
      </c>
      <c r="T305">
        <f t="shared" si="17"/>
        <v>0</v>
      </c>
      <c r="V305">
        <f t="shared" si="18"/>
        <v>1</v>
      </c>
      <c r="W305">
        <f t="shared" si="19"/>
        <v>1</v>
      </c>
    </row>
    <row r="306" spans="1:23" x14ac:dyDescent="0.2">
      <c r="A306">
        <v>301</v>
      </c>
      <c r="S306">
        <f t="shared" si="16"/>
        <v>0</v>
      </c>
      <c r="T306">
        <f t="shared" si="17"/>
        <v>0</v>
      </c>
      <c r="V306">
        <f t="shared" si="18"/>
        <v>1</v>
      </c>
      <c r="W306">
        <f t="shared" si="19"/>
        <v>1</v>
      </c>
    </row>
    <row r="307" spans="1:23" x14ac:dyDescent="0.2">
      <c r="A307">
        <v>302</v>
      </c>
      <c r="S307">
        <f t="shared" si="16"/>
        <v>0</v>
      </c>
      <c r="T307">
        <f t="shared" si="17"/>
        <v>0</v>
      </c>
      <c r="V307">
        <f t="shared" si="18"/>
        <v>1</v>
      </c>
      <c r="W307">
        <f t="shared" si="19"/>
        <v>1</v>
      </c>
    </row>
    <row r="308" spans="1:23" x14ac:dyDescent="0.2">
      <c r="A308">
        <v>303</v>
      </c>
      <c r="S308">
        <f t="shared" si="16"/>
        <v>0</v>
      </c>
      <c r="T308">
        <f t="shared" si="17"/>
        <v>0</v>
      </c>
      <c r="V308">
        <f t="shared" si="18"/>
        <v>1</v>
      </c>
      <c r="W308">
        <f t="shared" si="19"/>
        <v>1</v>
      </c>
    </row>
    <row r="309" spans="1:23" x14ac:dyDescent="0.2">
      <c r="A309">
        <v>304</v>
      </c>
      <c r="S309">
        <f t="shared" si="16"/>
        <v>0</v>
      </c>
      <c r="T309">
        <f t="shared" si="17"/>
        <v>0</v>
      </c>
      <c r="V309">
        <f t="shared" si="18"/>
        <v>1</v>
      </c>
      <c r="W309">
        <f t="shared" si="19"/>
        <v>1</v>
      </c>
    </row>
    <row r="310" spans="1:23" x14ac:dyDescent="0.2">
      <c r="A310">
        <v>305</v>
      </c>
      <c r="S310">
        <f t="shared" si="16"/>
        <v>0</v>
      </c>
      <c r="T310">
        <f t="shared" si="17"/>
        <v>0</v>
      </c>
      <c r="V310">
        <f t="shared" si="18"/>
        <v>1</v>
      </c>
      <c r="W310">
        <f t="shared" si="19"/>
        <v>1</v>
      </c>
    </row>
    <row r="311" spans="1:23" x14ac:dyDescent="0.2">
      <c r="A311">
        <v>306</v>
      </c>
      <c r="S311">
        <f t="shared" si="16"/>
        <v>0</v>
      </c>
      <c r="T311">
        <f t="shared" si="17"/>
        <v>0</v>
      </c>
      <c r="V311">
        <f t="shared" si="18"/>
        <v>1</v>
      </c>
      <c r="W311">
        <f t="shared" si="19"/>
        <v>1</v>
      </c>
    </row>
    <row r="312" spans="1:23" x14ac:dyDescent="0.2">
      <c r="A312">
        <v>307</v>
      </c>
      <c r="S312">
        <f t="shared" si="16"/>
        <v>0</v>
      </c>
      <c r="T312">
        <f t="shared" si="17"/>
        <v>0</v>
      </c>
      <c r="V312">
        <f t="shared" si="18"/>
        <v>1</v>
      </c>
      <c r="W312">
        <f t="shared" si="19"/>
        <v>1</v>
      </c>
    </row>
    <row r="313" spans="1:23" x14ac:dyDescent="0.2">
      <c r="A313">
        <v>308</v>
      </c>
      <c r="S313">
        <f t="shared" si="16"/>
        <v>0</v>
      </c>
      <c r="T313">
        <f t="shared" si="17"/>
        <v>0</v>
      </c>
      <c r="V313">
        <f t="shared" si="18"/>
        <v>1</v>
      </c>
      <c r="W313">
        <f t="shared" si="19"/>
        <v>1</v>
      </c>
    </row>
    <row r="314" spans="1:23" x14ac:dyDescent="0.2">
      <c r="A314">
        <v>309</v>
      </c>
      <c r="S314">
        <f t="shared" si="16"/>
        <v>0</v>
      </c>
      <c r="T314">
        <f t="shared" si="17"/>
        <v>0</v>
      </c>
      <c r="V314">
        <f t="shared" si="18"/>
        <v>1</v>
      </c>
      <c r="W314">
        <f t="shared" si="19"/>
        <v>1</v>
      </c>
    </row>
    <row r="315" spans="1:23" x14ac:dyDescent="0.2">
      <c r="A315">
        <v>310</v>
      </c>
      <c r="S315">
        <f t="shared" si="16"/>
        <v>0</v>
      </c>
      <c r="T315">
        <f t="shared" si="17"/>
        <v>0</v>
      </c>
      <c r="V315">
        <f t="shared" si="18"/>
        <v>1</v>
      </c>
      <c r="W315">
        <f t="shared" si="19"/>
        <v>1</v>
      </c>
    </row>
    <row r="316" spans="1:23" x14ac:dyDescent="0.2">
      <c r="A316">
        <v>311</v>
      </c>
      <c r="S316">
        <f t="shared" si="16"/>
        <v>0</v>
      </c>
      <c r="T316">
        <f t="shared" si="17"/>
        <v>0</v>
      </c>
      <c r="V316">
        <f t="shared" si="18"/>
        <v>1</v>
      </c>
      <c r="W316">
        <f t="shared" si="19"/>
        <v>1</v>
      </c>
    </row>
    <row r="317" spans="1:23" x14ac:dyDescent="0.2">
      <c r="A317">
        <v>312</v>
      </c>
      <c r="S317">
        <f t="shared" si="16"/>
        <v>0</v>
      </c>
      <c r="T317">
        <f t="shared" si="17"/>
        <v>0</v>
      </c>
      <c r="V317">
        <f t="shared" si="18"/>
        <v>1</v>
      </c>
      <c r="W317">
        <f t="shared" si="19"/>
        <v>1</v>
      </c>
    </row>
    <row r="318" spans="1:23" x14ac:dyDescent="0.2">
      <c r="A318">
        <v>313</v>
      </c>
      <c r="S318">
        <f t="shared" si="16"/>
        <v>0</v>
      </c>
      <c r="T318">
        <f t="shared" si="17"/>
        <v>0</v>
      </c>
      <c r="V318">
        <f t="shared" si="18"/>
        <v>1</v>
      </c>
      <c r="W318">
        <f t="shared" si="19"/>
        <v>1</v>
      </c>
    </row>
    <row r="319" spans="1:23" x14ac:dyDescent="0.2">
      <c r="A319">
        <v>314</v>
      </c>
      <c r="S319">
        <f t="shared" si="16"/>
        <v>0</v>
      </c>
      <c r="T319">
        <f t="shared" si="17"/>
        <v>0</v>
      </c>
      <c r="V319">
        <f t="shared" si="18"/>
        <v>1</v>
      </c>
      <c r="W319">
        <f t="shared" si="19"/>
        <v>1</v>
      </c>
    </row>
    <row r="320" spans="1:23" x14ac:dyDescent="0.2">
      <c r="A320">
        <v>315</v>
      </c>
      <c r="S320">
        <f t="shared" si="16"/>
        <v>0</v>
      </c>
      <c r="T320">
        <f t="shared" si="17"/>
        <v>0</v>
      </c>
      <c r="V320">
        <f t="shared" si="18"/>
        <v>1</v>
      </c>
      <c r="W320">
        <f t="shared" si="19"/>
        <v>1</v>
      </c>
    </row>
    <row r="321" spans="1:23" x14ac:dyDescent="0.2">
      <c r="A321">
        <v>316</v>
      </c>
      <c r="S321">
        <f t="shared" si="16"/>
        <v>0</v>
      </c>
      <c r="T321">
        <f t="shared" si="17"/>
        <v>0</v>
      </c>
      <c r="V321">
        <f t="shared" si="18"/>
        <v>1</v>
      </c>
      <c r="W321">
        <f t="shared" si="19"/>
        <v>1</v>
      </c>
    </row>
    <row r="322" spans="1:23" x14ac:dyDescent="0.2">
      <c r="A322">
        <v>317</v>
      </c>
      <c r="S322">
        <f t="shared" si="16"/>
        <v>0</v>
      </c>
      <c r="T322">
        <f t="shared" si="17"/>
        <v>0</v>
      </c>
      <c r="V322">
        <f t="shared" si="18"/>
        <v>1</v>
      </c>
      <c r="W322">
        <f t="shared" si="19"/>
        <v>1</v>
      </c>
    </row>
    <row r="323" spans="1:23" x14ac:dyDescent="0.2">
      <c r="A323">
        <v>318</v>
      </c>
      <c r="S323">
        <f t="shared" si="16"/>
        <v>0</v>
      </c>
      <c r="T323">
        <f t="shared" si="17"/>
        <v>0</v>
      </c>
      <c r="V323">
        <f t="shared" si="18"/>
        <v>1</v>
      </c>
      <c r="W323">
        <f t="shared" si="19"/>
        <v>1</v>
      </c>
    </row>
    <row r="324" spans="1:23" x14ac:dyDescent="0.2">
      <c r="A324">
        <v>319</v>
      </c>
      <c r="S324">
        <f t="shared" si="16"/>
        <v>0</v>
      </c>
      <c r="T324">
        <f t="shared" si="17"/>
        <v>0</v>
      </c>
      <c r="V324">
        <f t="shared" si="18"/>
        <v>1</v>
      </c>
      <c r="W324">
        <f t="shared" si="19"/>
        <v>1</v>
      </c>
    </row>
    <row r="325" spans="1:23" x14ac:dyDescent="0.2">
      <c r="A325">
        <v>320</v>
      </c>
      <c r="S325">
        <f t="shared" si="16"/>
        <v>0</v>
      </c>
      <c r="T325">
        <f t="shared" si="17"/>
        <v>0</v>
      </c>
      <c r="V325">
        <f t="shared" si="18"/>
        <v>1</v>
      </c>
      <c r="W325">
        <f t="shared" si="19"/>
        <v>1</v>
      </c>
    </row>
    <row r="326" spans="1:23" x14ac:dyDescent="0.2">
      <c r="A326">
        <v>321</v>
      </c>
      <c r="S326">
        <f t="shared" ref="S326:S389" si="20">$T$1*N326-L326</f>
        <v>0</v>
      </c>
      <c r="T326">
        <f t="shared" ref="T326:T389" si="21">$T$1*Q326-O326</f>
        <v>0</v>
      </c>
      <c r="V326">
        <f t="shared" ref="V326:V389" si="22">IF(S326=MAX($S326:$T326),1,0)</f>
        <v>1</v>
      </c>
      <c r="W326">
        <f t="shared" ref="W326:W389" si="23">IF(T326=MAX($S326:$T326),1,0)</f>
        <v>1</v>
      </c>
    </row>
    <row r="327" spans="1:23" x14ac:dyDescent="0.2">
      <c r="A327">
        <v>322</v>
      </c>
      <c r="S327">
        <f t="shared" si="20"/>
        <v>0</v>
      </c>
      <c r="T327">
        <f t="shared" si="21"/>
        <v>0</v>
      </c>
      <c r="V327">
        <f t="shared" si="22"/>
        <v>1</v>
      </c>
      <c r="W327">
        <f t="shared" si="23"/>
        <v>1</v>
      </c>
    </row>
    <row r="328" spans="1:23" x14ac:dyDescent="0.2">
      <c r="A328">
        <v>323</v>
      </c>
      <c r="S328">
        <f t="shared" si="20"/>
        <v>0</v>
      </c>
      <c r="T328">
        <f t="shared" si="21"/>
        <v>0</v>
      </c>
      <c r="V328">
        <f t="shared" si="22"/>
        <v>1</v>
      </c>
      <c r="W328">
        <f t="shared" si="23"/>
        <v>1</v>
      </c>
    </row>
    <row r="329" spans="1:23" x14ac:dyDescent="0.2">
      <c r="A329">
        <v>324</v>
      </c>
      <c r="S329">
        <f t="shared" si="20"/>
        <v>0</v>
      </c>
      <c r="T329">
        <f t="shared" si="21"/>
        <v>0</v>
      </c>
      <c r="V329">
        <f t="shared" si="22"/>
        <v>1</v>
      </c>
      <c r="W329">
        <f t="shared" si="23"/>
        <v>1</v>
      </c>
    </row>
    <row r="330" spans="1:23" x14ac:dyDescent="0.2">
      <c r="A330">
        <v>325</v>
      </c>
      <c r="S330">
        <f t="shared" si="20"/>
        <v>0</v>
      </c>
      <c r="T330">
        <f t="shared" si="21"/>
        <v>0</v>
      </c>
      <c r="V330">
        <f t="shared" si="22"/>
        <v>1</v>
      </c>
      <c r="W330">
        <f t="shared" si="23"/>
        <v>1</v>
      </c>
    </row>
    <row r="331" spans="1:23" x14ac:dyDescent="0.2">
      <c r="A331">
        <v>326</v>
      </c>
      <c r="S331">
        <f t="shared" si="20"/>
        <v>0</v>
      </c>
      <c r="T331">
        <f t="shared" si="21"/>
        <v>0</v>
      </c>
      <c r="V331">
        <f t="shared" si="22"/>
        <v>1</v>
      </c>
      <c r="W331">
        <f t="shared" si="23"/>
        <v>1</v>
      </c>
    </row>
    <row r="332" spans="1:23" x14ac:dyDescent="0.2">
      <c r="A332">
        <v>327</v>
      </c>
      <c r="S332">
        <f t="shared" si="20"/>
        <v>0</v>
      </c>
      <c r="T332">
        <f t="shared" si="21"/>
        <v>0</v>
      </c>
      <c r="V332">
        <f t="shared" si="22"/>
        <v>1</v>
      </c>
      <c r="W332">
        <f t="shared" si="23"/>
        <v>1</v>
      </c>
    </row>
    <row r="333" spans="1:23" x14ac:dyDescent="0.2">
      <c r="A333">
        <v>328</v>
      </c>
      <c r="S333">
        <f t="shared" si="20"/>
        <v>0</v>
      </c>
      <c r="T333">
        <f t="shared" si="21"/>
        <v>0</v>
      </c>
      <c r="V333">
        <f t="shared" si="22"/>
        <v>1</v>
      </c>
      <c r="W333">
        <f t="shared" si="23"/>
        <v>1</v>
      </c>
    </row>
    <row r="334" spans="1:23" x14ac:dyDescent="0.2">
      <c r="A334">
        <v>329</v>
      </c>
      <c r="S334">
        <f t="shared" si="20"/>
        <v>0</v>
      </c>
      <c r="T334">
        <f t="shared" si="21"/>
        <v>0</v>
      </c>
      <c r="V334">
        <f t="shared" si="22"/>
        <v>1</v>
      </c>
      <c r="W334">
        <f t="shared" si="23"/>
        <v>1</v>
      </c>
    </row>
    <row r="335" spans="1:23" x14ac:dyDescent="0.2">
      <c r="A335">
        <v>330</v>
      </c>
      <c r="S335">
        <f t="shared" si="20"/>
        <v>0</v>
      </c>
      <c r="T335">
        <f t="shared" si="21"/>
        <v>0</v>
      </c>
      <c r="V335">
        <f t="shared" si="22"/>
        <v>1</v>
      </c>
      <c r="W335">
        <f t="shared" si="23"/>
        <v>1</v>
      </c>
    </row>
    <row r="336" spans="1:23" x14ac:dyDescent="0.2">
      <c r="A336">
        <v>331</v>
      </c>
      <c r="S336">
        <f t="shared" si="20"/>
        <v>0</v>
      </c>
      <c r="T336">
        <f t="shared" si="21"/>
        <v>0</v>
      </c>
      <c r="V336">
        <f t="shared" si="22"/>
        <v>1</v>
      </c>
      <c r="W336">
        <f t="shared" si="23"/>
        <v>1</v>
      </c>
    </row>
    <row r="337" spans="1:23" x14ac:dyDescent="0.2">
      <c r="A337">
        <v>332</v>
      </c>
      <c r="S337">
        <f t="shared" si="20"/>
        <v>0</v>
      </c>
      <c r="T337">
        <f t="shared" si="21"/>
        <v>0</v>
      </c>
      <c r="V337">
        <f t="shared" si="22"/>
        <v>1</v>
      </c>
      <c r="W337">
        <f t="shared" si="23"/>
        <v>1</v>
      </c>
    </row>
    <row r="338" spans="1:23" x14ac:dyDescent="0.2">
      <c r="A338">
        <v>333</v>
      </c>
      <c r="S338">
        <f t="shared" si="20"/>
        <v>0</v>
      </c>
      <c r="T338">
        <f t="shared" si="21"/>
        <v>0</v>
      </c>
      <c r="V338">
        <f t="shared" si="22"/>
        <v>1</v>
      </c>
      <c r="W338">
        <f t="shared" si="23"/>
        <v>1</v>
      </c>
    </row>
    <row r="339" spans="1:23" x14ac:dyDescent="0.2">
      <c r="A339">
        <v>334</v>
      </c>
      <c r="S339">
        <f t="shared" si="20"/>
        <v>0</v>
      </c>
      <c r="T339">
        <f t="shared" si="21"/>
        <v>0</v>
      </c>
      <c r="V339">
        <f t="shared" si="22"/>
        <v>1</v>
      </c>
      <c r="W339">
        <f t="shared" si="23"/>
        <v>1</v>
      </c>
    </row>
    <row r="340" spans="1:23" x14ac:dyDescent="0.2">
      <c r="A340">
        <v>335</v>
      </c>
      <c r="S340">
        <f t="shared" si="20"/>
        <v>0</v>
      </c>
      <c r="T340">
        <f t="shared" si="21"/>
        <v>0</v>
      </c>
      <c r="V340">
        <f t="shared" si="22"/>
        <v>1</v>
      </c>
      <c r="W340">
        <f t="shared" si="23"/>
        <v>1</v>
      </c>
    </row>
    <row r="341" spans="1:23" x14ac:dyDescent="0.2">
      <c r="A341">
        <v>336</v>
      </c>
      <c r="S341">
        <f t="shared" si="20"/>
        <v>0</v>
      </c>
      <c r="T341">
        <f t="shared" si="21"/>
        <v>0</v>
      </c>
      <c r="V341">
        <f t="shared" si="22"/>
        <v>1</v>
      </c>
      <c r="W341">
        <f t="shared" si="23"/>
        <v>1</v>
      </c>
    </row>
    <row r="342" spans="1:23" x14ac:dyDescent="0.2">
      <c r="A342">
        <v>337</v>
      </c>
      <c r="S342">
        <f t="shared" si="20"/>
        <v>0</v>
      </c>
      <c r="T342">
        <f t="shared" si="21"/>
        <v>0</v>
      </c>
      <c r="V342">
        <f t="shared" si="22"/>
        <v>1</v>
      </c>
      <c r="W342">
        <f t="shared" si="23"/>
        <v>1</v>
      </c>
    </row>
    <row r="343" spans="1:23" x14ac:dyDescent="0.2">
      <c r="A343">
        <v>338</v>
      </c>
      <c r="S343">
        <f t="shared" si="20"/>
        <v>0</v>
      </c>
      <c r="T343">
        <f t="shared" si="21"/>
        <v>0</v>
      </c>
      <c r="V343">
        <f t="shared" si="22"/>
        <v>1</v>
      </c>
      <c r="W343">
        <f t="shared" si="23"/>
        <v>1</v>
      </c>
    </row>
    <row r="344" spans="1:23" x14ac:dyDescent="0.2">
      <c r="A344">
        <v>339</v>
      </c>
      <c r="S344">
        <f t="shared" si="20"/>
        <v>0</v>
      </c>
      <c r="T344">
        <f t="shared" si="21"/>
        <v>0</v>
      </c>
      <c r="V344">
        <f t="shared" si="22"/>
        <v>1</v>
      </c>
      <c r="W344">
        <f t="shared" si="23"/>
        <v>1</v>
      </c>
    </row>
    <row r="345" spans="1:23" x14ac:dyDescent="0.2">
      <c r="A345">
        <v>340</v>
      </c>
      <c r="S345">
        <f t="shared" si="20"/>
        <v>0</v>
      </c>
      <c r="T345">
        <f t="shared" si="21"/>
        <v>0</v>
      </c>
      <c r="V345">
        <f t="shared" si="22"/>
        <v>1</v>
      </c>
      <c r="W345">
        <f t="shared" si="23"/>
        <v>1</v>
      </c>
    </row>
    <row r="346" spans="1:23" x14ac:dyDescent="0.2">
      <c r="A346">
        <v>341</v>
      </c>
      <c r="S346">
        <f t="shared" si="20"/>
        <v>0</v>
      </c>
      <c r="T346">
        <f t="shared" si="21"/>
        <v>0</v>
      </c>
      <c r="V346">
        <f t="shared" si="22"/>
        <v>1</v>
      </c>
      <c r="W346">
        <f t="shared" si="23"/>
        <v>1</v>
      </c>
    </row>
    <row r="347" spans="1:23" x14ac:dyDescent="0.2">
      <c r="A347">
        <v>342</v>
      </c>
      <c r="S347">
        <f t="shared" si="20"/>
        <v>0</v>
      </c>
      <c r="T347">
        <f t="shared" si="21"/>
        <v>0</v>
      </c>
      <c r="V347">
        <f t="shared" si="22"/>
        <v>1</v>
      </c>
      <c r="W347">
        <f t="shared" si="23"/>
        <v>1</v>
      </c>
    </row>
    <row r="348" spans="1:23" x14ac:dyDescent="0.2">
      <c r="A348">
        <v>343</v>
      </c>
      <c r="S348">
        <f t="shared" si="20"/>
        <v>0</v>
      </c>
      <c r="T348">
        <f t="shared" si="21"/>
        <v>0</v>
      </c>
      <c r="V348">
        <f t="shared" si="22"/>
        <v>1</v>
      </c>
      <c r="W348">
        <f t="shared" si="23"/>
        <v>1</v>
      </c>
    </row>
    <row r="349" spans="1:23" x14ac:dyDescent="0.2">
      <c r="A349">
        <v>344</v>
      </c>
      <c r="S349">
        <f t="shared" si="20"/>
        <v>0</v>
      </c>
      <c r="T349">
        <f t="shared" si="21"/>
        <v>0</v>
      </c>
      <c r="V349">
        <f t="shared" si="22"/>
        <v>1</v>
      </c>
      <c r="W349">
        <f t="shared" si="23"/>
        <v>1</v>
      </c>
    </row>
    <row r="350" spans="1:23" x14ac:dyDescent="0.2">
      <c r="A350">
        <v>345</v>
      </c>
      <c r="S350">
        <f t="shared" si="20"/>
        <v>0</v>
      </c>
      <c r="T350">
        <f t="shared" si="21"/>
        <v>0</v>
      </c>
      <c r="V350">
        <f t="shared" si="22"/>
        <v>1</v>
      </c>
      <c r="W350">
        <f t="shared" si="23"/>
        <v>1</v>
      </c>
    </row>
    <row r="351" spans="1:23" x14ac:dyDescent="0.2">
      <c r="A351">
        <v>346</v>
      </c>
      <c r="S351">
        <f t="shared" si="20"/>
        <v>0</v>
      </c>
      <c r="T351">
        <f t="shared" si="21"/>
        <v>0</v>
      </c>
      <c r="V351">
        <f t="shared" si="22"/>
        <v>1</v>
      </c>
      <c r="W351">
        <f t="shared" si="23"/>
        <v>1</v>
      </c>
    </row>
    <row r="352" spans="1:23" x14ac:dyDescent="0.2">
      <c r="A352">
        <v>347</v>
      </c>
      <c r="S352">
        <f t="shared" si="20"/>
        <v>0</v>
      </c>
      <c r="T352">
        <f t="shared" si="21"/>
        <v>0</v>
      </c>
      <c r="V352">
        <f t="shared" si="22"/>
        <v>1</v>
      </c>
      <c r="W352">
        <f t="shared" si="23"/>
        <v>1</v>
      </c>
    </row>
    <row r="353" spans="1:23" x14ac:dyDescent="0.2">
      <c r="A353">
        <v>348</v>
      </c>
      <c r="S353">
        <f t="shared" si="20"/>
        <v>0</v>
      </c>
      <c r="T353">
        <f t="shared" si="21"/>
        <v>0</v>
      </c>
      <c r="V353">
        <f t="shared" si="22"/>
        <v>1</v>
      </c>
      <c r="W353">
        <f t="shared" si="23"/>
        <v>1</v>
      </c>
    </row>
    <row r="354" spans="1:23" x14ac:dyDescent="0.2">
      <c r="A354">
        <v>349</v>
      </c>
      <c r="S354">
        <f t="shared" si="20"/>
        <v>0</v>
      </c>
      <c r="T354">
        <f t="shared" si="21"/>
        <v>0</v>
      </c>
      <c r="V354">
        <f t="shared" si="22"/>
        <v>1</v>
      </c>
      <c r="W354">
        <f t="shared" si="23"/>
        <v>1</v>
      </c>
    </row>
    <row r="355" spans="1:23" x14ac:dyDescent="0.2">
      <c r="A355">
        <v>350</v>
      </c>
      <c r="S355">
        <f t="shared" si="20"/>
        <v>0</v>
      </c>
      <c r="T355">
        <f t="shared" si="21"/>
        <v>0</v>
      </c>
      <c r="V355">
        <f t="shared" si="22"/>
        <v>1</v>
      </c>
      <c r="W355">
        <f t="shared" si="23"/>
        <v>1</v>
      </c>
    </row>
    <row r="356" spans="1:23" x14ac:dyDescent="0.2">
      <c r="A356">
        <v>351</v>
      </c>
      <c r="S356">
        <f t="shared" si="20"/>
        <v>0</v>
      </c>
      <c r="T356">
        <f t="shared" si="21"/>
        <v>0</v>
      </c>
      <c r="V356">
        <f t="shared" si="22"/>
        <v>1</v>
      </c>
      <c r="W356">
        <f t="shared" si="23"/>
        <v>1</v>
      </c>
    </row>
    <row r="357" spans="1:23" x14ac:dyDescent="0.2">
      <c r="A357">
        <v>352</v>
      </c>
      <c r="S357">
        <f t="shared" si="20"/>
        <v>0</v>
      </c>
      <c r="T357">
        <f t="shared" si="21"/>
        <v>0</v>
      </c>
      <c r="V357">
        <f t="shared" si="22"/>
        <v>1</v>
      </c>
      <c r="W357">
        <f t="shared" si="23"/>
        <v>1</v>
      </c>
    </row>
    <row r="358" spans="1:23" x14ac:dyDescent="0.2">
      <c r="A358">
        <v>353</v>
      </c>
      <c r="S358">
        <f t="shared" si="20"/>
        <v>0</v>
      </c>
      <c r="T358">
        <f t="shared" si="21"/>
        <v>0</v>
      </c>
      <c r="V358">
        <f t="shared" si="22"/>
        <v>1</v>
      </c>
      <c r="W358">
        <f t="shared" si="23"/>
        <v>1</v>
      </c>
    </row>
    <row r="359" spans="1:23" x14ac:dyDescent="0.2">
      <c r="A359">
        <v>354</v>
      </c>
      <c r="S359">
        <f t="shared" si="20"/>
        <v>0</v>
      </c>
      <c r="T359">
        <f t="shared" si="21"/>
        <v>0</v>
      </c>
      <c r="V359">
        <f t="shared" si="22"/>
        <v>1</v>
      </c>
      <c r="W359">
        <f t="shared" si="23"/>
        <v>1</v>
      </c>
    </row>
    <row r="360" spans="1:23" x14ac:dyDescent="0.2">
      <c r="A360">
        <v>355</v>
      </c>
      <c r="S360">
        <f t="shared" si="20"/>
        <v>0</v>
      </c>
      <c r="T360">
        <f t="shared" si="21"/>
        <v>0</v>
      </c>
      <c r="V360">
        <f t="shared" si="22"/>
        <v>1</v>
      </c>
      <c r="W360">
        <f t="shared" si="23"/>
        <v>1</v>
      </c>
    </row>
    <row r="361" spans="1:23" x14ac:dyDescent="0.2">
      <c r="A361">
        <v>356</v>
      </c>
      <c r="S361">
        <f t="shared" si="20"/>
        <v>0</v>
      </c>
      <c r="T361">
        <f t="shared" si="21"/>
        <v>0</v>
      </c>
      <c r="V361">
        <f t="shared" si="22"/>
        <v>1</v>
      </c>
      <c r="W361">
        <f t="shared" si="23"/>
        <v>1</v>
      </c>
    </row>
    <row r="362" spans="1:23" x14ac:dyDescent="0.2">
      <c r="A362">
        <v>357</v>
      </c>
      <c r="S362">
        <f t="shared" si="20"/>
        <v>0</v>
      </c>
      <c r="T362">
        <f t="shared" si="21"/>
        <v>0</v>
      </c>
      <c r="V362">
        <f t="shared" si="22"/>
        <v>1</v>
      </c>
      <c r="W362">
        <f t="shared" si="23"/>
        <v>1</v>
      </c>
    </row>
    <row r="363" spans="1:23" x14ac:dyDescent="0.2">
      <c r="A363">
        <v>358</v>
      </c>
      <c r="S363">
        <f t="shared" si="20"/>
        <v>0</v>
      </c>
      <c r="T363">
        <f t="shared" si="21"/>
        <v>0</v>
      </c>
      <c r="V363">
        <f t="shared" si="22"/>
        <v>1</v>
      </c>
      <c r="W363">
        <f t="shared" si="23"/>
        <v>1</v>
      </c>
    </row>
    <row r="364" spans="1:23" x14ac:dyDescent="0.2">
      <c r="A364">
        <v>359</v>
      </c>
      <c r="S364">
        <f t="shared" si="20"/>
        <v>0</v>
      </c>
      <c r="T364">
        <f t="shared" si="21"/>
        <v>0</v>
      </c>
      <c r="V364">
        <f t="shared" si="22"/>
        <v>1</v>
      </c>
      <c r="W364">
        <f t="shared" si="23"/>
        <v>1</v>
      </c>
    </row>
    <row r="365" spans="1:23" x14ac:dyDescent="0.2">
      <c r="A365">
        <v>360</v>
      </c>
      <c r="S365">
        <f t="shared" si="20"/>
        <v>0</v>
      </c>
      <c r="T365">
        <f t="shared" si="21"/>
        <v>0</v>
      </c>
      <c r="V365">
        <f t="shared" si="22"/>
        <v>1</v>
      </c>
      <c r="W365">
        <f t="shared" si="23"/>
        <v>1</v>
      </c>
    </row>
    <row r="366" spans="1:23" x14ac:dyDescent="0.2">
      <c r="A366">
        <v>361</v>
      </c>
      <c r="S366">
        <f t="shared" si="20"/>
        <v>0</v>
      </c>
      <c r="T366">
        <f t="shared" si="21"/>
        <v>0</v>
      </c>
      <c r="V366">
        <f t="shared" si="22"/>
        <v>1</v>
      </c>
      <c r="W366">
        <f t="shared" si="23"/>
        <v>1</v>
      </c>
    </row>
    <row r="367" spans="1:23" x14ac:dyDescent="0.2">
      <c r="A367">
        <v>362</v>
      </c>
      <c r="S367">
        <f t="shared" si="20"/>
        <v>0</v>
      </c>
      <c r="T367">
        <f t="shared" si="21"/>
        <v>0</v>
      </c>
      <c r="V367">
        <f t="shared" si="22"/>
        <v>1</v>
      </c>
      <c r="W367">
        <f t="shared" si="23"/>
        <v>1</v>
      </c>
    </row>
    <row r="368" spans="1:23" x14ac:dyDescent="0.2">
      <c r="A368">
        <v>363</v>
      </c>
      <c r="S368">
        <f t="shared" si="20"/>
        <v>0</v>
      </c>
      <c r="T368">
        <f t="shared" si="21"/>
        <v>0</v>
      </c>
      <c r="V368">
        <f t="shared" si="22"/>
        <v>1</v>
      </c>
      <c r="W368">
        <f t="shared" si="23"/>
        <v>1</v>
      </c>
    </row>
    <row r="369" spans="1:23" x14ac:dyDescent="0.2">
      <c r="A369">
        <v>364</v>
      </c>
      <c r="S369">
        <f t="shared" si="20"/>
        <v>0</v>
      </c>
      <c r="T369">
        <f t="shared" si="21"/>
        <v>0</v>
      </c>
      <c r="V369">
        <f t="shared" si="22"/>
        <v>1</v>
      </c>
      <c r="W369">
        <f t="shared" si="23"/>
        <v>1</v>
      </c>
    </row>
    <row r="370" spans="1:23" x14ac:dyDescent="0.2">
      <c r="A370">
        <v>365</v>
      </c>
      <c r="S370">
        <f t="shared" si="20"/>
        <v>0</v>
      </c>
      <c r="T370">
        <f t="shared" si="21"/>
        <v>0</v>
      </c>
      <c r="V370">
        <f t="shared" si="22"/>
        <v>1</v>
      </c>
      <c r="W370">
        <f t="shared" si="23"/>
        <v>1</v>
      </c>
    </row>
    <row r="371" spans="1:23" x14ac:dyDescent="0.2">
      <c r="A371">
        <v>366</v>
      </c>
      <c r="S371">
        <f t="shared" si="20"/>
        <v>0</v>
      </c>
      <c r="T371">
        <f t="shared" si="21"/>
        <v>0</v>
      </c>
      <c r="V371">
        <f t="shared" si="22"/>
        <v>1</v>
      </c>
      <c r="W371">
        <f t="shared" si="23"/>
        <v>1</v>
      </c>
    </row>
    <row r="372" spans="1:23" x14ac:dyDescent="0.2">
      <c r="A372">
        <v>367</v>
      </c>
      <c r="S372">
        <f t="shared" si="20"/>
        <v>0</v>
      </c>
      <c r="T372">
        <f t="shared" si="21"/>
        <v>0</v>
      </c>
      <c r="V372">
        <f t="shared" si="22"/>
        <v>1</v>
      </c>
      <c r="W372">
        <f t="shared" si="23"/>
        <v>1</v>
      </c>
    </row>
    <row r="373" spans="1:23" x14ac:dyDescent="0.2">
      <c r="A373">
        <v>368</v>
      </c>
      <c r="S373">
        <f t="shared" si="20"/>
        <v>0</v>
      </c>
      <c r="T373">
        <f t="shared" si="21"/>
        <v>0</v>
      </c>
      <c r="V373">
        <f t="shared" si="22"/>
        <v>1</v>
      </c>
      <c r="W373">
        <f t="shared" si="23"/>
        <v>1</v>
      </c>
    </row>
    <row r="374" spans="1:23" x14ac:dyDescent="0.2">
      <c r="A374">
        <v>369</v>
      </c>
      <c r="S374">
        <f t="shared" si="20"/>
        <v>0</v>
      </c>
      <c r="T374">
        <f t="shared" si="21"/>
        <v>0</v>
      </c>
      <c r="V374">
        <f t="shared" si="22"/>
        <v>1</v>
      </c>
      <c r="W374">
        <f t="shared" si="23"/>
        <v>1</v>
      </c>
    </row>
    <row r="375" spans="1:23" x14ac:dyDescent="0.2">
      <c r="A375">
        <v>370</v>
      </c>
      <c r="S375">
        <f t="shared" si="20"/>
        <v>0</v>
      </c>
      <c r="T375">
        <f t="shared" si="21"/>
        <v>0</v>
      </c>
      <c r="V375">
        <f t="shared" si="22"/>
        <v>1</v>
      </c>
      <c r="W375">
        <f t="shared" si="23"/>
        <v>1</v>
      </c>
    </row>
    <row r="376" spans="1:23" x14ac:dyDescent="0.2">
      <c r="A376">
        <v>371</v>
      </c>
      <c r="S376">
        <f t="shared" si="20"/>
        <v>0</v>
      </c>
      <c r="T376">
        <f t="shared" si="21"/>
        <v>0</v>
      </c>
      <c r="V376">
        <f t="shared" si="22"/>
        <v>1</v>
      </c>
      <c r="W376">
        <f t="shared" si="23"/>
        <v>1</v>
      </c>
    </row>
    <row r="377" spans="1:23" x14ac:dyDescent="0.2">
      <c r="A377">
        <v>372</v>
      </c>
      <c r="S377">
        <f t="shared" si="20"/>
        <v>0</v>
      </c>
      <c r="T377">
        <f t="shared" si="21"/>
        <v>0</v>
      </c>
      <c r="V377">
        <f t="shared" si="22"/>
        <v>1</v>
      </c>
      <c r="W377">
        <f t="shared" si="23"/>
        <v>1</v>
      </c>
    </row>
    <row r="378" spans="1:23" x14ac:dyDescent="0.2">
      <c r="A378">
        <v>373</v>
      </c>
      <c r="S378">
        <f t="shared" si="20"/>
        <v>0</v>
      </c>
      <c r="T378">
        <f t="shared" si="21"/>
        <v>0</v>
      </c>
      <c r="V378">
        <f t="shared" si="22"/>
        <v>1</v>
      </c>
      <c r="W378">
        <f t="shared" si="23"/>
        <v>1</v>
      </c>
    </row>
    <row r="379" spans="1:23" x14ac:dyDescent="0.2">
      <c r="A379">
        <v>374</v>
      </c>
      <c r="S379">
        <f t="shared" si="20"/>
        <v>0</v>
      </c>
      <c r="T379">
        <f t="shared" si="21"/>
        <v>0</v>
      </c>
      <c r="V379">
        <f t="shared" si="22"/>
        <v>1</v>
      </c>
      <c r="W379">
        <f t="shared" si="23"/>
        <v>1</v>
      </c>
    </row>
    <row r="380" spans="1:23" x14ac:dyDescent="0.2">
      <c r="A380">
        <v>375</v>
      </c>
      <c r="S380">
        <f t="shared" si="20"/>
        <v>0</v>
      </c>
      <c r="T380">
        <f t="shared" si="21"/>
        <v>0</v>
      </c>
      <c r="V380">
        <f t="shared" si="22"/>
        <v>1</v>
      </c>
      <c r="W380">
        <f t="shared" si="23"/>
        <v>1</v>
      </c>
    </row>
    <row r="381" spans="1:23" x14ac:dyDescent="0.2">
      <c r="A381">
        <v>376</v>
      </c>
      <c r="S381">
        <f t="shared" si="20"/>
        <v>0</v>
      </c>
      <c r="T381">
        <f t="shared" si="21"/>
        <v>0</v>
      </c>
      <c r="V381">
        <f t="shared" si="22"/>
        <v>1</v>
      </c>
      <c r="W381">
        <f t="shared" si="23"/>
        <v>1</v>
      </c>
    </row>
    <row r="382" spans="1:23" x14ac:dyDescent="0.2">
      <c r="A382">
        <v>377</v>
      </c>
      <c r="S382">
        <f t="shared" si="20"/>
        <v>0</v>
      </c>
      <c r="T382">
        <f t="shared" si="21"/>
        <v>0</v>
      </c>
      <c r="V382">
        <f t="shared" si="22"/>
        <v>1</v>
      </c>
      <c r="W382">
        <f t="shared" si="23"/>
        <v>1</v>
      </c>
    </row>
    <row r="383" spans="1:23" x14ac:dyDescent="0.2">
      <c r="A383">
        <v>378</v>
      </c>
      <c r="S383">
        <f t="shared" si="20"/>
        <v>0</v>
      </c>
      <c r="T383">
        <f t="shared" si="21"/>
        <v>0</v>
      </c>
      <c r="V383">
        <f t="shared" si="22"/>
        <v>1</v>
      </c>
      <c r="W383">
        <f t="shared" si="23"/>
        <v>1</v>
      </c>
    </row>
    <row r="384" spans="1:23" x14ac:dyDescent="0.2">
      <c r="A384">
        <v>379</v>
      </c>
      <c r="S384">
        <f t="shared" si="20"/>
        <v>0</v>
      </c>
      <c r="T384">
        <f t="shared" si="21"/>
        <v>0</v>
      </c>
      <c r="V384">
        <f t="shared" si="22"/>
        <v>1</v>
      </c>
      <c r="W384">
        <f t="shared" si="23"/>
        <v>1</v>
      </c>
    </row>
    <row r="385" spans="1:23" x14ac:dyDescent="0.2">
      <c r="A385">
        <v>380</v>
      </c>
      <c r="S385">
        <f t="shared" si="20"/>
        <v>0</v>
      </c>
      <c r="T385">
        <f t="shared" si="21"/>
        <v>0</v>
      </c>
      <c r="V385">
        <f t="shared" si="22"/>
        <v>1</v>
      </c>
      <c r="W385">
        <f t="shared" si="23"/>
        <v>1</v>
      </c>
    </row>
    <row r="386" spans="1:23" x14ac:dyDescent="0.2">
      <c r="A386">
        <v>381</v>
      </c>
      <c r="S386">
        <f t="shared" si="20"/>
        <v>0</v>
      </c>
      <c r="T386">
        <f t="shared" si="21"/>
        <v>0</v>
      </c>
      <c r="V386">
        <f t="shared" si="22"/>
        <v>1</v>
      </c>
      <c r="W386">
        <f t="shared" si="23"/>
        <v>1</v>
      </c>
    </row>
    <row r="387" spans="1:23" x14ac:dyDescent="0.2">
      <c r="A387">
        <v>382</v>
      </c>
      <c r="S387">
        <f t="shared" si="20"/>
        <v>0</v>
      </c>
      <c r="T387">
        <f t="shared" si="21"/>
        <v>0</v>
      </c>
      <c r="V387">
        <f t="shared" si="22"/>
        <v>1</v>
      </c>
      <c r="W387">
        <f t="shared" si="23"/>
        <v>1</v>
      </c>
    </row>
    <row r="388" spans="1:23" x14ac:dyDescent="0.2">
      <c r="A388">
        <v>383</v>
      </c>
      <c r="S388">
        <f t="shared" si="20"/>
        <v>0</v>
      </c>
      <c r="T388">
        <f t="shared" si="21"/>
        <v>0</v>
      </c>
      <c r="V388">
        <f t="shared" si="22"/>
        <v>1</v>
      </c>
      <c r="W388">
        <f t="shared" si="23"/>
        <v>1</v>
      </c>
    </row>
    <row r="389" spans="1:23" x14ac:dyDescent="0.2">
      <c r="A389">
        <v>384</v>
      </c>
      <c r="S389">
        <f t="shared" si="20"/>
        <v>0</v>
      </c>
      <c r="T389">
        <f t="shared" si="21"/>
        <v>0</v>
      </c>
      <c r="V389">
        <f t="shared" si="22"/>
        <v>1</v>
      </c>
      <c r="W389">
        <f t="shared" si="23"/>
        <v>1</v>
      </c>
    </row>
    <row r="390" spans="1:23" x14ac:dyDescent="0.2">
      <c r="A390">
        <v>385</v>
      </c>
      <c r="S390">
        <f t="shared" ref="S390:S453" si="24">$T$1*N390-L390</f>
        <v>0</v>
      </c>
      <c r="T390">
        <f t="shared" ref="T390:T453" si="25">$T$1*Q390-O390</f>
        <v>0</v>
      </c>
      <c r="V390">
        <f t="shared" ref="V390:V453" si="26">IF(S390=MAX($S390:$T390),1,0)</f>
        <v>1</v>
      </c>
      <c r="W390">
        <f t="shared" ref="W390:W453" si="27">IF(T390=MAX($S390:$T390),1,0)</f>
        <v>1</v>
      </c>
    </row>
    <row r="391" spans="1:23" x14ac:dyDescent="0.2">
      <c r="A391">
        <v>386</v>
      </c>
      <c r="S391">
        <f t="shared" si="24"/>
        <v>0</v>
      </c>
      <c r="T391">
        <f t="shared" si="25"/>
        <v>0</v>
      </c>
      <c r="V391">
        <f t="shared" si="26"/>
        <v>1</v>
      </c>
      <c r="W391">
        <f t="shared" si="27"/>
        <v>1</v>
      </c>
    </row>
    <row r="392" spans="1:23" x14ac:dyDescent="0.2">
      <c r="A392">
        <v>387</v>
      </c>
      <c r="S392">
        <f t="shared" si="24"/>
        <v>0</v>
      </c>
      <c r="T392">
        <f t="shared" si="25"/>
        <v>0</v>
      </c>
      <c r="V392">
        <f t="shared" si="26"/>
        <v>1</v>
      </c>
      <c r="W392">
        <f t="shared" si="27"/>
        <v>1</v>
      </c>
    </row>
    <row r="393" spans="1:23" x14ac:dyDescent="0.2">
      <c r="A393">
        <v>388</v>
      </c>
      <c r="S393">
        <f t="shared" si="24"/>
        <v>0</v>
      </c>
      <c r="T393">
        <f t="shared" si="25"/>
        <v>0</v>
      </c>
      <c r="V393">
        <f t="shared" si="26"/>
        <v>1</v>
      </c>
      <c r="W393">
        <f t="shared" si="27"/>
        <v>1</v>
      </c>
    </row>
    <row r="394" spans="1:23" x14ac:dyDescent="0.2">
      <c r="A394">
        <v>389</v>
      </c>
      <c r="S394">
        <f t="shared" si="24"/>
        <v>0</v>
      </c>
      <c r="T394">
        <f t="shared" si="25"/>
        <v>0</v>
      </c>
      <c r="V394">
        <f t="shared" si="26"/>
        <v>1</v>
      </c>
      <c r="W394">
        <f t="shared" si="27"/>
        <v>1</v>
      </c>
    </row>
    <row r="395" spans="1:23" x14ac:dyDescent="0.2">
      <c r="A395">
        <v>390</v>
      </c>
      <c r="S395">
        <f t="shared" si="24"/>
        <v>0</v>
      </c>
      <c r="T395">
        <f t="shared" si="25"/>
        <v>0</v>
      </c>
      <c r="V395">
        <f t="shared" si="26"/>
        <v>1</v>
      </c>
      <c r="W395">
        <f t="shared" si="27"/>
        <v>1</v>
      </c>
    </row>
    <row r="396" spans="1:23" x14ac:dyDescent="0.2">
      <c r="A396">
        <v>391</v>
      </c>
      <c r="S396">
        <f t="shared" si="24"/>
        <v>0</v>
      </c>
      <c r="T396">
        <f t="shared" si="25"/>
        <v>0</v>
      </c>
      <c r="V396">
        <f t="shared" si="26"/>
        <v>1</v>
      </c>
      <c r="W396">
        <f t="shared" si="27"/>
        <v>1</v>
      </c>
    </row>
    <row r="397" spans="1:23" x14ac:dyDescent="0.2">
      <c r="A397">
        <v>392</v>
      </c>
      <c r="S397">
        <f t="shared" si="24"/>
        <v>0</v>
      </c>
      <c r="T397">
        <f t="shared" si="25"/>
        <v>0</v>
      </c>
      <c r="V397">
        <f t="shared" si="26"/>
        <v>1</v>
      </c>
      <c r="W397">
        <f t="shared" si="27"/>
        <v>1</v>
      </c>
    </row>
    <row r="398" spans="1:23" x14ac:dyDescent="0.2">
      <c r="A398">
        <v>393</v>
      </c>
      <c r="S398">
        <f t="shared" si="24"/>
        <v>0</v>
      </c>
      <c r="T398">
        <f t="shared" si="25"/>
        <v>0</v>
      </c>
      <c r="V398">
        <f t="shared" si="26"/>
        <v>1</v>
      </c>
      <c r="W398">
        <f t="shared" si="27"/>
        <v>1</v>
      </c>
    </row>
    <row r="399" spans="1:23" x14ac:dyDescent="0.2">
      <c r="A399">
        <v>394</v>
      </c>
      <c r="S399">
        <f t="shared" si="24"/>
        <v>0</v>
      </c>
      <c r="T399">
        <f t="shared" si="25"/>
        <v>0</v>
      </c>
      <c r="V399">
        <f t="shared" si="26"/>
        <v>1</v>
      </c>
      <c r="W399">
        <f t="shared" si="27"/>
        <v>1</v>
      </c>
    </row>
    <row r="400" spans="1:23" x14ac:dyDescent="0.2">
      <c r="A400">
        <v>395</v>
      </c>
      <c r="S400">
        <f t="shared" si="24"/>
        <v>0</v>
      </c>
      <c r="T400">
        <f t="shared" si="25"/>
        <v>0</v>
      </c>
      <c r="V400">
        <f t="shared" si="26"/>
        <v>1</v>
      </c>
      <c r="W400">
        <f t="shared" si="27"/>
        <v>1</v>
      </c>
    </row>
    <row r="401" spans="1:23" x14ac:dyDescent="0.2">
      <c r="A401">
        <v>396</v>
      </c>
      <c r="S401">
        <f t="shared" si="24"/>
        <v>0</v>
      </c>
      <c r="T401">
        <f t="shared" si="25"/>
        <v>0</v>
      </c>
      <c r="V401">
        <f t="shared" si="26"/>
        <v>1</v>
      </c>
      <c r="W401">
        <f t="shared" si="27"/>
        <v>1</v>
      </c>
    </row>
    <row r="402" spans="1:23" x14ac:dyDescent="0.2">
      <c r="A402">
        <v>397</v>
      </c>
      <c r="S402">
        <f t="shared" si="24"/>
        <v>0</v>
      </c>
      <c r="T402">
        <f t="shared" si="25"/>
        <v>0</v>
      </c>
      <c r="V402">
        <f t="shared" si="26"/>
        <v>1</v>
      </c>
      <c r="W402">
        <f t="shared" si="27"/>
        <v>1</v>
      </c>
    </row>
    <row r="403" spans="1:23" x14ac:dyDescent="0.2">
      <c r="A403">
        <v>398</v>
      </c>
      <c r="S403">
        <f t="shared" si="24"/>
        <v>0</v>
      </c>
      <c r="T403">
        <f t="shared" si="25"/>
        <v>0</v>
      </c>
      <c r="V403">
        <f t="shared" si="26"/>
        <v>1</v>
      </c>
      <c r="W403">
        <f t="shared" si="27"/>
        <v>1</v>
      </c>
    </row>
    <row r="404" spans="1:23" x14ac:dyDescent="0.2">
      <c r="A404">
        <v>399</v>
      </c>
      <c r="S404">
        <f t="shared" si="24"/>
        <v>0</v>
      </c>
      <c r="T404">
        <f t="shared" si="25"/>
        <v>0</v>
      </c>
      <c r="V404">
        <f t="shared" si="26"/>
        <v>1</v>
      </c>
      <c r="W404">
        <f t="shared" si="27"/>
        <v>1</v>
      </c>
    </row>
    <row r="405" spans="1:23" x14ac:dyDescent="0.2">
      <c r="A405">
        <v>400</v>
      </c>
      <c r="S405">
        <f t="shared" si="24"/>
        <v>0</v>
      </c>
      <c r="T405">
        <f t="shared" si="25"/>
        <v>0</v>
      </c>
      <c r="V405">
        <f t="shared" si="26"/>
        <v>1</v>
      </c>
      <c r="W405">
        <f t="shared" si="27"/>
        <v>1</v>
      </c>
    </row>
    <row r="406" spans="1:23" x14ac:dyDescent="0.2">
      <c r="A406">
        <v>401</v>
      </c>
      <c r="S406">
        <f t="shared" si="24"/>
        <v>0</v>
      </c>
      <c r="T406">
        <f t="shared" si="25"/>
        <v>0</v>
      </c>
      <c r="V406">
        <f t="shared" si="26"/>
        <v>1</v>
      </c>
      <c r="W406">
        <f t="shared" si="27"/>
        <v>1</v>
      </c>
    </row>
    <row r="407" spans="1:23" x14ac:dyDescent="0.2">
      <c r="A407">
        <v>402</v>
      </c>
      <c r="S407">
        <f t="shared" si="24"/>
        <v>0</v>
      </c>
      <c r="T407">
        <f t="shared" si="25"/>
        <v>0</v>
      </c>
      <c r="V407">
        <f t="shared" si="26"/>
        <v>1</v>
      </c>
      <c r="W407">
        <f t="shared" si="27"/>
        <v>1</v>
      </c>
    </row>
    <row r="408" spans="1:23" x14ac:dyDescent="0.2">
      <c r="A408">
        <v>403</v>
      </c>
      <c r="S408">
        <f t="shared" si="24"/>
        <v>0</v>
      </c>
      <c r="T408">
        <f t="shared" si="25"/>
        <v>0</v>
      </c>
      <c r="V408">
        <f t="shared" si="26"/>
        <v>1</v>
      </c>
      <c r="W408">
        <f t="shared" si="27"/>
        <v>1</v>
      </c>
    </row>
    <row r="409" spans="1:23" x14ac:dyDescent="0.2">
      <c r="A409">
        <v>404</v>
      </c>
      <c r="S409">
        <f t="shared" si="24"/>
        <v>0</v>
      </c>
      <c r="T409">
        <f t="shared" si="25"/>
        <v>0</v>
      </c>
      <c r="V409">
        <f t="shared" si="26"/>
        <v>1</v>
      </c>
      <c r="W409">
        <f t="shared" si="27"/>
        <v>1</v>
      </c>
    </row>
    <row r="410" spans="1:23" x14ac:dyDescent="0.2">
      <c r="A410">
        <v>405</v>
      </c>
      <c r="S410">
        <f t="shared" si="24"/>
        <v>0</v>
      </c>
      <c r="T410">
        <f t="shared" si="25"/>
        <v>0</v>
      </c>
      <c r="V410">
        <f t="shared" si="26"/>
        <v>1</v>
      </c>
      <c r="W410">
        <f t="shared" si="27"/>
        <v>1</v>
      </c>
    </row>
    <row r="411" spans="1:23" x14ac:dyDescent="0.2">
      <c r="A411">
        <v>406</v>
      </c>
      <c r="S411">
        <f t="shared" si="24"/>
        <v>0</v>
      </c>
      <c r="T411">
        <f t="shared" si="25"/>
        <v>0</v>
      </c>
      <c r="V411">
        <f t="shared" si="26"/>
        <v>1</v>
      </c>
      <c r="W411">
        <f t="shared" si="27"/>
        <v>1</v>
      </c>
    </row>
    <row r="412" spans="1:23" x14ac:dyDescent="0.2">
      <c r="A412">
        <v>407</v>
      </c>
      <c r="S412">
        <f t="shared" si="24"/>
        <v>0</v>
      </c>
      <c r="T412">
        <f t="shared" si="25"/>
        <v>0</v>
      </c>
      <c r="V412">
        <f t="shared" si="26"/>
        <v>1</v>
      </c>
      <c r="W412">
        <f t="shared" si="27"/>
        <v>1</v>
      </c>
    </row>
    <row r="413" spans="1:23" x14ac:dyDescent="0.2">
      <c r="A413">
        <v>408</v>
      </c>
      <c r="S413">
        <f t="shared" si="24"/>
        <v>0</v>
      </c>
      <c r="T413">
        <f t="shared" si="25"/>
        <v>0</v>
      </c>
      <c r="V413">
        <f t="shared" si="26"/>
        <v>1</v>
      </c>
      <c r="W413">
        <f t="shared" si="27"/>
        <v>1</v>
      </c>
    </row>
    <row r="414" spans="1:23" x14ac:dyDescent="0.2">
      <c r="A414">
        <v>409</v>
      </c>
      <c r="S414">
        <f t="shared" si="24"/>
        <v>0</v>
      </c>
      <c r="T414">
        <f t="shared" si="25"/>
        <v>0</v>
      </c>
      <c r="V414">
        <f t="shared" si="26"/>
        <v>1</v>
      </c>
      <c r="W414">
        <f t="shared" si="27"/>
        <v>1</v>
      </c>
    </row>
    <row r="415" spans="1:23" x14ac:dyDescent="0.2">
      <c r="A415">
        <v>410</v>
      </c>
      <c r="S415">
        <f t="shared" si="24"/>
        <v>0</v>
      </c>
      <c r="T415">
        <f t="shared" si="25"/>
        <v>0</v>
      </c>
      <c r="V415">
        <f t="shared" si="26"/>
        <v>1</v>
      </c>
      <c r="W415">
        <f t="shared" si="27"/>
        <v>1</v>
      </c>
    </row>
    <row r="416" spans="1:23" x14ac:dyDescent="0.2">
      <c r="A416">
        <v>411</v>
      </c>
      <c r="S416">
        <f t="shared" si="24"/>
        <v>0</v>
      </c>
      <c r="T416">
        <f t="shared" si="25"/>
        <v>0</v>
      </c>
      <c r="V416">
        <f t="shared" si="26"/>
        <v>1</v>
      </c>
      <c r="W416">
        <f t="shared" si="27"/>
        <v>1</v>
      </c>
    </row>
    <row r="417" spans="1:23" x14ac:dyDescent="0.2">
      <c r="A417">
        <v>412</v>
      </c>
      <c r="S417">
        <f t="shared" si="24"/>
        <v>0</v>
      </c>
      <c r="T417">
        <f t="shared" si="25"/>
        <v>0</v>
      </c>
      <c r="V417">
        <f t="shared" si="26"/>
        <v>1</v>
      </c>
      <c r="W417">
        <f t="shared" si="27"/>
        <v>1</v>
      </c>
    </row>
    <row r="418" spans="1:23" x14ac:dyDescent="0.2">
      <c r="A418">
        <v>413</v>
      </c>
      <c r="S418">
        <f t="shared" si="24"/>
        <v>0</v>
      </c>
      <c r="T418">
        <f t="shared" si="25"/>
        <v>0</v>
      </c>
      <c r="V418">
        <f t="shared" si="26"/>
        <v>1</v>
      </c>
      <c r="W418">
        <f t="shared" si="27"/>
        <v>1</v>
      </c>
    </row>
    <row r="419" spans="1:23" x14ac:dyDescent="0.2">
      <c r="A419">
        <v>414</v>
      </c>
      <c r="S419">
        <f t="shared" si="24"/>
        <v>0</v>
      </c>
      <c r="T419">
        <f t="shared" si="25"/>
        <v>0</v>
      </c>
      <c r="V419">
        <f t="shared" si="26"/>
        <v>1</v>
      </c>
      <c r="W419">
        <f t="shared" si="27"/>
        <v>1</v>
      </c>
    </row>
    <row r="420" spans="1:23" x14ac:dyDescent="0.2">
      <c r="A420">
        <v>415</v>
      </c>
      <c r="S420">
        <f t="shared" si="24"/>
        <v>0</v>
      </c>
      <c r="T420">
        <f t="shared" si="25"/>
        <v>0</v>
      </c>
      <c r="V420">
        <f t="shared" si="26"/>
        <v>1</v>
      </c>
      <c r="W420">
        <f t="shared" si="27"/>
        <v>1</v>
      </c>
    </row>
    <row r="421" spans="1:23" x14ac:dyDescent="0.2">
      <c r="A421">
        <v>416</v>
      </c>
      <c r="S421">
        <f t="shared" si="24"/>
        <v>0</v>
      </c>
      <c r="T421">
        <f t="shared" si="25"/>
        <v>0</v>
      </c>
      <c r="V421">
        <f t="shared" si="26"/>
        <v>1</v>
      </c>
      <c r="W421">
        <f t="shared" si="27"/>
        <v>1</v>
      </c>
    </row>
    <row r="422" spans="1:23" x14ac:dyDescent="0.2">
      <c r="A422">
        <v>417</v>
      </c>
      <c r="S422">
        <f t="shared" si="24"/>
        <v>0</v>
      </c>
      <c r="T422">
        <f t="shared" si="25"/>
        <v>0</v>
      </c>
      <c r="V422">
        <f t="shared" si="26"/>
        <v>1</v>
      </c>
      <c r="W422">
        <f t="shared" si="27"/>
        <v>1</v>
      </c>
    </row>
    <row r="423" spans="1:23" x14ac:dyDescent="0.2">
      <c r="A423">
        <v>418</v>
      </c>
      <c r="S423">
        <f t="shared" si="24"/>
        <v>0</v>
      </c>
      <c r="T423">
        <f t="shared" si="25"/>
        <v>0</v>
      </c>
      <c r="V423">
        <f t="shared" si="26"/>
        <v>1</v>
      </c>
      <c r="W423">
        <f t="shared" si="27"/>
        <v>1</v>
      </c>
    </row>
    <row r="424" spans="1:23" x14ac:dyDescent="0.2">
      <c r="A424">
        <v>419</v>
      </c>
      <c r="S424">
        <f t="shared" si="24"/>
        <v>0</v>
      </c>
      <c r="T424">
        <f t="shared" si="25"/>
        <v>0</v>
      </c>
      <c r="V424">
        <f t="shared" si="26"/>
        <v>1</v>
      </c>
      <c r="W424">
        <f t="shared" si="27"/>
        <v>1</v>
      </c>
    </row>
    <row r="425" spans="1:23" x14ac:dyDescent="0.2">
      <c r="A425">
        <v>420</v>
      </c>
      <c r="S425">
        <f t="shared" si="24"/>
        <v>0</v>
      </c>
      <c r="T425">
        <f t="shared" si="25"/>
        <v>0</v>
      </c>
      <c r="V425">
        <f t="shared" si="26"/>
        <v>1</v>
      </c>
      <c r="W425">
        <f t="shared" si="27"/>
        <v>1</v>
      </c>
    </row>
    <row r="426" spans="1:23" x14ac:dyDescent="0.2">
      <c r="A426">
        <v>421</v>
      </c>
      <c r="S426">
        <f t="shared" si="24"/>
        <v>0</v>
      </c>
      <c r="T426">
        <f t="shared" si="25"/>
        <v>0</v>
      </c>
      <c r="V426">
        <f t="shared" si="26"/>
        <v>1</v>
      </c>
      <c r="W426">
        <f t="shared" si="27"/>
        <v>1</v>
      </c>
    </row>
    <row r="427" spans="1:23" x14ac:dyDescent="0.2">
      <c r="A427">
        <v>422</v>
      </c>
      <c r="S427">
        <f t="shared" si="24"/>
        <v>0</v>
      </c>
      <c r="T427">
        <f t="shared" si="25"/>
        <v>0</v>
      </c>
      <c r="V427">
        <f t="shared" si="26"/>
        <v>1</v>
      </c>
      <c r="W427">
        <f t="shared" si="27"/>
        <v>1</v>
      </c>
    </row>
    <row r="428" spans="1:23" x14ac:dyDescent="0.2">
      <c r="A428">
        <v>423</v>
      </c>
      <c r="S428">
        <f t="shared" si="24"/>
        <v>0</v>
      </c>
      <c r="T428">
        <f t="shared" si="25"/>
        <v>0</v>
      </c>
      <c r="V428">
        <f t="shared" si="26"/>
        <v>1</v>
      </c>
      <c r="W428">
        <f t="shared" si="27"/>
        <v>1</v>
      </c>
    </row>
    <row r="429" spans="1:23" x14ac:dyDescent="0.2">
      <c r="A429">
        <v>424</v>
      </c>
      <c r="S429">
        <f t="shared" si="24"/>
        <v>0</v>
      </c>
      <c r="T429">
        <f t="shared" si="25"/>
        <v>0</v>
      </c>
      <c r="V429">
        <f t="shared" si="26"/>
        <v>1</v>
      </c>
      <c r="W429">
        <f t="shared" si="27"/>
        <v>1</v>
      </c>
    </row>
    <row r="430" spans="1:23" x14ac:dyDescent="0.2">
      <c r="A430">
        <v>425</v>
      </c>
      <c r="S430">
        <f t="shared" si="24"/>
        <v>0</v>
      </c>
      <c r="T430">
        <f t="shared" si="25"/>
        <v>0</v>
      </c>
      <c r="V430">
        <f t="shared" si="26"/>
        <v>1</v>
      </c>
      <c r="W430">
        <f t="shared" si="27"/>
        <v>1</v>
      </c>
    </row>
    <row r="431" spans="1:23" x14ac:dyDescent="0.2">
      <c r="A431">
        <v>426</v>
      </c>
      <c r="S431">
        <f t="shared" si="24"/>
        <v>0</v>
      </c>
      <c r="T431">
        <f t="shared" si="25"/>
        <v>0</v>
      </c>
      <c r="V431">
        <f t="shared" si="26"/>
        <v>1</v>
      </c>
      <c r="W431">
        <f t="shared" si="27"/>
        <v>1</v>
      </c>
    </row>
    <row r="432" spans="1:23" x14ac:dyDescent="0.2">
      <c r="A432">
        <v>427</v>
      </c>
      <c r="S432">
        <f t="shared" si="24"/>
        <v>0</v>
      </c>
      <c r="T432">
        <f t="shared" si="25"/>
        <v>0</v>
      </c>
      <c r="V432">
        <f t="shared" si="26"/>
        <v>1</v>
      </c>
      <c r="W432">
        <f t="shared" si="27"/>
        <v>1</v>
      </c>
    </row>
    <row r="433" spans="1:23" x14ac:dyDescent="0.2">
      <c r="A433">
        <v>428</v>
      </c>
      <c r="S433">
        <f t="shared" si="24"/>
        <v>0</v>
      </c>
      <c r="T433">
        <f t="shared" si="25"/>
        <v>0</v>
      </c>
      <c r="V433">
        <f t="shared" si="26"/>
        <v>1</v>
      </c>
      <c r="W433">
        <f t="shared" si="27"/>
        <v>1</v>
      </c>
    </row>
    <row r="434" spans="1:23" x14ac:dyDescent="0.2">
      <c r="A434">
        <v>429</v>
      </c>
      <c r="S434">
        <f t="shared" si="24"/>
        <v>0</v>
      </c>
      <c r="T434">
        <f t="shared" si="25"/>
        <v>0</v>
      </c>
      <c r="V434">
        <f t="shared" si="26"/>
        <v>1</v>
      </c>
      <c r="W434">
        <f t="shared" si="27"/>
        <v>1</v>
      </c>
    </row>
    <row r="435" spans="1:23" x14ac:dyDescent="0.2">
      <c r="A435">
        <v>430</v>
      </c>
      <c r="S435">
        <f t="shared" si="24"/>
        <v>0</v>
      </c>
      <c r="T435">
        <f t="shared" si="25"/>
        <v>0</v>
      </c>
      <c r="V435">
        <f t="shared" si="26"/>
        <v>1</v>
      </c>
      <c r="W435">
        <f t="shared" si="27"/>
        <v>1</v>
      </c>
    </row>
    <row r="436" spans="1:23" x14ac:dyDescent="0.2">
      <c r="A436">
        <v>431</v>
      </c>
      <c r="S436">
        <f t="shared" si="24"/>
        <v>0</v>
      </c>
      <c r="T436">
        <f t="shared" si="25"/>
        <v>0</v>
      </c>
      <c r="V436">
        <f t="shared" si="26"/>
        <v>1</v>
      </c>
      <c r="W436">
        <f t="shared" si="27"/>
        <v>1</v>
      </c>
    </row>
    <row r="437" spans="1:23" x14ac:dyDescent="0.2">
      <c r="A437">
        <v>432</v>
      </c>
      <c r="S437">
        <f t="shared" si="24"/>
        <v>0</v>
      </c>
      <c r="T437">
        <f t="shared" si="25"/>
        <v>0</v>
      </c>
      <c r="V437">
        <f t="shared" si="26"/>
        <v>1</v>
      </c>
      <c r="W437">
        <f t="shared" si="27"/>
        <v>1</v>
      </c>
    </row>
    <row r="438" spans="1:23" x14ac:dyDescent="0.2">
      <c r="A438">
        <v>433</v>
      </c>
      <c r="S438">
        <f t="shared" si="24"/>
        <v>0</v>
      </c>
      <c r="T438">
        <f t="shared" si="25"/>
        <v>0</v>
      </c>
      <c r="V438">
        <f t="shared" si="26"/>
        <v>1</v>
      </c>
      <c r="W438">
        <f t="shared" si="27"/>
        <v>1</v>
      </c>
    </row>
    <row r="439" spans="1:23" x14ac:dyDescent="0.2">
      <c r="A439">
        <v>434</v>
      </c>
      <c r="S439">
        <f t="shared" si="24"/>
        <v>0</v>
      </c>
      <c r="T439">
        <f t="shared" si="25"/>
        <v>0</v>
      </c>
      <c r="V439">
        <f t="shared" si="26"/>
        <v>1</v>
      </c>
      <c r="W439">
        <f t="shared" si="27"/>
        <v>1</v>
      </c>
    </row>
    <row r="440" spans="1:23" x14ac:dyDescent="0.2">
      <c r="A440">
        <v>435</v>
      </c>
      <c r="S440">
        <f t="shared" si="24"/>
        <v>0</v>
      </c>
      <c r="T440">
        <f t="shared" si="25"/>
        <v>0</v>
      </c>
      <c r="V440">
        <f t="shared" si="26"/>
        <v>1</v>
      </c>
      <c r="W440">
        <f t="shared" si="27"/>
        <v>1</v>
      </c>
    </row>
    <row r="441" spans="1:23" x14ac:dyDescent="0.2">
      <c r="A441">
        <v>436</v>
      </c>
      <c r="S441">
        <f t="shared" si="24"/>
        <v>0</v>
      </c>
      <c r="T441">
        <f t="shared" si="25"/>
        <v>0</v>
      </c>
      <c r="V441">
        <f t="shared" si="26"/>
        <v>1</v>
      </c>
      <c r="W441">
        <f t="shared" si="27"/>
        <v>1</v>
      </c>
    </row>
    <row r="442" spans="1:23" x14ac:dyDescent="0.2">
      <c r="A442">
        <v>437</v>
      </c>
      <c r="S442">
        <f t="shared" si="24"/>
        <v>0</v>
      </c>
      <c r="T442">
        <f t="shared" si="25"/>
        <v>0</v>
      </c>
      <c r="V442">
        <f t="shared" si="26"/>
        <v>1</v>
      </c>
      <c r="W442">
        <f t="shared" si="27"/>
        <v>1</v>
      </c>
    </row>
    <row r="443" spans="1:23" x14ac:dyDescent="0.2">
      <c r="A443">
        <v>438</v>
      </c>
      <c r="S443">
        <f t="shared" si="24"/>
        <v>0</v>
      </c>
      <c r="T443">
        <f t="shared" si="25"/>
        <v>0</v>
      </c>
      <c r="V443">
        <f t="shared" si="26"/>
        <v>1</v>
      </c>
      <c r="W443">
        <f t="shared" si="27"/>
        <v>1</v>
      </c>
    </row>
    <row r="444" spans="1:23" x14ac:dyDescent="0.2">
      <c r="A444">
        <v>439</v>
      </c>
      <c r="S444">
        <f t="shared" si="24"/>
        <v>0</v>
      </c>
      <c r="T444">
        <f t="shared" si="25"/>
        <v>0</v>
      </c>
      <c r="V444">
        <f t="shared" si="26"/>
        <v>1</v>
      </c>
      <c r="W444">
        <f t="shared" si="27"/>
        <v>1</v>
      </c>
    </row>
    <row r="445" spans="1:23" x14ac:dyDescent="0.2">
      <c r="A445">
        <v>440</v>
      </c>
      <c r="S445">
        <f t="shared" si="24"/>
        <v>0</v>
      </c>
      <c r="T445">
        <f t="shared" si="25"/>
        <v>0</v>
      </c>
      <c r="V445">
        <f t="shared" si="26"/>
        <v>1</v>
      </c>
      <c r="W445">
        <f t="shared" si="27"/>
        <v>1</v>
      </c>
    </row>
    <row r="446" spans="1:23" x14ac:dyDescent="0.2">
      <c r="A446">
        <v>441</v>
      </c>
      <c r="S446">
        <f t="shared" si="24"/>
        <v>0</v>
      </c>
      <c r="T446">
        <f t="shared" si="25"/>
        <v>0</v>
      </c>
      <c r="V446">
        <f t="shared" si="26"/>
        <v>1</v>
      </c>
      <c r="W446">
        <f t="shared" si="27"/>
        <v>1</v>
      </c>
    </row>
    <row r="447" spans="1:23" x14ac:dyDescent="0.2">
      <c r="A447">
        <v>442</v>
      </c>
      <c r="S447">
        <f t="shared" si="24"/>
        <v>0</v>
      </c>
      <c r="T447">
        <f t="shared" si="25"/>
        <v>0</v>
      </c>
      <c r="V447">
        <f t="shared" si="26"/>
        <v>1</v>
      </c>
      <c r="W447">
        <f t="shared" si="27"/>
        <v>1</v>
      </c>
    </row>
    <row r="448" spans="1:23" x14ac:dyDescent="0.2">
      <c r="A448">
        <v>443</v>
      </c>
      <c r="S448">
        <f t="shared" si="24"/>
        <v>0</v>
      </c>
      <c r="T448">
        <f t="shared" si="25"/>
        <v>0</v>
      </c>
      <c r="V448">
        <f t="shared" si="26"/>
        <v>1</v>
      </c>
      <c r="W448">
        <f t="shared" si="27"/>
        <v>1</v>
      </c>
    </row>
    <row r="449" spans="1:23" x14ac:dyDescent="0.2">
      <c r="A449">
        <v>444</v>
      </c>
      <c r="S449">
        <f t="shared" si="24"/>
        <v>0</v>
      </c>
      <c r="T449">
        <f t="shared" si="25"/>
        <v>0</v>
      </c>
      <c r="V449">
        <f t="shared" si="26"/>
        <v>1</v>
      </c>
      <c r="W449">
        <f t="shared" si="27"/>
        <v>1</v>
      </c>
    </row>
    <row r="450" spans="1:23" x14ac:dyDescent="0.2">
      <c r="A450">
        <v>445</v>
      </c>
      <c r="S450">
        <f t="shared" si="24"/>
        <v>0</v>
      </c>
      <c r="T450">
        <f t="shared" si="25"/>
        <v>0</v>
      </c>
      <c r="V450">
        <f t="shared" si="26"/>
        <v>1</v>
      </c>
      <c r="W450">
        <f t="shared" si="27"/>
        <v>1</v>
      </c>
    </row>
    <row r="451" spans="1:23" x14ac:dyDescent="0.2">
      <c r="A451">
        <v>446</v>
      </c>
      <c r="S451">
        <f t="shared" si="24"/>
        <v>0</v>
      </c>
      <c r="T451">
        <f t="shared" si="25"/>
        <v>0</v>
      </c>
      <c r="V451">
        <f t="shared" si="26"/>
        <v>1</v>
      </c>
      <c r="W451">
        <f t="shared" si="27"/>
        <v>1</v>
      </c>
    </row>
    <row r="452" spans="1:23" x14ac:dyDescent="0.2">
      <c r="A452">
        <v>447</v>
      </c>
      <c r="S452">
        <f t="shared" si="24"/>
        <v>0</v>
      </c>
      <c r="T452">
        <f t="shared" si="25"/>
        <v>0</v>
      </c>
      <c r="V452">
        <f t="shared" si="26"/>
        <v>1</v>
      </c>
      <c r="W452">
        <f t="shared" si="27"/>
        <v>1</v>
      </c>
    </row>
    <row r="453" spans="1:23" x14ac:dyDescent="0.2">
      <c r="A453">
        <v>448</v>
      </c>
      <c r="S453">
        <f t="shared" si="24"/>
        <v>0</v>
      </c>
      <c r="T453">
        <f t="shared" si="25"/>
        <v>0</v>
      </c>
      <c r="V453">
        <f t="shared" si="26"/>
        <v>1</v>
      </c>
      <c r="W453">
        <f t="shared" si="27"/>
        <v>1</v>
      </c>
    </row>
    <row r="454" spans="1:23" x14ac:dyDescent="0.2">
      <c r="A454">
        <v>449</v>
      </c>
      <c r="S454">
        <f t="shared" ref="S454:S517" si="28">$T$1*N454-L454</f>
        <v>0</v>
      </c>
      <c r="T454">
        <f t="shared" ref="T454:T517" si="29">$T$1*Q454-O454</f>
        <v>0</v>
      </c>
      <c r="V454">
        <f t="shared" ref="V454:V517" si="30">IF(S454=MAX($S454:$T454),1,0)</f>
        <v>1</v>
      </c>
      <c r="W454">
        <f t="shared" ref="W454:W517" si="31">IF(T454=MAX($S454:$T454),1,0)</f>
        <v>1</v>
      </c>
    </row>
    <row r="455" spans="1:23" x14ac:dyDescent="0.2">
      <c r="A455">
        <v>450</v>
      </c>
      <c r="S455">
        <f t="shared" si="28"/>
        <v>0</v>
      </c>
      <c r="T455">
        <f t="shared" si="29"/>
        <v>0</v>
      </c>
      <c r="V455">
        <f t="shared" si="30"/>
        <v>1</v>
      </c>
      <c r="W455">
        <f t="shared" si="31"/>
        <v>1</v>
      </c>
    </row>
    <row r="456" spans="1:23" x14ac:dyDescent="0.2">
      <c r="A456">
        <v>451</v>
      </c>
      <c r="S456">
        <f t="shared" si="28"/>
        <v>0</v>
      </c>
      <c r="T456">
        <f t="shared" si="29"/>
        <v>0</v>
      </c>
      <c r="V456">
        <f t="shared" si="30"/>
        <v>1</v>
      </c>
      <c r="W456">
        <f t="shared" si="31"/>
        <v>1</v>
      </c>
    </row>
    <row r="457" spans="1:23" x14ac:dyDescent="0.2">
      <c r="A457">
        <v>452</v>
      </c>
      <c r="S457">
        <f t="shared" si="28"/>
        <v>0</v>
      </c>
      <c r="T457">
        <f t="shared" si="29"/>
        <v>0</v>
      </c>
      <c r="V457">
        <f t="shared" si="30"/>
        <v>1</v>
      </c>
      <c r="W457">
        <f t="shared" si="31"/>
        <v>1</v>
      </c>
    </row>
    <row r="458" spans="1:23" x14ac:dyDescent="0.2">
      <c r="A458">
        <v>453</v>
      </c>
      <c r="S458">
        <f t="shared" si="28"/>
        <v>0</v>
      </c>
      <c r="T458">
        <f t="shared" si="29"/>
        <v>0</v>
      </c>
      <c r="V458">
        <f t="shared" si="30"/>
        <v>1</v>
      </c>
      <c r="W458">
        <f t="shared" si="31"/>
        <v>1</v>
      </c>
    </row>
    <row r="459" spans="1:23" x14ac:dyDescent="0.2">
      <c r="A459">
        <v>454</v>
      </c>
      <c r="S459">
        <f t="shared" si="28"/>
        <v>0</v>
      </c>
      <c r="T459">
        <f t="shared" si="29"/>
        <v>0</v>
      </c>
      <c r="V459">
        <f t="shared" si="30"/>
        <v>1</v>
      </c>
      <c r="W459">
        <f t="shared" si="31"/>
        <v>1</v>
      </c>
    </row>
    <row r="460" spans="1:23" x14ac:dyDescent="0.2">
      <c r="A460">
        <v>455</v>
      </c>
      <c r="S460">
        <f t="shared" si="28"/>
        <v>0</v>
      </c>
      <c r="T460">
        <f t="shared" si="29"/>
        <v>0</v>
      </c>
      <c r="V460">
        <f t="shared" si="30"/>
        <v>1</v>
      </c>
      <c r="W460">
        <f t="shared" si="31"/>
        <v>1</v>
      </c>
    </row>
    <row r="461" spans="1:23" x14ac:dyDescent="0.2">
      <c r="A461">
        <v>456</v>
      </c>
      <c r="S461">
        <f t="shared" si="28"/>
        <v>0</v>
      </c>
      <c r="T461">
        <f t="shared" si="29"/>
        <v>0</v>
      </c>
      <c r="V461">
        <f t="shared" si="30"/>
        <v>1</v>
      </c>
      <c r="W461">
        <f t="shared" si="31"/>
        <v>1</v>
      </c>
    </row>
    <row r="462" spans="1:23" x14ac:dyDescent="0.2">
      <c r="A462">
        <v>457</v>
      </c>
      <c r="S462">
        <f t="shared" si="28"/>
        <v>0</v>
      </c>
      <c r="T462">
        <f t="shared" si="29"/>
        <v>0</v>
      </c>
      <c r="V462">
        <f t="shared" si="30"/>
        <v>1</v>
      </c>
      <c r="W462">
        <f t="shared" si="31"/>
        <v>1</v>
      </c>
    </row>
    <row r="463" spans="1:23" x14ac:dyDescent="0.2">
      <c r="A463">
        <v>458</v>
      </c>
      <c r="S463">
        <f t="shared" si="28"/>
        <v>0</v>
      </c>
      <c r="T463">
        <f t="shared" si="29"/>
        <v>0</v>
      </c>
      <c r="V463">
        <f t="shared" si="30"/>
        <v>1</v>
      </c>
      <c r="W463">
        <f t="shared" si="31"/>
        <v>1</v>
      </c>
    </row>
    <row r="464" spans="1:23" x14ac:dyDescent="0.2">
      <c r="A464">
        <v>459</v>
      </c>
      <c r="S464">
        <f t="shared" si="28"/>
        <v>0</v>
      </c>
      <c r="T464">
        <f t="shared" si="29"/>
        <v>0</v>
      </c>
      <c r="V464">
        <f t="shared" si="30"/>
        <v>1</v>
      </c>
      <c r="W464">
        <f t="shared" si="31"/>
        <v>1</v>
      </c>
    </row>
    <row r="465" spans="1:23" x14ac:dyDescent="0.2">
      <c r="A465">
        <v>460</v>
      </c>
      <c r="S465">
        <f t="shared" si="28"/>
        <v>0</v>
      </c>
      <c r="T465">
        <f t="shared" si="29"/>
        <v>0</v>
      </c>
      <c r="V465">
        <f t="shared" si="30"/>
        <v>1</v>
      </c>
      <c r="W465">
        <f t="shared" si="31"/>
        <v>1</v>
      </c>
    </row>
    <row r="466" spans="1:23" x14ac:dyDescent="0.2">
      <c r="A466">
        <v>461</v>
      </c>
      <c r="S466">
        <f t="shared" si="28"/>
        <v>0</v>
      </c>
      <c r="T466">
        <f t="shared" si="29"/>
        <v>0</v>
      </c>
      <c r="V466">
        <f t="shared" si="30"/>
        <v>1</v>
      </c>
      <c r="W466">
        <f t="shared" si="31"/>
        <v>1</v>
      </c>
    </row>
    <row r="467" spans="1:23" x14ac:dyDescent="0.2">
      <c r="A467">
        <v>462</v>
      </c>
      <c r="S467">
        <f t="shared" si="28"/>
        <v>0</v>
      </c>
      <c r="T467">
        <f t="shared" si="29"/>
        <v>0</v>
      </c>
      <c r="V467">
        <f t="shared" si="30"/>
        <v>1</v>
      </c>
      <c r="W467">
        <f t="shared" si="31"/>
        <v>1</v>
      </c>
    </row>
    <row r="468" spans="1:23" x14ac:dyDescent="0.2">
      <c r="A468">
        <v>463</v>
      </c>
      <c r="S468">
        <f t="shared" si="28"/>
        <v>0</v>
      </c>
      <c r="T468">
        <f t="shared" si="29"/>
        <v>0</v>
      </c>
      <c r="V468">
        <f t="shared" si="30"/>
        <v>1</v>
      </c>
      <c r="W468">
        <f t="shared" si="31"/>
        <v>1</v>
      </c>
    </row>
    <row r="469" spans="1:23" x14ac:dyDescent="0.2">
      <c r="A469">
        <v>464</v>
      </c>
      <c r="S469">
        <f t="shared" si="28"/>
        <v>0</v>
      </c>
      <c r="T469">
        <f t="shared" si="29"/>
        <v>0</v>
      </c>
      <c r="V469">
        <f t="shared" si="30"/>
        <v>1</v>
      </c>
      <c r="W469">
        <f t="shared" si="31"/>
        <v>1</v>
      </c>
    </row>
    <row r="470" spans="1:23" x14ac:dyDescent="0.2">
      <c r="A470">
        <v>465</v>
      </c>
      <c r="S470">
        <f t="shared" si="28"/>
        <v>0</v>
      </c>
      <c r="T470">
        <f t="shared" si="29"/>
        <v>0</v>
      </c>
      <c r="V470">
        <f t="shared" si="30"/>
        <v>1</v>
      </c>
      <c r="W470">
        <f t="shared" si="31"/>
        <v>1</v>
      </c>
    </row>
    <row r="471" spans="1:23" x14ac:dyDescent="0.2">
      <c r="A471">
        <v>466</v>
      </c>
      <c r="S471">
        <f t="shared" si="28"/>
        <v>0</v>
      </c>
      <c r="T471">
        <f t="shared" si="29"/>
        <v>0</v>
      </c>
      <c r="V471">
        <f t="shared" si="30"/>
        <v>1</v>
      </c>
      <c r="W471">
        <f t="shared" si="31"/>
        <v>1</v>
      </c>
    </row>
    <row r="472" spans="1:23" x14ac:dyDescent="0.2">
      <c r="A472">
        <v>467</v>
      </c>
      <c r="S472">
        <f t="shared" si="28"/>
        <v>0</v>
      </c>
      <c r="T472">
        <f t="shared" si="29"/>
        <v>0</v>
      </c>
      <c r="V472">
        <f t="shared" si="30"/>
        <v>1</v>
      </c>
      <c r="W472">
        <f t="shared" si="31"/>
        <v>1</v>
      </c>
    </row>
    <row r="473" spans="1:23" x14ac:dyDescent="0.2">
      <c r="A473">
        <v>468</v>
      </c>
      <c r="S473">
        <f t="shared" si="28"/>
        <v>0</v>
      </c>
      <c r="T473">
        <f t="shared" si="29"/>
        <v>0</v>
      </c>
      <c r="V473">
        <f t="shared" si="30"/>
        <v>1</v>
      </c>
      <c r="W473">
        <f t="shared" si="31"/>
        <v>1</v>
      </c>
    </row>
    <row r="474" spans="1:23" x14ac:dyDescent="0.2">
      <c r="A474">
        <v>469</v>
      </c>
      <c r="S474">
        <f t="shared" si="28"/>
        <v>0</v>
      </c>
      <c r="T474">
        <f t="shared" si="29"/>
        <v>0</v>
      </c>
      <c r="V474">
        <f t="shared" si="30"/>
        <v>1</v>
      </c>
      <c r="W474">
        <f t="shared" si="31"/>
        <v>1</v>
      </c>
    </row>
    <row r="475" spans="1:23" x14ac:dyDescent="0.2">
      <c r="A475">
        <v>470</v>
      </c>
      <c r="S475">
        <f t="shared" si="28"/>
        <v>0</v>
      </c>
      <c r="T475">
        <f t="shared" si="29"/>
        <v>0</v>
      </c>
      <c r="V475">
        <f t="shared" si="30"/>
        <v>1</v>
      </c>
      <c r="W475">
        <f t="shared" si="31"/>
        <v>1</v>
      </c>
    </row>
    <row r="476" spans="1:23" x14ac:dyDescent="0.2">
      <c r="A476">
        <v>471</v>
      </c>
      <c r="S476">
        <f t="shared" si="28"/>
        <v>0</v>
      </c>
      <c r="T476">
        <f t="shared" si="29"/>
        <v>0</v>
      </c>
      <c r="V476">
        <f t="shared" si="30"/>
        <v>1</v>
      </c>
      <c r="W476">
        <f t="shared" si="31"/>
        <v>1</v>
      </c>
    </row>
    <row r="477" spans="1:23" x14ac:dyDescent="0.2">
      <c r="A477">
        <v>472</v>
      </c>
      <c r="S477">
        <f t="shared" si="28"/>
        <v>0</v>
      </c>
      <c r="T477">
        <f t="shared" si="29"/>
        <v>0</v>
      </c>
      <c r="V477">
        <f t="shared" si="30"/>
        <v>1</v>
      </c>
      <c r="W477">
        <f t="shared" si="31"/>
        <v>1</v>
      </c>
    </row>
    <row r="478" spans="1:23" x14ac:dyDescent="0.2">
      <c r="A478">
        <v>473</v>
      </c>
      <c r="S478">
        <f t="shared" si="28"/>
        <v>0</v>
      </c>
      <c r="T478">
        <f t="shared" si="29"/>
        <v>0</v>
      </c>
      <c r="V478">
        <f t="shared" si="30"/>
        <v>1</v>
      </c>
      <c r="W478">
        <f t="shared" si="31"/>
        <v>1</v>
      </c>
    </row>
    <row r="479" spans="1:23" x14ac:dyDescent="0.2">
      <c r="A479">
        <v>474</v>
      </c>
      <c r="S479">
        <f t="shared" si="28"/>
        <v>0</v>
      </c>
      <c r="T479">
        <f t="shared" si="29"/>
        <v>0</v>
      </c>
      <c r="V479">
        <f t="shared" si="30"/>
        <v>1</v>
      </c>
      <c r="W479">
        <f t="shared" si="31"/>
        <v>1</v>
      </c>
    </row>
    <row r="480" spans="1:23" x14ac:dyDescent="0.2">
      <c r="A480">
        <v>475</v>
      </c>
      <c r="S480">
        <f t="shared" si="28"/>
        <v>0</v>
      </c>
      <c r="T480">
        <f t="shared" si="29"/>
        <v>0</v>
      </c>
      <c r="V480">
        <f t="shared" si="30"/>
        <v>1</v>
      </c>
      <c r="W480">
        <f t="shared" si="31"/>
        <v>1</v>
      </c>
    </row>
    <row r="481" spans="1:23" x14ac:dyDescent="0.2">
      <c r="A481">
        <v>476</v>
      </c>
      <c r="S481">
        <f t="shared" si="28"/>
        <v>0</v>
      </c>
      <c r="T481">
        <f t="shared" si="29"/>
        <v>0</v>
      </c>
      <c r="V481">
        <f t="shared" si="30"/>
        <v>1</v>
      </c>
      <c r="W481">
        <f t="shared" si="31"/>
        <v>1</v>
      </c>
    </row>
    <row r="482" spans="1:23" x14ac:dyDescent="0.2">
      <c r="A482">
        <v>477</v>
      </c>
      <c r="S482">
        <f t="shared" si="28"/>
        <v>0</v>
      </c>
      <c r="T482">
        <f t="shared" si="29"/>
        <v>0</v>
      </c>
      <c r="V482">
        <f t="shared" si="30"/>
        <v>1</v>
      </c>
      <c r="W482">
        <f t="shared" si="31"/>
        <v>1</v>
      </c>
    </row>
    <row r="483" spans="1:23" x14ac:dyDescent="0.2">
      <c r="A483">
        <v>478</v>
      </c>
      <c r="S483">
        <f t="shared" si="28"/>
        <v>0</v>
      </c>
      <c r="T483">
        <f t="shared" si="29"/>
        <v>0</v>
      </c>
      <c r="V483">
        <f t="shared" si="30"/>
        <v>1</v>
      </c>
      <c r="W483">
        <f t="shared" si="31"/>
        <v>1</v>
      </c>
    </row>
    <row r="484" spans="1:23" x14ac:dyDescent="0.2">
      <c r="A484">
        <v>479</v>
      </c>
      <c r="S484">
        <f t="shared" si="28"/>
        <v>0</v>
      </c>
      <c r="T484">
        <f t="shared" si="29"/>
        <v>0</v>
      </c>
      <c r="V484">
        <f t="shared" si="30"/>
        <v>1</v>
      </c>
      <c r="W484">
        <f t="shared" si="31"/>
        <v>1</v>
      </c>
    </row>
    <row r="485" spans="1:23" x14ac:dyDescent="0.2">
      <c r="A485">
        <v>480</v>
      </c>
      <c r="S485">
        <f t="shared" si="28"/>
        <v>0</v>
      </c>
      <c r="T485">
        <f t="shared" si="29"/>
        <v>0</v>
      </c>
      <c r="V485">
        <f t="shared" si="30"/>
        <v>1</v>
      </c>
      <c r="W485">
        <f t="shared" si="31"/>
        <v>1</v>
      </c>
    </row>
    <row r="486" spans="1:23" x14ac:dyDescent="0.2">
      <c r="A486">
        <v>481</v>
      </c>
      <c r="S486">
        <f t="shared" si="28"/>
        <v>0</v>
      </c>
      <c r="T486">
        <f t="shared" si="29"/>
        <v>0</v>
      </c>
      <c r="V486">
        <f t="shared" si="30"/>
        <v>1</v>
      </c>
      <c r="W486">
        <f t="shared" si="31"/>
        <v>1</v>
      </c>
    </row>
    <row r="487" spans="1:23" x14ac:dyDescent="0.2">
      <c r="A487">
        <v>482</v>
      </c>
      <c r="S487">
        <f t="shared" si="28"/>
        <v>0</v>
      </c>
      <c r="T487">
        <f t="shared" si="29"/>
        <v>0</v>
      </c>
      <c r="V487">
        <f t="shared" si="30"/>
        <v>1</v>
      </c>
      <c r="W487">
        <f t="shared" si="31"/>
        <v>1</v>
      </c>
    </row>
    <row r="488" spans="1:23" x14ac:dyDescent="0.2">
      <c r="A488">
        <v>483</v>
      </c>
      <c r="S488">
        <f t="shared" si="28"/>
        <v>0</v>
      </c>
      <c r="T488">
        <f t="shared" si="29"/>
        <v>0</v>
      </c>
      <c r="V488">
        <f t="shared" si="30"/>
        <v>1</v>
      </c>
      <c r="W488">
        <f t="shared" si="31"/>
        <v>1</v>
      </c>
    </row>
    <row r="489" spans="1:23" x14ac:dyDescent="0.2">
      <c r="A489">
        <v>484</v>
      </c>
      <c r="S489">
        <f t="shared" si="28"/>
        <v>0</v>
      </c>
      <c r="T489">
        <f t="shared" si="29"/>
        <v>0</v>
      </c>
      <c r="V489">
        <f t="shared" si="30"/>
        <v>1</v>
      </c>
      <c r="W489">
        <f t="shared" si="31"/>
        <v>1</v>
      </c>
    </row>
    <row r="490" spans="1:23" x14ac:dyDescent="0.2">
      <c r="A490">
        <v>485</v>
      </c>
      <c r="S490">
        <f t="shared" si="28"/>
        <v>0</v>
      </c>
      <c r="T490">
        <f t="shared" si="29"/>
        <v>0</v>
      </c>
      <c r="V490">
        <f t="shared" si="30"/>
        <v>1</v>
      </c>
      <c r="W490">
        <f t="shared" si="31"/>
        <v>1</v>
      </c>
    </row>
    <row r="491" spans="1:23" x14ac:dyDescent="0.2">
      <c r="A491">
        <v>486</v>
      </c>
      <c r="S491">
        <f t="shared" si="28"/>
        <v>0</v>
      </c>
      <c r="T491">
        <f t="shared" si="29"/>
        <v>0</v>
      </c>
      <c r="V491">
        <f t="shared" si="30"/>
        <v>1</v>
      </c>
      <c r="W491">
        <f t="shared" si="31"/>
        <v>1</v>
      </c>
    </row>
    <row r="492" spans="1:23" x14ac:dyDescent="0.2">
      <c r="A492">
        <v>487</v>
      </c>
      <c r="S492">
        <f t="shared" si="28"/>
        <v>0</v>
      </c>
      <c r="T492">
        <f t="shared" si="29"/>
        <v>0</v>
      </c>
      <c r="V492">
        <f t="shared" si="30"/>
        <v>1</v>
      </c>
      <c r="W492">
        <f t="shared" si="31"/>
        <v>1</v>
      </c>
    </row>
    <row r="493" spans="1:23" x14ac:dyDescent="0.2">
      <c r="A493">
        <v>488</v>
      </c>
      <c r="S493">
        <f t="shared" si="28"/>
        <v>0</v>
      </c>
      <c r="T493">
        <f t="shared" si="29"/>
        <v>0</v>
      </c>
      <c r="V493">
        <f t="shared" si="30"/>
        <v>1</v>
      </c>
      <c r="W493">
        <f t="shared" si="31"/>
        <v>1</v>
      </c>
    </row>
    <row r="494" spans="1:23" x14ac:dyDescent="0.2">
      <c r="A494">
        <v>489</v>
      </c>
      <c r="S494">
        <f t="shared" si="28"/>
        <v>0</v>
      </c>
      <c r="T494">
        <f t="shared" si="29"/>
        <v>0</v>
      </c>
      <c r="V494">
        <f t="shared" si="30"/>
        <v>1</v>
      </c>
      <c r="W494">
        <f t="shared" si="31"/>
        <v>1</v>
      </c>
    </row>
    <row r="495" spans="1:23" x14ac:dyDescent="0.2">
      <c r="A495">
        <v>490</v>
      </c>
      <c r="S495">
        <f t="shared" si="28"/>
        <v>0</v>
      </c>
      <c r="T495">
        <f t="shared" si="29"/>
        <v>0</v>
      </c>
      <c r="V495">
        <f t="shared" si="30"/>
        <v>1</v>
      </c>
      <c r="W495">
        <f t="shared" si="31"/>
        <v>1</v>
      </c>
    </row>
    <row r="496" spans="1:23" x14ac:dyDescent="0.2">
      <c r="A496">
        <v>491</v>
      </c>
      <c r="S496">
        <f t="shared" si="28"/>
        <v>0</v>
      </c>
      <c r="T496">
        <f t="shared" si="29"/>
        <v>0</v>
      </c>
      <c r="V496">
        <f t="shared" si="30"/>
        <v>1</v>
      </c>
      <c r="W496">
        <f t="shared" si="31"/>
        <v>1</v>
      </c>
    </row>
    <row r="497" spans="1:23" x14ac:dyDescent="0.2">
      <c r="A497">
        <v>492</v>
      </c>
      <c r="S497">
        <f t="shared" si="28"/>
        <v>0</v>
      </c>
      <c r="T497">
        <f t="shared" si="29"/>
        <v>0</v>
      </c>
      <c r="V497">
        <f t="shared" si="30"/>
        <v>1</v>
      </c>
      <c r="W497">
        <f t="shared" si="31"/>
        <v>1</v>
      </c>
    </row>
    <row r="498" spans="1:23" x14ac:dyDescent="0.2">
      <c r="A498">
        <v>493</v>
      </c>
      <c r="S498">
        <f t="shared" si="28"/>
        <v>0</v>
      </c>
      <c r="T498">
        <f t="shared" si="29"/>
        <v>0</v>
      </c>
      <c r="V498">
        <f t="shared" si="30"/>
        <v>1</v>
      </c>
      <c r="W498">
        <f t="shared" si="31"/>
        <v>1</v>
      </c>
    </row>
    <row r="499" spans="1:23" x14ac:dyDescent="0.2">
      <c r="A499">
        <v>494</v>
      </c>
      <c r="S499">
        <f t="shared" si="28"/>
        <v>0</v>
      </c>
      <c r="T499">
        <f t="shared" si="29"/>
        <v>0</v>
      </c>
      <c r="V499">
        <f t="shared" si="30"/>
        <v>1</v>
      </c>
      <c r="W499">
        <f t="shared" si="31"/>
        <v>1</v>
      </c>
    </row>
    <row r="500" spans="1:23" x14ac:dyDescent="0.2">
      <c r="A500">
        <v>495</v>
      </c>
      <c r="S500">
        <f t="shared" si="28"/>
        <v>0</v>
      </c>
      <c r="T500">
        <f t="shared" si="29"/>
        <v>0</v>
      </c>
      <c r="V500">
        <f t="shared" si="30"/>
        <v>1</v>
      </c>
      <c r="W500">
        <f t="shared" si="31"/>
        <v>1</v>
      </c>
    </row>
    <row r="501" spans="1:23" x14ac:dyDescent="0.2">
      <c r="A501">
        <v>496</v>
      </c>
      <c r="S501">
        <f t="shared" si="28"/>
        <v>0</v>
      </c>
      <c r="T501">
        <f t="shared" si="29"/>
        <v>0</v>
      </c>
      <c r="V501">
        <f t="shared" si="30"/>
        <v>1</v>
      </c>
      <c r="W501">
        <f t="shared" si="31"/>
        <v>1</v>
      </c>
    </row>
    <row r="502" spans="1:23" x14ac:dyDescent="0.2">
      <c r="A502">
        <v>497</v>
      </c>
      <c r="S502">
        <f t="shared" si="28"/>
        <v>0</v>
      </c>
      <c r="T502">
        <f t="shared" si="29"/>
        <v>0</v>
      </c>
      <c r="V502">
        <f t="shared" si="30"/>
        <v>1</v>
      </c>
      <c r="W502">
        <f t="shared" si="31"/>
        <v>1</v>
      </c>
    </row>
    <row r="503" spans="1:23" x14ac:dyDescent="0.2">
      <c r="A503">
        <v>498</v>
      </c>
      <c r="S503">
        <f t="shared" si="28"/>
        <v>0</v>
      </c>
      <c r="T503">
        <f t="shared" si="29"/>
        <v>0</v>
      </c>
      <c r="V503">
        <f t="shared" si="30"/>
        <v>1</v>
      </c>
      <c r="W503">
        <f t="shared" si="31"/>
        <v>1</v>
      </c>
    </row>
    <row r="504" spans="1:23" x14ac:dyDescent="0.2">
      <c r="A504">
        <v>499</v>
      </c>
      <c r="S504">
        <f t="shared" si="28"/>
        <v>0</v>
      </c>
      <c r="T504">
        <f t="shared" si="29"/>
        <v>0</v>
      </c>
      <c r="V504">
        <f t="shared" si="30"/>
        <v>1</v>
      </c>
      <c r="W504">
        <f t="shared" si="31"/>
        <v>1</v>
      </c>
    </row>
    <row r="505" spans="1:23" x14ac:dyDescent="0.2">
      <c r="A505">
        <v>500</v>
      </c>
      <c r="S505">
        <f t="shared" si="28"/>
        <v>0</v>
      </c>
      <c r="T505">
        <f t="shared" si="29"/>
        <v>0</v>
      </c>
      <c r="V505">
        <f t="shared" si="30"/>
        <v>1</v>
      </c>
      <c r="W505">
        <f t="shared" si="31"/>
        <v>1</v>
      </c>
    </row>
    <row r="506" spans="1:23" x14ac:dyDescent="0.2">
      <c r="A506">
        <v>501</v>
      </c>
      <c r="S506">
        <f t="shared" si="28"/>
        <v>0</v>
      </c>
      <c r="T506">
        <f t="shared" si="29"/>
        <v>0</v>
      </c>
      <c r="V506">
        <f t="shared" si="30"/>
        <v>1</v>
      </c>
      <c r="W506">
        <f t="shared" si="31"/>
        <v>1</v>
      </c>
    </row>
    <row r="507" spans="1:23" x14ac:dyDescent="0.2">
      <c r="A507">
        <v>502</v>
      </c>
      <c r="S507">
        <f t="shared" si="28"/>
        <v>0</v>
      </c>
      <c r="T507">
        <f t="shared" si="29"/>
        <v>0</v>
      </c>
      <c r="V507">
        <f t="shared" si="30"/>
        <v>1</v>
      </c>
      <c r="W507">
        <f t="shared" si="31"/>
        <v>1</v>
      </c>
    </row>
    <row r="508" spans="1:23" x14ac:dyDescent="0.2">
      <c r="A508">
        <v>503</v>
      </c>
      <c r="S508">
        <f t="shared" si="28"/>
        <v>0</v>
      </c>
      <c r="T508">
        <f t="shared" si="29"/>
        <v>0</v>
      </c>
      <c r="V508">
        <f t="shared" si="30"/>
        <v>1</v>
      </c>
      <c r="W508">
        <f t="shared" si="31"/>
        <v>1</v>
      </c>
    </row>
    <row r="509" spans="1:23" x14ac:dyDescent="0.2">
      <c r="A509">
        <v>504</v>
      </c>
      <c r="S509">
        <f t="shared" si="28"/>
        <v>0</v>
      </c>
      <c r="T509">
        <f t="shared" si="29"/>
        <v>0</v>
      </c>
      <c r="V509">
        <f t="shared" si="30"/>
        <v>1</v>
      </c>
      <c r="W509">
        <f t="shared" si="31"/>
        <v>1</v>
      </c>
    </row>
    <row r="510" spans="1:23" x14ac:dyDescent="0.2">
      <c r="A510">
        <v>505</v>
      </c>
      <c r="S510">
        <f t="shared" si="28"/>
        <v>0</v>
      </c>
      <c r="T510">
        <f t="shared" si="29"/>
        <v>0</v>
      </c>
      <c r="V510">
        <f t="shared" si="30"/>
        <v>1</v>
      </c>
      <c r="W510">
        <f t="shared" si="31"/>
        <v>1</v>
      </c>
    </row>
    <row r="511" spans="1:23" x14ac:dyDescent="0.2">
      <c r="A511">
        <v>506</v>
      </c>
      <c r="S511">
        <f t="shared" si="28"/>
        <v>0</v>
      </c>
      <c r="T511">
        <f t="shared" si="29"/>
        <v>0</v>
      </c>
      <c r="V511">
        <f t="shared" si="30"/>
        <v>1</v>
      </c>
      <c r="W511">
        <f t="shared" si="31"/>
        <v>1</v>
      </c>
    </row>
    <row r="512" spans="1:23" x14ac:dyDescent="0.2">
      <c r="A512">
        <v>507</v>
      </c>
      <c r="S512">
        <f t="shared" si="28"/>
        <v>0</v>
      </c>
      <c r="T512">
        <f t="shared" si="29"/>
        <v>0</v>
      </c>
      <c r="V512">
        <f t="shared" si="30"/>
        <v>1</v>
      </c>
      <c r="W512">
        <f t="shared" si="31"/>
        <v>1</v>
      </c>
    </row>
    <row r="513" spans="1:23" x14ac:dyDescent="0.2">
      <c r="A513">
        <v>508</v>
      </c>
      <c r="S513">
        <f t="shared" si="28"/>
        <v>0</v>
      </c>
      <c r="T513">
        <f t="shared" si="29"/>
        <v>0</v>
      </c>
      <c r="V513">
        <f t="shared" si="30"/>
        <v>1</v>
      </c>
      <c r="W513">
        <f t="shared" si="31"/>
        <v>1</v>
      </c>
    </row>
    <row r="514" spans="1:23" x14ac:dyDescent="0.2">
      <c r="A514">
        <v>509</v>
      </c>
      <c r="S514">
        <f t="shared" si="28"/>
        <v>0</v>
      </c>
      <c r="T514">
        <f t="shared" si="29"/>
        <v>0</v>
      </c>
      <c r="V514">
        <f t="shared" si="30"/>
        <v>1</v>
      </c>
      <c r="W514">
        <f t="shared" si="31"/>
        <v>1</v>
      </c>
    </row>
    <row r="515" spans="1:23" x14ac:dyDescent="0.2">
      <c r="A515">
        <v>510</v>
      </c>
      <c r="S515">
        <f t="shared" si="28"/>
        <v>0</v>
      </c>
      <c r="T515">
        <f t="shared" si="29"/>
        <v>0</v>
      </c>
      <c r="V515">
        <f t="shared" si="30"/>
        <v>1</v>
      </c>
      <c r="W515">
        <f t="shared" si="31"/>
        <v>1</v>
      </c>
    </row>
    <row r="516" spans="1:23" x14ac:dyDescent="0.2">
      <c r="A516">
        <v>511</v>
      </c>
      <c r="S516">
        <f t="shared" si="28"/>
        <v>0</v>
      </c>
      <c r="T516">
        <f t="shared" si="29"/>
        <v>0</v>
      </c>
      <c r="V516">
        <f t="shared" si="30"/>
        <v>1</v>
      </c>
      <c r="W516">
        <f t="shared" si="31"/>
        <v>1</v>
      </c>
    </row>
    <row r="517" spans="1:23" x14ac:dyDescent="0.2">
      <c r="A517">
        <v>512</v>
      </c>
      <c r="S517">
        <f t="shared" si="28"/>
        <v>0</v>
      </c>
      <c r="T517">
        <f t="shared" si="29"/>
        <v>0</v>
      </c>
      <c r="V517">
        <f t="shared" si="30"/>
        <v>1</v>
      </c>
      <c r="W517">
        <f t="shared" si="31"/>
        <v>1</v>
      </c>
    </row>
    <row r="518" spans="1:23" x14ac:dyDescent="0.2">
      <c r="A518">
        <v>513</v>
      </c>
      <c r="S518">
        <f t="shared" ref="S518:S581" si="32">$T$1*N518-L518</f>
        <v>0</v>
      </c>
      <c r="T518">
        <f t="shared" ref="T518:T581" si="33">$T$1*Q518-O518</f>
        <v>0</v>
      </c>
      <c r="V518">
        <f t="shared" ref="V518:V581" si="34">IF(S518=MAX($S518:$T518),1,0)</f>
        <v>1</v>
      </c>
      <c r="W518">
        <f t="shared" ref="W518:W581" si="35">IF(T518=MAX($S518:$T518),1,0)</f>
        <v>1</v>
      </c>
    </row>
    <row r="519" spans="1:23" x14ac:dyDescent="0.2">
      <c r="A519">
        <v>514</v>
      </c>
      <c r="S519">
        <f t="shared" si="32"/>
        <v>0</v>
      </c>
      <c r="T519">
        <f t="shared" si="33"/>
        <v>0</v>
      </c>
      <c r="V519">
        <f t="shared" si="34"/>
        <v>1</v>
      </c>
      <c r="W519">
        <f t="shared" si="35"/>
        <v>1</v>
      </c>
    </row>
    <row r="520" spans="1:23" x14ac:dyDescent="0.2">
      <c r="A520">
        <v>515</v>
      </c>
      <c r="S520">
        <f t="shared" si="32"/>
        <v>0</v>
      </c>
      <c r="T520">
        <f t="shared" si="33"/>
        <v>0</v>
      </c>
      <c r="V520">
        <f t="shared" si="34"/>
        <v>1</v>
      </c>
      <c r="W520">
        <f t="shared" si="35"/>
        <v>1</v>
      </c>
    </row>
    <row r="521" spans="1:23" x14ac:dyDescent="0.2">
      <c r="A521">
        <v>516</v>
      </c>
      <c r="S521">
        <f t="shared" si="32"/>
        <v>0</v>
      </c>
      <c r="T521">
        <f t="shared" si="33"/>
        <v>0</v>
      </c>
      <c r="V521">
        <f t="shared" si="34"/>
        <v>1</v>
      </c>
      <c r="W521">
        <f t="shared" si="35"/>
        <v>1</v>
      </c>
    </row>
    <row r="522" spans="1:23" x14ac:dyDescent="0.2">
      <c r="A522">
        <v>517</v>
      </c>
      <c r="S522">
        <f t="shared" si="32"/>
        <v>0</v>
      </c>
      <c r="T522">
        <f t="shared" si="33"/>
        <v>0</v>
      </c>
      <c r="V522">
        <f t="shared" si="34"/>
        <v>1</v>
      </c>
      <c r="W522">
        <f t="shared" si="35"/>
        <v>1</v>
      </c>
    </row>
    <row r="523" spans="1:23" x14ac:dyDescent="0.2">
      <c r="A523">
        <v>518</v>
      </c>
      <c r="S523">
        <f t="shared" si="32"/>
        <v>0</v>
      </c>
      <c r="T523">
        <f t="shared" si="33"/>
        <v>0</v>
      </c>
      <c r="V523">
        <f t="shared" si="34"/>
        <v>1</v>
      </c>
      <c r="W523">
        <f t="shared" si="35"/>
        <v>1</v>
      </c>
    </row>
    <row r="524" spans="1:23" x14ac:dyDescent="0.2">
      <c r="A524">
        <v>519</v>
      </c>
      <c r="S524">
        <f t="shared" si="32"/>
        <v>0</v>
      </c>
      <c r="T524">
        <f t="shared" si="33"/>
        <v>0</v>
      </c>
      <c r="V524">
        <f t="shared" si="34"/>
        <v>1</v>
      </c>
      <c r="W524">
        <f t="shared" si="35"/>
        <v>1</v>
      </c>
    </row>
    <row r="525" spans="1:23" x14ac:dyDescent="0.2">
      <c r="A525">
        <v>520</v>
      </c>
      <c r="S525">
        <f t="shared" si="32"/>
        <v>0</v>
      </c>
      <c r="T525">
        <f t="shared" si="33"/>
        <v>0</v>
      </c>
      <c r="V525">
        <f t="shared" si="34"/>
        <v>1</v>
      </c>
      <c r="W525">
        <f t="shared" si="35"/>
        <v>1</v>
      </c>
    </row>
    <row r="526" spans="1:23" x14ac:dyDescent="0.2">
      <c r="A526">
        <v>521</v>
      </c>
      <c r="S526">
        <f t="shared" si="32"/>
        <v>0</v>
      </c>
      <c r="T526">
        <f t="shared" si="33"/>
        <v>0</v>
      </c>
      <c r="V526">
        <f t="shared" si="34"/>
        <v>1</v>
      </c>
      <c r="W526">
        <f t="shared" si="35"/>
        <v>1</v>
      </c>
    </row>
    <row r="527" spans="1:23" x14ac:dyDescent="0.2">
      <c r="A527">
        <v>522</v>
      </c>
      <c r="S527">
        <f t="shared" si="32"/>
        <v>0</v>
      </c>
      <c r="T527">
        <f t="shared" si="33"/>
        <v>0</v>
      </c>
      <c r="V527">
        <f t="shared" si="34"/>
        <v>1</v>
      </c>
      <c r="W527">
        <f t="shared" si="35"/>
        <v>1</v>
      </c>
    </row>
    <row r="528" spans="1:23" x14ac:dyDescent="0.2">
      <c r="A528">
        <v>523</v>
      </c>
      <c r="S528">
        <f t="shared" si="32"/>
        <v>0</v>
      </c>
      <c r="T528">
        <f t="shared" si="33"/>
        <v>0</v>
      </c>
      <c r="V528">
        <f t="shared" si="34"/>
        <v>1</v>
      </c>
      <c r="W528">
        <f t="shared" si="35"/>
        <v>1</v>
      </c>
    </row>
    <row r="529" spans="1:23" x14ac:dyDescent="0.2">
      <c r="A529">
        <v>524</v>
      </c>
      <c r="S529">
        <f t="shared" si="32"/>
        <v>0</v>
      </c>
      <c r="T529">
        <f t="shared" si="33"/>
        <v>0</v>
      </c>
      <c r="V529">
        <f t="shared" si="34"/>
        <v>1</v>
      </c>
      <c r="W529">
        <f t="shared" si="35"/>
        <v>1</v>
      </c>
    </row>
    <row r="530" spans="1:23" x14ac:dyDescent="0.2">
      <c r="A530">
        <v>525</v>
      </c>
      <c r="S530">
        <f t="shared" si="32"/>
        <v>0</v>
      </c>
      <c r="T530">
        <f t="shared" si="33"/>
        <v>0</v>
      </c>
      <c r="V530">
        <f t="shared" si="34"/>
        <v>1</v>
      </c>
      <c r="W530">
        <f t="shared" si="35"/>
        <v>1</v>
      </c>
    </row>
    <row r="531" spans="1:23" x14ac:dyDescent="0.2">
      <c r="A531">
        <v>526</v>
      </c>
      <c r="S531">
        <f t="shared" si="32"/>
        <v>0</v>
      </c>
      <c r="T531">
        <f t="shared" si="33"/>
        <v>0</v>
      </c>
      <c r="V531">
        <f t="shared" si="34"/>
        <v>1</v>
      </c>
      <c r="W531">
        <f t="shared" si="35"/>
        <v>1</v>
      </c>
    </row>
    <row r="532" spans="1:23" x14ac:dyDescent="0.2">
      <c r="A532">
        <v>527</v>
      </c>
      <c r="S532">
        <f t="shared" si="32"/>
        <v>0</v>
      </c>
      <c r="T532">
        <f t="shared" si="33"/>
        <v>0</v>
      </c>
      <c r="V532">
        <f t="shared" si="34"/>
        <v>1</v>
      </c>
      <c r="W532">
        <f t="shared" si="35"/>
        <v>1</v>
      </c>
    </row>
    <row r="533" spans="1:23" x14ac:dyDescent="0.2">
      <c r="A533">
        <v>528</v>
      </c>
      <c r="S533">
        <f t="shared" si="32"/>
        <v>0</v>
      </c>
      <c r="T533">
        <f t="shared" si="33"/>
        <v>0</v>
      </c>
      <c r="V533">
        <f t="shared" si="34"/>
        <v>1</v>
      </c>
      <c r="W533">
        <f t="shared" si="35"/>
        <v>1</v>
      </c>
    </row>
    <row r="534" spans="1:23" x14ac:dyDescent="0.2">
      <c r="A534">
        <v>529</v>
      </c>
      <c r="S534">
        <f t="shared" si="32"/>
        <v>0</v>
      </c>
      <c r="T534">
        <f t="shared" si="33"/>
        <v>0</v>
      </c>
      <c r="V534">
        <f t="shared" si="34"/>
        <v>1</v>
      </c>
      <c r="W534">
        <f t="shared" si="35"/>
        <v>1</v>
      </c>
    </row>
    <row r="535" spans="1:23" x14ac:dyDescent="0.2">
      <c r="A535">
        <v>530</v>
      </c>
      <c r="S535">
        <f t="shared" si="32"/>
        <v>0</v>
      </c>
      <c r="T535">
        <f t="shared" si="33"/>
        <v>0</v>
      </c>
      <c r="V535">
        <f t="shared" si="34"/>
        <v>1</v>
      </c>
      <c r="W535">
        <f t="shared" si="35"/>
        <v>1</v>
      </c>
    </row>
    <row r="536" spans="1:23" x14ac:dyDescent="0.2">
      <c r="A536">
        <v>531</v>
      </c>
      <c r="S536">
        <f t="shared" si="32"/>
        <v>0</v>
      </c>
      <c r="T536">
        <f t="shared" si="33"/>
        <v>0</v>
      </c>
      <c r="V536">
        <f t="shared" si="34"/>
        <v>1</v>
      </c>
      <c r="W536">
        <f t="shared" si="35"/>
        <v>1</v>
      </c>
    </row>
    <row r="537" spans="1:23" x14ac:dyDescent="0.2">
      <c r="A537">
        <v>532</v>
      </c>
      <c r="S537">
        <f t="shared" si="32"/>
        <v>0</v>
      </c>
      <c r="T537">
        <f t="shared" si="33"/>
        <v>0</v>
      </c>
      <c r="V537">
        <f t="shared" si="34"/>
        <v>1</v>
      </c>
      <c r="W537">
        <f t="shared" si="35"/>
        <v>1</v>
      </c>
    </row>
    <row r="538" spans="1:23" x14ac:dyDescent="0.2">
      <c r="A538">
        <v>533</v>
      </c>
      <c r="S538">
        <f t="shared" si="32"/>
        <v>0</v>
      </c>
      <c r="T538">
        <f t="shared" si="33"/>
        <v>0</v>
      </c>
      <c r="V538">
        <f t="shared" si="34"/>
        <v>1</v>
      </c>
      <c r="W538">
        <f t="shared" si="35"/>
        <v>1</v>
      </c>
    </row>
    <row r="539" spans="1:23" x14ac:dyDescent="0.2">
      <c r="A539">
        <v>534</v>
      </c>
      <c r="S539">
        <f t="shared" si="32"/>
        <v>0</v>
      </c>
      <c r="T539">
        <f t="shared" si="33"/>
        <v>0</v>
      </c>
      <c r="V539">
        <f t="shared" si="34"/>
        <v>1</v>
      </c>
      <c r="W539">
        <f t="shared" si="35"/>
        <v>1</v>
      </c>
    </row>
    <row r="540" spans="1:23" x14ac:dyDescent="0.2">
      <c r="A540">
        <v>535</v>
      </c>
      <c r="S540">
        <f t="shared" si="32"/>
        <v>0</v>
      </c>
      <c r="T540">
        <f t="shared" si="33"/>
        <v>0</v>
      </c>
      <c r="V540">
        <f t="shared" si="34"/>
        <v>1</v>
      </c>
      <c r="W540">
        <f t="shared" si="35"/>
        <v>1</v>
      </c>
    </row>
    <row r="541" spans="1:23" x14ac:dyDescent="0.2">
      <c r="A541">
        <v>536</v>
      </c>
      <c r="S541">
        <f t="shared" si="32"/>
        <v>0</v>
      </c>
      <c r="T541">
        <f t="shared" si="33"/>
        <v>0</v>
      </c>
      <c r="V541">
        <f t="shared" si="34"/>
        <v>1</v>
      </c>
      <c r="W541">
        <f t="shared" si="35"/>
        <v>1</v>
      </c>
    </row>
    <row r="542" spans="1:23" x14ac:dyDescent="0.2">
      <c r="A542">
        <v>537</v>
      </c>
      <c r="S542">
        <f t="shared" si="32"/>
        <v>0</v>
      </c>
      <c r="T542">
        <f t="shared" si="33"/>
        <v>0</v>
      </c>
      <c r="V542">
        <f t="shared" si="34"/>
        <v>1</v>
      </c>
      <c r="W542">
        <f t="shared" si="35"/>
        <v>1</v>
      </c>
    </row>
    <row r="543" spans="1:23" x14ac:dyDescent="0.2">
      <c r="A543">
        <v>538</v>
      </c>
      <c r="S543">
        <f t="shared" si="32"/>
        <v>0</v>
      </c>
      <c r="T543">
        <f t="shared" si="33"/>
        <v>0</v>
      </c>
      <c r="V543">
        <f t="shared" si="34"/>
        <v>1</v>
      </c>
      <c r="W543">
        <f t="shared" si="35"/>
        <v>1</v>
      </c>
    </row>
    <row r="544" spans="1:23" x14ac:dyDescent="0.2">
      <c r="A544">
        <v>539</v>
      </c>
      <c r="S544">
        <f t="shared" si="32"/>
        <v>0</v>
      </c>
      <c r="T544">
        <f t="shared" si="33"/>
        <v>0</v>
      </c>
      <c r="V544">
        <f t="shared" si="34"/>
        <v>1</v>
      </c>
      <c r="W544">
        <f t="shared" si="35"/>
        <v>1</v>
      </c>
    </row>
    <row r="545" spans="1:23" x14ac:dyDescent="0.2">
      <c r="A545">
        <v>540</v>
      </c>
      <c r="S545">
        <f t="shared" si="32"/>
        <v>0</v>
      </c>
      <c r="T545">
        <f t="shared" si="33"/>
        <v>0</v>
      </c>
      <c r="V545">
        <f t="shared" si="34"/>
        <v>1</v>
      </c>
      <c r="W545">
        <f t="shared" si="35"/>
        <v>1</v>
      </c>
    </row>
    <row r="546" spans="1:23" x14ac:dyDescent="0.2">
      <c r="A546">
        <v>541</v>
      </c>
      <c r="S546">
        <f t="shared" si="32"/>
        <v>0</v>
      </c>
      <c r="T546">
        <f t="shared" si="33"/>
        <v>0</v>
      </c>
      <c r="V546">
        <f t="shared" si="34"/>
        <v>1</v>
      </c>
      <c r="W546">
        <f t="shared" si="35"/>
        <v>1</v>
      </c>
    </row>
    <row r="547" spans="1:23" x14ac:dyDescent="0.2">
      <c r="A547">
        <v>542</v>
      </c>
      <c r="S547">
        <f t="shared" si="32"/>
        <v>0</v>
      </c>
      <c r="T547">
        <f t="shared" si="33"/>
        <v>0</v>
      </c>
      <c r="V547">
        <f t="shared" si="34"/>
        <v>1</v>
      </c>
      <c r="W547">
        <f t="shared" si="35"/>
        <v>1</v>
      </c>
    </row>
    <row r="548" spans="1:23" x14ac:dyDescent="0.2">
      <c r="A548">
        <v>543</v>
      </c>
      <c r="S548">
        <f t="shared" si="32"/>
        <v>0</v>
      </c>
      <c r="T548">
        <f t="shared" si="33"/>
        <v>0</v>
      </c>
      <c r="V548">
        <f t="shared" si="34"/>
        <v>1</v>
      </c>
      <c r="W548">
        <f t="shared" si="35"/>
        <v>1</v>
      </c>
    </row>
    <row r="549" spans="1:23" x14ac:dyDescent="0.2">
      <c r="A549">
        <v>544</v>
      </c>
      <c r="S549">
        <f t="shared" si="32"/>
        <v>0</v>
      </c>
      <c r="T549">
        <f t="shared" si="33"/>
        <v>0</v>
      </c>
      <c r="V549">
        <f t="shared" si="34"/>
        <v>1</v>
      </c>
      <c r="W549">
        <f t="shared" si="35"/>
        <v>1</v>
      </c>
    </row>
    <row r="550" spans="1:23" x14ac:dyDescent="0.2">
      <c r="A550">
        <v>545</v>
      </c>
      <c r="S550">
        <f t="shared" si="32"/>
        <v>0</v>
      </c>
      <c r="T550">
        <f t="shared" si="33"/>
        <v>0</v>
      </c>
      <c r="V550">
        <f t="shared" si="34"/>
        <v>1</v>
      </c>
      <c r="W550">
        <f t="shared" si="35"/>
        <v>1</v>
      </c>
    </row>
    <row r="551" spans="1:23" x14ac:dyDescent="0.2">
      <c r="A551">
        <v>546</v>
      </c>
      <c r="S551">
        <f t="shared" si="32"/>
        <v>0</v>
      </c>
      <c r="T551">
        <f t="shared" si="33"/>
        <v>0</v>
      </c>
      <c r="V551">
        <f t="shared" si="34"/>
        <v>1</v>
      </c>
      <c r="W551">
        <f t="shared" si="35"/>
        <v>1</v>
      </c>
    </row>
    <row r="552" spans="1:23" x14ac:dyDescent="0.2">
      <c r="A552">
        <v>547</v>
      </c>
      <c r="S552">
        <f t="shared" si="32"/>
        <v>0</v>
      </c>
      <c r="T552">
        <f t="shared" si="33"/>
        <v>0</v>
      </c>
      <c r="V552">
        <f t="shared" si="34"/>
        <v>1</v>
      </c>
      <c r="W552">
        <f t="shared" si="35"/>
        <v>1</v>
      </c>
    </row>
    <row r="553" spans="1:23" x14ac:dyDescent="0.2">
      <c r="A553">
        <v>548</v>
      </c>
      <c r="S553">
        <f t="shared" si="32"/>
        <v>0</v>
      </c>
      <c r="T553">
        <f t="shared" si="33"/>
        <v>0</v>
      </c>
      <c r="V553">
        <f t="shared" si="34"/>
        <v>1</v>
      </c>
      <c r="W553">
        <f t="shared" si="35"/>
        <v>1</v>
      </c>
    </row>
    <row r="554" spans="1:23" x14ac:dyDescent="0.2">
      <c r="A554">
        <v>549</v>
      </c>
      <c r="S554">
        <f t="shared" si="32"/>
        <v>0</v>
      </c>
      <c r="T554">
        <f t="shared" si="33"/>
        <v>0</v>
      </c>
      <c r="V554">
        <f t="shared" si="34"/>
        <v>1</v>
      </c>
      <c r="W554">
        <f t="shared" si="35"/>
        <v>1</v>
      </c>
    </row>
    <row r="555" spans="1:23" x14ac:dyDescent="0.2">
      <c r="A555">
        <v>550</v>
      </c>
      <c r="S555">
        <f t="shared" si="32"/>
        <v>0</v>
      </c>
      <c r="T555">
        <f t="shared" si="33"/>
        <v>0</v>
      </c>
      <c r="V555">
        <f t="shared" si="34"/>
        <v>1</v>
      </c>
      <c r="W555">
        <f t="shared" si="35"/>
        <v>1</v>
      </c>
    </row>
    <row r="556" spans="1:23" x14ac:dyDescent="0.2">
      <c r="A556">
        <v>551</v>
      </c>
      <c r="S556">
        <f t="shared" si="32"/>
        <v>0</v>
      </c>
      <c r="T556">
        <f t="shared" si="33"/>
        <v>0</v>
      </c>
      <c r="V556">
        <f t="shared" si="34"/>
        <v>1</v>
      </c>
      <c r="W556">
        <f t="shared" si="35"/>
        <v>1</v>
      </c>
    </row>
    <row r="557" spans="1:23" x14ac:dyDescent="0.2">
      <c r="A557">
        <v>552</v>
      </c>
      <c r="S557">
        <f t="shared" si="32"/>
        <v>0</v>
      </c>
      <c r="T557">
        <f t="shared" si="33"/>
        <v>0</v>
      </c>
      <c r="V557">
        <f t="shared" si="34"/>
        <v>1</v>
      </c>
      <c r="W557">
        <f t="shared" si="35"/>
        <v>1</v>
      </c>
    </row>
    <row r="558" spans="1:23" x14ac:dyDescent="0.2">
      <c r="A558">
        <v>553</v>
      </c>
      <c r="S558">
        <f t="shared" si="32"/>
        <v>0</v>
      </c>
      <c r="T558">
        <f t="shared" si="33"/>
        <v>0</v>
      </c>
      <c r="V558">
        <f t="shared" si="34"/>
        <v>1</v>
      </c>
      <c r="W558">
        <f t="shared" si="35"/>
        <v>1</v>
      </c>
    </row>
    <row r="559" spans="1:23" x14ac:dyDescent="0.2">
      <c r="A559">
        <v>554</v>
      </c>
      <c r="S559">
        <f t="shared" si="32"/>
        <v>0</v>
      </c>
      <c r="T559">
        <f t="shared" si="33"/>
        <v>0</v>
      </c>
      <c r="V559">
        <f t="shared" si="34"/>
        <v>1</v>
      </c>
      <c r="W559">
        <f t="shared" si="35"/>
        <v>1</v>
      </c>
    </row>
    <row r="560" spans="1:23" x14ac:dyDescent="0.2">
      <c r="A560">
        <v>555</v>
      </c>
      <c r="S560">
        <f t="shared" si="32"/>
        <v>0</v>
      </c>
      <c r="T560">
        <f t="shared" si="33"/>
        <v>0</v>
      </c>
      <c r="V560">
        <f t="shared" si="34"/>
        <v>1</v>
      </c>
      <c r="W560">
        <f t="shared" si="35"/>
        <v>1</v>
      </c>
    </row>
    <row r="561" spans="1:23" x14ac:dyDescent="0.2">
      <c r="A561">
        <v>556</v>
      </c>
      <c r="S561">
        <f t="shared" si="32"/>
        <v>0</v>
      </c>
      <c r="T561">
        <f t="shared" si="33"/>
        <v>0</v>
      </c>
      <c r="V561">
        <f t="shared" si="34"/>
        <v>1</v>
      </c>
      <c r="W561">
        <f t="shared" si="35"/>
        <v>1</v>
      </c>
    </row>
    <row r="562" spans="1:23" x14ac:dyDescent="0.2">
      <c r="A562">
        <v>557</v>
      </c>
      <c r="S562">
        <f t="shared" si="32"/>
        <v>0</v>
      </c>
      <c r="T562">
        <f t="shared" si="33"/>
        <v>0</v>
      </c>
      <c r="V562">
        <f t="shared" si="34"/>
        <v>1</v>
      </c>
      <c r="W562">
        <f t="shared" si="35"/>
        <v>1</v>
      </c>
    </row>
    <row r="563" spans="1:23" x14ac:dyDescent="0.2">
      <c r="A563">
        <v>558</v>
      </c>
      <c r="S563">
        <f t="shared" si="32"/>
        <v>0</v>
      </c>
      <c r="T563">
        <f t="shared" si="33"/>
        <v>0</v>
      </c>
      <c r="V563">
        <f t="shared" si="34"/>
        <v>1</v>
      </c>
      <c r="W563">
        <f t="shared" si="35"/>
        <v>1</v>
      </c>
    </row>
    <row r="564" spans="1:23" x14ac:dyDescent="0.2">
      <c r="A564">
        <v>559</v>
      </c>
      <c r="S564">
        <f t="shared" si="32"/>
        <v>0</v>
      </c>
      <c r="T564">
        <f t="shared" si="33"/>
        <v>0</v>
      </c>
      <c r="V564">
        <f t="shared" si="34"/>
        <v>1</v>
      </c>
      <c r="W564">
        <f t="shared" si="35"/>
        <v>1</v>
      </c>
    </row>
    <row r="565" spans="1:23" x14ac:dyDescent="0.2">
      <c r="A565">
        <v>560</v>
      </c>
      <c r="S565">
        <f t="shared" si="32"/>
        <v>0</v>
      </c>
      <c r="T565">
        <f t="shared" si="33"/>
        <v>0</v>
      </c>
      <c r="V565">
        <f t="shared" si="34"/>
        <v>1</v>
      </c>
      <c r="W565">
        <f t="shared" si="35"/>
        <v>1</v>
      </c>
    </row>
    <row r="566" spans="1:23" x14ac:dyDescent="0.2">
      <c r="A566">
        <v>561</v>
      </c>
      <c r="S566">
        <f t="shared" si="32"/>
        <v>0</v>
      </c>
      <c r="T566">
        <f t="shared" si="33"/>
        <v>0</v>
      </c>
      <c r="V566">
        <f t="shared" si="34"/>
        <v>1</v>
      </c>
      <c r="W566">
        <f t="shared" si="35"/>
        <v>1</v>
      </c>
    </row>
    <row r="567" spans="1:23" x14ac:dyDescent="0.2">
      <c r="A567">
        <v>562</v>
      </c>
      <c r="S567">
        <f t="shared" si="32"/>
        <v>0</v>
      </c>
      <c r="T567">
        <f t="shared" si="33"/>
        <v>0</v>
      </c>
      <c r="V567">
        <f t="shared" si="34"/>
        <v>1</v>
      </c>
      <c r="W567">
        <f t="shared" si="35"/>
        <v>1</v>
      </c>
    </row>
    <row r="568" spans="1:23" x14ac:dyDescent="0.2">
      <c r="A568">
        <v>563</v>
      </c>
      <c r="S568">
        <f t="shared" si="32"/>
        <v>0</v>
      </c>
      <c r="T568">
        <f t="shared" si="33"/>
        <v>0</v>
      </c>
      <c r="V568">
        <f t="shared" si="34"/>
        <v>1</v>
      </c>
      <c r="W568">
        <f t="shared" si="35"/>
        <v>1</v>
      </c>
    </row>
    <row r="569" spans="1:23" x14ac:dyDescent="0.2">
      <c r="A569">
        <v>564</v>
      </c>
      <c r="S569">
        <f t="shared" si="32"/>
        <v>0</v>
      </c>
      <c r="T569">
        <f t="shared" si="33"/>
        <v>0</v>
      </c>
      <c r="V569">
        <f t="shared" si="34"/>
        <v>1</v>
      </c>
      <c r="W569">
        <f t="shared" si="35"/>
        <v>1</v>
      </c>
    </row>
    <row r="570" spans="1:23" x14ac:dyDescent="0.2">
      <c r="A570">
        <v>565</v>
      </c>
      <c r="S570">
        <f t="shared" si="32"/>
        <v>0</v>
      </c>
      <c r="T570">
        <f t="shared" si="33"/>
        <v>0</v>
      </c>
      <c r="V570">
        <f t="shared" si="34"/>
        <v>1</v>
      </c>
      <c r="W570">
        <f t="shared" si="35"/>
        <v>1</v>
      </c>
    </row>
    <row r="571" spans="1:23" x14ac:dyDescent="0.2">
      <c r="A571">
        <v>566</v>
      </c>
      <c r="S571">
        <f t="shared" si="32"/>
        <v>0</v>
      </c>
      <c r="T571">
        <f t="shared" si="33"/>
        <v>0</v>
      </c>
      <c r="V571">
        <f t="shared" si="34"/>
        <v>1</v>
      </c>
      <c r="W571">
        <f t="shared" si="35"/>
        <v>1</v>
      </c>
    </row>
    <row r="572" spans="1:23" x14ac:dyDescent="0.2">
      <c r="A572">
        <v>567</v>
      </c>
      <c r="S572">
        <f t="shared" si="32"/>
        <v>0</v>
      </c>
      <c r="T572">
        <f t="shared" si="33"/>
        <v>0</v>
      </c>
      <c r="V572">
        <f t="shared" si="34"/>
        <v>1</v>
      </c>
      <c r="W572">
        <f t="shared" si="35"/>
        <v>1</v>
      </c>
    </row>
    <row r="573" spans="1:23" x14ac:dyDescent="0.2">
      <c r="A573">
        <v>568</v>
      </c>
      <c r="S573">
        <f t="shared" si="32"/>
        <v>0</v>
      </c>
      <c r="T573">
        <f t="shared" si="33"/>
        <v>0</v>
      </c>
      <c r="V573">
        <f t="shared" si="34"/>
        <v>1</v>
      </c>
      <c r="W573">
        <f t="shared" si="35"/>
        <v>1</v>
      </c>
    </row>
    <row r="574" spans="1:23" x14ac:dyDescent="0.2">
      <c r="A574">
        <v>569</v>
      </c>
      <c r="S574">
        <f t="shared" si="32"/>
        <v>0</v>
      </c>
      <c r="T574">
        <f t="shared" si="33"/>
        <v>0</v>
      </c>
      <c r="V574">
        <f t="shared" si="34"/>
        <v>1</v>
      </c>
      <c r="W574">
        <f t="shared" si="35"/>
        <v>1</v>
      </c>
    </row>
    <row r="575" spans="1:23" x14ac:dyDescent="0.2">
      <c r="A575">
        <v>570</v>
      </c>
      <c r="S575">
        <f t="shared" si="32"/>
        <v>0</v>
      </c>
      <c r="T575">
        <f t="shared" si="33"/>
        <v>0</v>
      </c>
      <c r="V575">
        <f t="shared" si="34"/>
        <v>1</v>
      </c>
      <c r="W575">
        <f t="shared" si="35"/>
        <v>1</v>
      </c>
    </row>
    <row r="576" spans="1:23" x14ac:dyDescent="0.2">
      <c r="A576">
        <v>571</v>
      </c>
      <c r="S576">
        <f t="shared" si="32"/>
        <v>0</v>
      </c>
      <c r="T576">
        <f t="shared" si="33"/>
        <v>0</v>
      </c>
      <c r="V576">
        <f t="shared" si="34"/>
        <v>1</v>
      </c>
      <c r="W576">
        <f t="shared" si="35"/>
        <v>1</v>
      </c>
    </row>
    <row r="577" spans="1:23" x14ac:dyDescent="0.2">
      <c r="A577">
        <v>572</v>
      </c>
      <c r="S577">
        <f t="shared" si="32"/>
        <v>0</v>
      </c>
      <c r="T577">
        <f t="shared" si="33"/>
        <v>0</v>
      </c>
      <c r="V577">
        <f t="shared" si="34"/>
        <v>1</v>
      </c>
      <c r="W577">
        <f t="shared" si="35"/>
        <v>1</v>
      </c>
    </row>
    <row r="578" spans="1:23" x14ac:dyDescent="0.2">
      <c r="A578">
        <v>573</v>
      </c>
      <c r="S578">
        <f t="shared" si="32"/>
        <v>0</v>
      </c>
      <c r="T578">
        <f t="shared" si="33"/>
        <v>0</v>
      </c>
      <c r="V578">
        <f t="shared" si="34"/>
        <v>1</v>
      </c>
      <c r="W578">
        <f t="shared" si="35"/>
        <v>1</v>
      </c>
    </row>
    <row r="579" spans="1:23" x14ac:dyDescent="0.2">
      <c r="A579">
        <v>574</v>
      </c>
      <c r="S579">
        <f t="shared" si="32"/>
        <v>0</v>
      </c>
      <c r="T579">
        <f t="shared" si="33"/>
        <v>0</v>
      </c>
      <c r="V579">
        <f t="shared" si="34"/>
        <v>1</v>
      </c>
      <c r="W579">
        <f t="shared" si="35"/>
        <v>1</v>
      </c>
    </row>
    <row r="580" spans="1:23" x14ac:dyDescent="0.2">
      <c r="A580">
        <v>575</v>
      </c>
      <c r="S580">
        <f t="shared" si="32"/>
        <v>0</v>
      </c>
      <c r="T580">
        <f t="shared" si="33"/>
        <v>0</v>
      </c>
      <c r="V580">
        <f t="shared" si="34"/>
        <v>1</v>
      </c>
      <c r="W580">
        <f t="shared" si="35"/>
        <v>1</v>
      </c>
    </row>
    <row r="581" spans="1:23" x14ac:dyDescent="0.2">
      <c r="A581">
        <v>576</v>
      </c>
      <c r="S581">
        <f t="shared" si="32"/>
        <v>0</v>
      </c>
      <c r="T581">
        <f t="shared" si="33"/>
        <v>0</v>
      </c>
      <c r="V581">
        <f t="shared" si="34"/>
        <v>1</v>
      </c>
      <c r="W581">
        <f t="shared" si="35"/>
        <v>1</v>
      </c>
    </row>
    <row r="582" spans="1:23" x14ac:dyDescent="0.2">
      <c r="A582">
        <v>577</v>
      </c>
      <c r="S582">
        <f t="shared" ref="S582:S645" si="36">$T$1*N582-L582</f>
        <v>0</v>
      </c>
      <c r="T582">
        <f t="shared" ref="T582:T645" si="37">$T$1*Q582-O582</f>
        <v>0</v>
      </c>
      <c r="V582">
        <f t="shared" ref="V582:V645" si="38">IF(S582=MAX($S582:$T582),1,0)</f>
        <v>1</v>
      </c>
      <c r="W582">
        <f t="shared" ref="W582:W645" si="39">IF(T582=MAX($S582:$T582),1,0)</f>
        <v>1</v>
      </c>
    </row>
    <row r="583" spans="1:23" x14ac:dyDescent="0.2">
      <c r="A583">
        <v>578</v>
      </c>
      <c r="S583">
        <f t="shared" si="36"/>
        <v>0</v>
      </c>
      <c r="T583">
        <f t="shared" si="37"/>
        <v>0</v>
      </c>
      <c r="V583">
        <f t="shared" si="38"/>
        <v>1</v>
      </c>
      <c r="W583">
        <f t="shared" si="39"/>
        <v>1</v>
      </c>
    </row>
    <row r="584" spans="1:23" x14ac:dyDescent="0.2">
      <c r="A584">
        <v>579</v>
      </c>
      <c r="S584">
        <f t="shared" si="36"/>
        <v>0</v>
      </c>
      <c r="T584">
        <f t="shared" si="37"/>
        <v>0</v>
      </c>
      <c r="V584">
        <f t="shared" si="38"/>
        <v>1</v>
      </c>
      <c r="W584">
        <f t="shared" si="39"/>
        <v>1</v>
      </c>
    </row>
    <row r="585" spans="1:23" x14ac:dyDescent="0.2">
      <c r="A585">
        <v>580</v>
      </c>
      <c r="S585">
        <f t="shared" si="36"/>
        <v>0</v>
      </c>
      <c r="T585">
        <f t="shared" si="37"/>
        <v>0</v>
      </c>
      <c r="V585">
        <f t="shared" si="38"/>
        <v>1</v>
      </c>
      <c r="W585">
        <f t="shared" si="39"/>
        <v>1</v>
      </c>
    </row>
    <row r="586" spans="1:23" x14ac:dyDescent="0.2">
      <c r="A586">
        <v>581</v>
      </c>
      <c r="S586">
        <f t="shared" si="36"/>
        <v>0</v>
      </c>
      <c r="T586">
        <f t="shared" si="37"/>
        <v>0</v>
      </c>
      <c r="V586">
        <f t="shared" si="38"/>
        <v>1</v>
      </c>
      <c r="W586">
        <f t="shared" si="39"/>
        <v>1</v>
      </c>
    </row>
    <row r="587" spans="1:23" x14ac:dyDescent="0.2">
      <c r="A587">
        <v>582</v>
      </c>
      <c r="S587">
        <f t="shared" si="36"/>
        <v>0</v>
      </c>
      <c r="T587">
        <f t="shared" si="37"/>
        <v>0</v>
      </c>
      <c r="V587">
        <f t="shared" si="38"/>
        <v>1</v>
      </c>
      <c r="W587">
        <f t="shared" si="39"/>
        <v>1</v>
      </c>
    </row>
    <row r="588" spans="1:23" x14ac:dyDescent="0.2">
      <c r="A588">
        <v>583</v>
      </c>
      <c r="S588">
        <f t="shared" si="36"/>
        <v>0</v>
      </c>
      <c r="T588">
        <f t="shared" si="37"/>
        <v>0</v>
      </c>
      <c r="V588">
        <f t="shared" si="38"/>
        <v>1</v>
      </c>
      <c r="W588">
        <f t="shared" si="39"/>
        <v>1</v>
      </c>
    </row>
    <row r="589" spans="1:23" x14ac:dyDescent="0.2">
      <c r="A589">
        <v>584</v>
      </c>
      <c r="S589">
        <f t="shared" si="36"/>
        <v>0</v>
      </c>
      <c r="T589">
        <f t="shared" si="37"/>
        <v>0</v>
      </c>
      <c r="V589">
        <f t="shared" si="38"/>
        <v>1</v>
      </c>
      <c r="W589">
        <f t="shared" si="39"/>
        <v>1</v>
      </c>
    </row>
    <row r="590" spans="1:23" x14ac:dyDescent="0.2">
      <c r="A590">
        <v>585</v>
      </c>
      <c r="S590">
        <f t="shared" si="36"/>
        <v>0</v>
      </c>
      <c r="T590">
        <f t="shared" si="37"/>
        <v>0</v>
      </c>
      <c r="V590">
        <f t="shared" si="38"/>
        <v>1</v>
      </c>
      <c r="W590">
        <f t="shared" si="39"/>
        <v>1</v>
      </c>
    </row>
    <row r="591" spans="1:23" x14ac:dyDescent="0.2">
      <c r="A591">
        <v>586</v>
      </c>
      <c r="S591">
        <f t="shared" si="36"/>
        <v>0</v>
      </c>
      <c r="T591">
        <f t="shared" si="37"/>
        <v>0</v>
      </c>
      <c r="V591">
        <f t="shared" si="38"/>
        <v>1</v>
      </c>
      <c r="W591">
        <f t="shared" si="39"/>
        <v>1</v>
      </c>
    </row>
    <row r="592" spans="1:23" x14ac:dyDescent="0.2">
      <c r="A592">
        <v>587</v>
      </c>
      <c r="S592">
        <f t="shared" si="36"/>
        <v>0</v>
      </c>
      <c r="T592">
        <f t="shared" si="37"/>
        <v>0</v>
      </c>
      <c r="V592">
        <f t="shared" si="38"/>
        <v>1</v>
      </c>
      <c r="W592">
        <f t="shared" si="39"/>
        <v>1</v>
      </c>
    </row>
    <row r="593" spans="1:23" x14ac:dyDescent="0.2">
      <c r="A593">
        <v>588</v>
      </c>
      <c r="S593">
        <f t="shared" si="36"/>
        <v>0</v>
      </c>
      <c r="T593">
        <f t="shared" si="37"/>
        <v>0</v>
      </c>
      <c r="V593">
        <f t="shared" si="38"/>
        <v>1</v>
      </c>
      <c r="W593">
        <f t="shared" si="39"/>
        <v>1</v>
      </c>
    </row>
    <row r="594" spans="1:23" x14ac:dyDescent="0.2">
      <c r="A594">
        <v>589</v>
      </c>
      <c r="S594">
        <f t="shared" si="36"/>
        <v>0</v>
      </c>
      <c r="T594">
        <f t="shared" si="37"/>
        <v>0</v>
      </c>
      <c r="V594">
        <f t="shared" si="38"/>
        <v>1</v>
      </c>
      <c r="W594">
        <f t="shared" si="39"/>
        <v>1</v>
      </c>
    </row>
    <row r="595" spans="1:23" x14ac:dyDescent="0.2">
      <c r="A595">
        <v>590</v>
      </c>
      <c r="S595">
        <f t="shared" si="36"/>
        <v>0</v>
      </c>
      <c r="T595">
        <f t="shared" si="37"/>
        <v>0</v>
      </c>
      <c r="V595">
        <f t="shared" si="38"/>
        <v>1</v>
      </c>
      <c r="W595">
        <f t="shared" si="39"/>
        <v>1</v>
      </c>
    </row>
    <row r="596" spans="1:23" x14ac:dyDescent="0.2">
      <c r="A596">
        <v>591</v>
      </c>
      <c r="S596">
        <f t="shared" si="36"/>
        <v>0</v>
      </c>
      <c r="T596">
        <f t="shared" si="37"/>
        <v>0</v>
      </c>
      <c r="V596">
        <f t="shared" si="38"/>
        <v>1</v>
      </c>
      <c r="W596">
        <f t="shared" si="39"/>
        <v>1</v>
      </c>
    </row>
    <row r="597" spans="1:23" x14ac:dyDescent="0.2">
      <c r="A597">
        <v>592</v>
      </c>
      <c r="S597">
        <f t="shared" si="36"/>
        <v>0</v>
      </c>
      <c r="T597">
        <f t="shared" si="37"/>
        <v>0</v>
      </c>
      <c r="V597">
        <f t="shared" si="38"/>
        <v>1</v>
      </c>
      <c r="W597">
        <f t="shared" si="39"/>
        <v>1</v>
      </c>
    </row>
    <row r="598" spans="1:23" x14ac:dyDescent="0.2">
      <c r="A598">
        <v>593</v>
      </c>
      <c r="S598">
        <f t="shared" si="36"/>
        <v>0</v>
      </c>
      <c r="T598">
        <f t="shared" si="37"/>
        <v>0</v>
      </c>
      <c r="V598">
        <f t="shared" si="38"/>
        <v>1</v>
      </c>
      <c r="W598">
        <f t="shared" si="39"/>
        <v>1</v>
      </c>
    </row>
    <row r="599" spans="1:23" x14ac:dyDescent="0.2">
      <c r="A599">
        <v>594</v>
      </c>
      <c r="S599">
        <f t="shared" si="36"/>
        <v>0</v>
      </c>
      <c r="T599">
        <f t="shared" si="37"/>
        <v>0</v>
      </c>
      <c r="V599">
        <f t="shared" si="38"/>
        <v>1</v>
      </c>
      <c r="W599">
        <f t="shared" si="39"/>
        <v>1</v>
      </c>
    </row>
    <row r="600" spans="1:23" x14ac:dyDescent="0.2">
      <c r="A600">
        <v>595</v>
      </c>
      <c r="S600">
        <f t="shared" si="36"/>
        <v>0</v>
      </c>
      <c r="T600">
        <f t="shared" si="37"/>
        <v>0</v>
      </c>
      <c r="V600">
        <f t="shared" si="38"/>
        <v>1</v>
      </c>
      <c r="W600">
        <f t="shared" si="39"/>
        <v>1</v>
      </c>
    </row>
    <row r="601" spans="1:23" x14ac:dyDescent="0.2">
      <c r="A601">
        <v>596</v>
      </c>
      <c r="S601">
        <f t="shared" si="36"/>
        <v>0</v>
      </c>
      <c r="T601">
        <f t="shared" si="37"/>
        <v>0</v>
      </c>
      <c r="V601">
        <f t="shared" si="38"/>
        <v>1</v>
      </c>
      <c r="W601">
        <f t="shared" si="39"/>
        <v>1</v>
      </c>
    </row>
    <row r="602" spans="1:23" x14ac:dyDescent="0.2">
      <c r="A602">
        <v>597</v>
      </c>
      <c r="S602">
        <f t="shared" si="36"/>
        <v>0</v>
      </c>
      <c r="T602">
        <f t="shared" si="37"/>
        <v>0</v>
      </c>
      <c r="V602">
        <f t="shared" si="38"/>
        <v>1</v>
      </c>
      <c r="W602">
        <f t="shared" si="39"/>
        <v>1</v>
      </c>
    </row>
    <row r="603" spans="1:23" x14ac:dyDescent="0.2">
      <c r="A603">
        <v>598</v>
      </c>
      <c r="S603">
        <f t="shared" si="36"/>
        <v>0</v>
      </c>
      <c r="T603">
        <f t="shared" si="37"/>
        <v>0</v>
      </c>
      <c r="V603">
        <f t="shared" si="38"/>
        <v>1</v>
      </c>
      <c r="W603">
        <f t="shared" si="39"/>
        <v>1</v>
      </c>
    </row>
    <row r="604" spans="1:23" x14ac:dyDescent="0.2">
      <c r="A604">
        <v>599</v>
      </c>
      <c r="S604">
        <f t="shared" si="36"/>
        <v>0</v>
      </c>
      <c r="T604">
        <f t="shared" si="37"/>
        <v>0</v>
      </c>
      <c r="V604">
        <f t="shared" si="38"/>
        <v>1</v>
      </c>
      <c r="W604">
        <f t="shared" si="39"/>
        <v>1</v>
      </c>
    </row>
    <row r="605" spans="1:23" x14ac:dyDescent="0.2">
      <c r="A605">
        <v>600</v>
      </c>
      <c r="S605">
        <f t="shared" si="36"/>
        <v>0</v>
      </c>
      <c r="T605">
        <f t="shared" si="37"/>
        <v>0</v>
      </c>
      <c r="V605">
        <f t="shared" si="38"/>
        <v>1</v>
      </c>
      <c r="W605">
        <f t="shared" si="39"/>
        <v>1</v>
      </c>
    </row>
    <row r="606" spans="1:23" x14ac:dyDescent="0.2">
      <c r="A606">
        <v>601</v>
      </c>
      <c r="S606">
        <f t="shared" si="36"/>
        <v>0</v>
      </c>
      <c r="T606">
        <f t="shared" si="37"/>
        <v>0</v>
      </c>
      <c r="V606">
        <f t="shared" si="38"/>
        <v>1</v>
      </c>
      <c r="W606">
        <f t="shared" si="39"/>
        <v>1</v>
      </c>
    </row>
    <row r="607" spans="1:23" x14ac:dyDescent="0.2">
      <c r="A607">
        <v>602</v>
      </c>
      <c r="S607">
        <f t="shared" si="36"/>
        <v>0</v>
      </c>
      <c r="T607">
        <f t="shared" si="37"/>
        <v>0</v>
      </c>
      <c r="V607">
        <f t="shared" si="38"/>
        <v>1</v>
      </c>
      <c r="W607">
        <f t="shared" si="39"/>
        <v>1</v>
      </c>
    </row>
    <row r="608" spans="1:23" x14ac:dyDescent="0.2">
      <c r="A608">
        <v>603</v>
      </c>
      <c r="S608">
        <f t="shared" si="36"/>
        <v>0</v>
      </c>
      <c r="T608">
        <f t="shared" si="37"/>
        <v>0</v>
      </c>
      <c r="V608">
        <f t="shared" si="38"/>
        <v>1</v>
      </c>
      <c r="W608">
        <f t="shared" si="39"/>
        <v>1</v>
      </c>
    </row>
    <row r="609" spans="1:23" x14ac:dyDescent="0.2">
      <c r="A609">
        <v>604</v>
      </c>
      <c r="S609">
        <f t="shared" si="36"/>
        <v>0</v>
      </c>
      <c r="T609">
        <f t="shared" si="37"/>
        <v>0</v>
      </c>
      <c r="V609">
        <f t="shared" si="38"/>
        <v>1</v>
      </c>
      <c r="W609">
        <f t="shared" si="39"/>
        <v>1</v>
      </c>
    </row>
    <row r="610" spans="1:23" x14ac:dyDescent="0.2">
      <c r="A610">
        <v>605</v>
      </c>
      <c r="S610">
        <f t="shared" si="36"/>
        <v>0</v>
      </c>
      <c r="T610">
        <f t="shared" si="37"/>
        <v>0</v>
      </c>
      <c r="V610">
        <f t="shared" si="38"/>
        <v>1</v>
      </c>
      <c r="W610">
        <f t="shared" si="39"/>
        <v>1</v>
      </c>
    </row>
    <row r="611" spans="1:23" x14ac:dyDescent="0.2">
      <c r="A611">
        <v>606</v>
      </c>
      <c r="S611">
        <f t="shared" si="36"/>
        <v>0</v>
      </c>
      <c r="T611">
        <f t="shared" si="37"/>
        <v>0</v>
      </c>
      <c r="V611">
        <f t="shared" si="38"/>
        <v>1</v>
      </c>
      <c r="W611">
        <f t="shared" si="39"/>
        <v>1</v>
      </c>
    </row>
    <row r="612" spans="1:23" x14ac:dyDescent="0.2">
      <c r="A612">
        <v>607</v>
      </c>
      <c r="S612">
        <f t="shared" si="36"/>
        <v>0</v>
      </c>
      <c r="T612">
        <f t="shared" si="37"/>
        <v>0</v>
      </c>
      <c r="V612">
        <f t="shared" si="38"/>
        <v>1</v>
      </c>
      <c r="W612">
        <f t="shared" si="39"/>
        <v>1</v>
      </c>
    </row>
    <row r="613" spans="1:23" x14ac:dyDescent="0.2">
      <c r="A613">
        <v>608</v>
      </c>
      <c r="S613">
        <f t="shared" si="36"/>
        <v>0</v>
      </c>
      <c r="T613">
        <f t="shared" si="37"/>
        <v>0</v>
      </c>
      <c r="V613">
        <f t="shared" si="38"/>
        <v>1</v>
      </c>
      <c r="W613">
        <f t="shared" si="39"/>
        <v>1</v>
      </c>
    </row>
    <row r="614" spans="1:23" x14ac:dyDescent="0.2">
      <c r="A614">
        <v>609</v>
      </c>
      <c r="S614">
        <f t="shared" si="36"/>
        <v>0</v>
      </c>
      <c r="T614">
        <f t="shared" si="37"/>
        <v>0</v>
      </c>
      <c r="V614">
        <f t="shared" si="38"/>
        <v>1</v>
      </c>
      <c r="W614">
        <f t="shared" si="39"/>
        <v>1</v>
      </c>
    </row>
    <row r="615" spans="1:23" x14ac:dyDescent="0.2">
      <c r="A615">
        <v>610</v>
      </c>
      <c r="S615">
        <f t="shared" si="36"/>
        <v>0</v>
      </c>
      <c r="T615">
        <f t="shared" si="37"/>
        <v>0</v>
      </c>
      <c r="V615">
        <f t="shared" si="38"/>
        <v>1</v>
      </c>
      <c r="W615">
        <f t="shared" si="39"/>
        <v>1</v>
      </c>
    </row>
    <row r="616" spans="1:23" x14ac:dyDescent="0.2">
      <c r="A616">
        <v>611</v>
      </c>
      <c r="S616">
        <f t="shared" si="36"/>
        <v>0</v>
      </c>
      <c r="T616">
        <f t="shared" si="37"/>
        <v>0</v>
      </c>
      <c r="V616">
        <f t="shared" si="38"/>
        <v>1</v>
      </c>
      <c r="W616">
        <f t="shared" si="39"/>
        <v>1</v>
      </c>
    </row>
    <row r="617" spans="1:23" x14ac:dyDescent="0.2">
      <c r="A617">
        <v>612</v>
      </c>
      <c r="S617">
        <f t="shared" si="36"/>
        <v>0</v>
      </c>
      <c r="T617">
        <f t="shared" si="37"/>
        <v>0</v>
      </c>
      <c r="V617">
        <f t="shared" si="38"/>
        <v>1</v>
      </c>
      <c r="W617">
        <f t="shared" si="39"/>
        <v>1</v>
      </c>
    </row>
    <row r="618" spans="1:23" x14ac:dyDescent="0.2">
      <c r="A618">
        <v>613</v>
      </c>
      <c r="S618">
        <f t="shared" si="36"/>
        <v>0</v>
      </c>
      <c r="T618">
        <f t="shared" si="37"/>
        <v>0</v>
      </c>
      <c r="V618">
        <f t="shared" si="38"/>
        <v>1</v>
      </c>
      <c r="W618">
        <f t="shared" si="39"/>
        <v>1</v>
      </c>
    </row>
    <row r="619" spans="1:23" x14ac:dyDescent="0.2">
      <c r="A619">
        <v>614</v>
      </c>
      <c r="S619">
        <f t="shared" si="36"/>
        <v>0</v>
      </c>
      <c r="T619">
        <f t="shared" si="37"/>
        <v>0</v>
      </c>
      <c r="V619">
        <f t="shared" si="38"/>
        <v>1</v>
      </c>
      <c r="W619">
        <f t="shared" si="39"/>
        <v>1</v>
      </c>
    </row>
    <row r="620" spans="1:23" x14ac:dyDescent="0.2">
      <c r="A620">
        <v>615</v>
      </c>
      <c r="S620">
        <f t="shared" si="36"/>
        <v>0</v>
      </c>
      <c r="T620">
        <f t="shared" si="37"/>
        <v>0</v>
      </c>
      <c r="V620">
        <f t="shared" si="38"/>
        <v>1</v>
      </c>
      <c r="W620">
        <f t="shared" si="39"/>
        <v>1</v>
      </c>
    </row>
    <row r="621" spans="1:23" x14ac:dyDescent="0.2">
      <c r="A621">
        <v>616</v>
      </c>
      <c r="S621">
        <f t="shared" si="36"/>
        <v>0</v>
      </c>
      <c r="T621">
        <f t="shared" si="37"/>
        <v>0</v>
      </c>
      <c r="V621">
        <f t="shared" si="38"/>
        <v>1</v>
      </c>
      <c r="W621">
        <f t="shared" si="39"/>
        <v>1</v>
      </c>
    </row>
    <row r="622" spans="1:23" x14ac:dyDescent="0.2">
      <c r="A622">
        <v>617</v>
      </c>
      <c r="S622">
        <f t="shared" si="36"/>
        <v>0</v>
      </c>
      <c r="T622">
        <f t="shared" si="37"/>
        <v>0</v>
      </c>
      <c r="V622">
        <f t="shared" si="38"/>
        <v>1</v>
      </c>
      <c r="W622">
        <f t="shared" si="39"/>
        <v>1</v>
      </c>
    </row>
    <row r="623" spans="1:23" x14ac:dyDescent="0.2">
      <c r="A623">
        <v>618</v>
      </c>
      <c r="S623">
        <f t="shared" si="36"/>
        <v>0</v>
      </c>
      <c r="T623">
        <f t="shared" si="37"/>
        <v>0</v>
      </c>
      <c r="V623">
        <f t="shared" si="38"/>
        <v>1</v>
      </c>
      <c r="W623">
        <f t="shared" si="39"/>
        <v>1</v>
      </c>
    </row>
    <row r="624" spans="1:23" x14ac:dyDescent="0.2">
      <c r="A624">
        <v>619</v>
      </c>
      <c r="S624">
        <f t="shared" si="36"/>
        <v>0</v>
      </c>
      <c r="T624">
        <f t="shared" si="37"/>
        <v>0</v>
      </c>
      <c r="V624">
        <f t="shared" si="38"/>
        <v>1</v>
      </c>
      <c r="W624">
        <f t="shared" si="39"/>
        <v>1</v>
      </c>
    </row>
    <row r="625" spans="1:23" x14ac:dyDescent="0.2">
      <c r="A625">
        <v>620</v>
      </c>
      <c r="S625">
        <f t="shared" si="36"/>
        <v>0</v>
      </c>
      <c r="T625">
        <f t="shared" si="37"/>
        <v>0</v>
      </c>
      <c r="V625">
        <f t="shared" si="38"/>
        <v>1</v>
      </c>
      <c r="W625">
        <f t="shared" si="39"/>
        <v>1</v>
      </c>
    </row>
    <row r="626" spans="1:23" x14ac:dyDescent="0.2">
      <c r="A626">
        <v>621</v>
      </c>
      <c r="S626">
        <f t="shared" si="36"/>
        <v>0</v>
      </c>
      <c r="T626">
        <f t="shared" si="37"/>
        <v>0</v>
      </c>
      <c r="V626">
        <f t="shared" si="38"/>
        <v>1</v>
      </c>
      <c r="W626">
        <f t="shared" si="39"/>
        <v>1</v>
      </c>
    </row>
    <row r="627" spans="1:23" x14ac:dyDescent="0.2">
      <c r="A627">
        <v>622</v>
      </c>
      <c r="S627">
        <f t="shared" si="36"/>
        <v>0</v>
      </c>
      <c r="T627">
        <f t="shared" si="37"/>
        <v>0</v>
      </c>
      <c r="V627">
        <f t="shared" si="38"/>
        <v>1</v>
      </c>
      <c r="W627">
        <f t="shared" si="39"/>
        <v>1</v>
      </c>
    </row>
    <row r="628" spans="1:23" x14ac:dyDescent="0.2">
      <c r="A628">
        <v>623</v>
      </c>
      <c r="S628">
        <f t="shared" si="36"/>
        <v>0</v>
      </c>
      <c r="T628">
        <f t="shared" si="37"/>
        <v>0</v>
      </c>
      <c r="V628">
        <f t="shared" si="38"/>
        <v>1</v>
      </c>
      <c r="W628">
        <f t="shared" si="39"/>
        <v>1</v>
      </c>
    </row>
    <row r="629" spans="1:23" x14ac:dyDescent="0.2">
      <c r="A629">
        <v>624</v>
      </c>
      <c r="S629">
        <f t="shared" si="36"/>
        <v>0</v>
      </c>
      <c r="T629">
        <f t="shared" si="37"/>
        <v>0</v>
      </c>
      <c r="V629">
        <f t="shared" si="38"/>
        <v>1</v>
      </c>
      <c r="W629">
        <f t="shared" si="39"/>
        <v>1</v>
      </c>
    </row>
    <row r="630" spans="1:23" x14ac:dyDescent="0.2">
      <c r="A630">
        <v>625</v>
      </c>
      <c r="S630">
        <f t="shared" si="36"/>
        <v>0</v>
      </c>
      <c r="T630">
        <f t="shared" si="37"/>
        <v>0</v>
      </c>
      <c r="V630">
        <f t="shared" si="38"/>
        <v>1</v>
      </c>
      <c r="W630">
        <f t="shared" si="39"/>
        <v>1</v>
      </c>
    </row>
    <row r="631" spans="1:23" x14ac:dyDescent="0.2">
      <c r="A631">
        <v>626</v>
      </c>
      <c r="S631">
        <f t="shared" si="36"/>
        <v>0</v>
      </c>
      <c r="T631">
        <f t="shared" si="37"/>
        <v>0</v>
      </c>
      <c r="V631">
        <f t="shared" si="38"/>
        <v>1</v>
      </c>
      <c r="W631">
        <f t="shared" si="39"/>
        <v>1</v>
      </c>
    </row>
    <row r="632" spans="1:23" x14ac:dyDescent="0.2">
      <c r="A632">
        <v>627</v>
      </c>
      <c r="S632">
        <f t="shared" si="36"/>
        <v>0</v>
      </c>
      <c r="T632">
        <f t="shared" si="37"/>
        <v>0</v>
      </c>
      <c r="V632">
        <f t="shared" si="38"/>
        <v>1</v>
      </c>
      <c r="W632">
        <f t="shared" si="39"/>
        <v>1</v>
      </c>
    </row>
    <row r="633" spans="1:23" x14ac:dyDescent="0.2">
      <c r="A633">
        <v>628</v>
      </c>
      <c r="S633">
        <f t="shared" si="36"/>
        <v>0</v>
      </c>
      <c r="T633">
        <f t="shared" si="37"/>
        <v>0</v>
      </c>
      <c r="V633">
        <f t="shared" si="38"/>
        <v>1</v>
      </c>
      <c r="W633">
        <f t="shared" si="39"/>
        <v>1</v>
      </c>
    </row>
    <row r="634" spans="1:23" x14ac:dyDescent="0.2">
      <c r="A634">
        <v>629</v>
      </c>
      <c r="S634">
        <f t="shared" si="36"/>
        <v>0</v>
      </c>
      <c r="T634">
        <f t="shared" si="37"/>
        <v>0</v>
      </c>
      <c r="V634">
        <f t="shared" si="38"/>
        <v>1</v>
      </c>
      <c r="W634">
        <f t="shared" si="39"/>
        <v>1</v>
      </c>
    </row>
    <row r="635" spans="1:23" x14ac:dyDescent="0.2">
      <c r="A635">
        <v>630</v>
      </c>
      <c r="S635">
        <f t="shared" si="36"/>
        <v>0</v>
      </c>
      <c r="T635">
        <f t="shared" si="37"/>
        <v>0</v>
      </c>
      <c r="V635">
        <f t="shared" si="38"/>
        <v>1</v>
      </c>
      <c r="W635">
        <f t="shared" si="39"/>
        <v>1</v>
      </c>
    </row>
    <row r="636" spans="1:23" x14ac:dyDescent="0.2">
      <c r="A636">
        <v>631</v>
      </c>
      <c r="S636">
        <f t="shared" si="36"/>
        <v>0</v>
      </c>
      <c r="T636">
        <f t="shared" si="37"/>
        <v>0</v>
      </c>
      <c r="V636">
        <f t="shared" si="38"/>
        <v>1</v>
      </c>
      <c r="W636">
        <f t="shared" si="39"/>
        <v>1</v>
      </c>
    </row>
    <row r="637" spans="1:23" x14ac:dyDescent="0.2">
      <c r="A637">
        <v>632</v>
      </c>
      <c r="S637">
        <f t="shared" si="36"/>
        <v>0</v>
      </c>
      <c r="T637">
        <f t="shared" si="37"/>
        <v>0</v>
      </c>
      <c r="V637">
        <f t="shared" si="38"/>
        <v>1</v>
      </c>
      <c r="W637">
        <f t="shared" si="39"/>
        <v>1</v>
      </c>
    </row>
    <row r="638" spans="1:23" x14ac:dyDescent="0.2">
      <c r="A638">
        <v>633</v>
      </c>
      <c r="S638">
        <f t="shared" si="36"/>
        <v>0</v>
      </c>
      <c r="T638">
        <f t="shared" si="37"/>
        <v>0</v>
      </c>
      <c r="V638">
        <f t="shared" si="38"/>
        <v>1</v>
      </c>
      <c r="W638">
        <f t="shared" si="39"/>
        <v>1</v>
      </c>
    </row>
    <row r="639" spans="1:23" x14ac:dyDescent="0.2">
      <c r="A639">
        <v>634</v>
      </c>
      <c r="S639">
        <f t="shared" si="36"/>
        <v>0</v>
      </c>
      <c r="T639">
        <f t="shared" si="37"/>
        <v>0</v>
      </c>
      <c r="V639">
        <f t="shared" si="38"/>
        <v>1</v>
      </c>
      <c r="W639">
        <f t="shared" si="39"/>
        <v>1</v>
      </c>
    </row>
    <row r="640" spans="1:23" x14ac:dyDescent="0.2">
      <c r="A640">
        <v>635</v>
      </c>
      <c r="S640">
        <f t="shared" si="36"/>
        <v>0</v>
      </c>
      <c r="T640">
        <f t="shared" si="37"/>
        <v>0</v>
      </c>
      <c r="V640">
        <f t="shared" si="38"/>
        <v>1</v>
      </c>
      <c r="W640">
        <f t="shared" si="39"/>
        <v>1</v>
      </c>
    </row>
    <row r="641" spans="1:23" x14ac:dyDescent="0.2">
      <c r="A641">
        <v>636</v>
      </c>
      <c r="S641">
        <f t="shared" si="36"/>
        <v>0</v>
      </c>
      <c r="T641">
        <f t="shared" si="37"/>
        <v>0</v>
      </c>
      <c r="V641">
        <f t="shared" si="38"/>
        <v>1</v>
      </c>
      <c r="W641">
        <f t="shared" si="39"/>
        <v>1</v>
      </c>
    </row>
    <row r="642" spans="1:23" x14ac:dyDescent="0.2">
      <c r="A642">
        <v>637</v>
      </c>
      <c r="S642">
        <f t="shared" si="36"/>
        <v>0</v>
      </c>
      <c r="T642">
        <f t="shared" si="37"/>
        <v>0</v>
      </c>
      <c r="V642">
        <f t="shared" si="38"/>
        <v>1</v>
      </c>
      <c r="W642">
        <f t="shared" si="39"/>
        <v>1</v>
      </c>
    </row>
    <row r="643" spans="1:23" x14ac:dyDescent="0.2">
      <c r="A643">
        <v>638</v>
      </c>
      <c r="S643">
        <f t="shared" si="36"/>
        <v>0</v>
      </c>
      <c r="T643">
        <f t="shared" si="37"/>
        <v>0</v>
      </c>
      <c r="V643">
        <f t="shared" si="38"/>
        <v>1</v>
      </c>
      <c r="W643">
        <f t="shared" si="39"/>
        <v>1</v>
      </c>
    </row>
    <row r="644" spans="1:23" x14ac:dyDescent="0.2">
      <c r="A644">
        <v>639</v>
      </c>
      <c r="S644">
        <f t="shared" si="36"/>
        <v>0</v>
      </c>
      <c r="T644">
        <f t="shared" si="37"/>
        <v>0</v>
      </c>
      <c r="V644">
        <f t="shared" si="38"/>
        <v>1</v>
      </c>
      <c r="W644">
        <f t="shared" si="39"/>
        <v>1</v>
      </c>
    </row>
    <row r="645" spans="1:23" x14ac:dyDescent="0.2">
      <c r="A645">
        <v>640</v>
      </c>
      <c r="S645">
        <f t="shared" si="36"/>
        <v>0</v>
      </c>
      <c r="T645">
        <f t="shared" si="37"/>
        <v>0</v>
      </c>
      <c r="V645">
        <f t="shared" si="38"/>
        <v>1</v>
      </c>
      <c r="W645">
        <f t="shared" si="39"/>
        <v>1</v>
      </c>
    </row>
    <row r="646" spans="1:23" x14ac:dyDescent="0.2">
      <c r="A646">
        <v>641</v>
      </c>
      <c r="S646">
        <f t="shared" ref="S646:S709" si="40">$T$1*N646-L646</f>
        <v>0</v>
      </c>
      <c r="T646">
        <f t="shared" ref="T646:T709" si="41">$T$1*Q646-O646</f>
        <v>0</v>
      </c>
      <c r="V646">
        <f t="shared" ref="V646:V709" si="42">IF(S646=MAX($S646:$T646),1,0)</f>
        <v>1</v>
      </c>
      <c r="W646">
        <f t="shared" ref="W646:W709" si="43">IF(T646=MAX($S646:$T646),1,0)</f>
        <v>1</v>
      </c>
    </row>
    <row r="647" spans="1:23" x14ac:dyDescent="0.2">
      <c r="A647">
        <v>642</v>
      </c>
      <c r="S647">
        <f t="shared" si="40"/>
        <v>0</v>
      </c>
      <c r="T647">
        <f t="shared" si="41"/>
        <v>0</v>
      </c>
      <c r="V647">
        <f t="shared" si="42"/>
        <v>1</v>
      </c>
      <c r="W647">
        <f t="shared" si="43"/>
        <v>1</v>
      </c>
    </row>
    <row r="648" spans="1:23" x14ac:dyDescent="0.2">
      <c r="A648">
        <v>643</v>
      </c>
      <c r="S648">
        <f t="shared" si="40"/>
        <v>0</v>
      </c>
      <c r="T648">
        <f t="shared" si="41"/>
        <v>0</v>
      </c>
      <c r="V648">
        <f t="shared" si="42"/>
        <v>1</v>
      </c>
      <c r="W648">
        <f t="shared" si="43"/>
        <v>1</v>
      </c>
    </row>
    <row r="649" spans="1:23" x14ac:dyDescent="0.2">
      <c r="A649">
        <v>644</v>
      </c>
      <c r="S649">
        <f t="shared" si="40"/>
        <v>0</v>
      </c>
      <c r="T649">
        <f t="shared" si="41"/>
        <v>0</v>
      </c>
      <c r="V649">
        <f t="shared" si="42"/>
        <v>1</v>
      </c>
      <c r="W649">
        <f t="shared" si="43"/>
        <v>1</v>
      </c>
    </row>
    <row r="650" spans="1:23" x14ac:dyDescent="0.2">
      <c r="A650">
        <v>645</v>
      </c>
      <c r="S650">
        <f t="shared" si="40"/>
        <v>0</v>
      </c>
      <c r="T650">
        <f t="shared" si="41"/>
        <v>0</v>
      </c>
      <c r="V650">
        <f t="shared" si="42"/>
        <v>1</v>
      </c>
      <c r="W650">
        <f t="shared" si="43"/>
        <v>1</v>
      </c>
    </row>
    <row r="651" spans="1:23" x14ac:dyDescent="0.2">
      <c r="A651">
        <v>646</v>
      </c>
      <c r="S651">
        <f t="shared" si="40"/>
        <v>0</v>
      </c>
      <c r="T651">
        <f t="shared" si="41"/>
        <v>0</v>
      </c>
      <c r="V651">
        <f t="shared" si="42"/>
        <v>1</v>
      </c>
      <c r="W651">
        <f t="shared" si="43"/>
        <v>1</v>
      </c>
    </row>
    <row r="652" spans="1:23" x14ac:dyDescent="0.2">
      <c r="A652">
        <v>647</v>
      </c>
      <c r="S652">
        <f t="shared" si="40"/>
        <v>0</v>
      </c>
      <c r="T652">
        <f t="shared" si="41"/>
        <v>0</v>
      </c>
      <c r="V652">
        <f t="shared" si="42"/>
        <v>1</v>
      </c>
      <c r="W652">
        <f t="shared" si="43"/>
        <v>1</v>
      </c>
    </row>
    <row r="653" spans="1:23" x14ac:dyDescent="0.2">
      <c r="A653">
        <v>648</v>
      </c>
      <c r="S653">
        <f t="shared" si="40"/>
        <v>0</v>
      </c>
      <c r="T653">
        <f t="shared" si="41"/>
        <v>0</v>
      </c>
      <c r="V653">
        <f t="shared" si="42"/>
        <v>1</v>
      </c>
      <c r="W653">
        <f t="shared" si="43"/>
        <v>1</v>
      </c>
    </row>
    <row r="654" spans="1:23" x14ac:dyDescent="0.2">
      <c r="A654">
        <v>649</v>
      </c>
      <c r="S654">
        <f t="shared" si="40"/>
        <v>0</v>
      </c>
      <c r="T654">
        <f t="shared" si="41"/>
        <v>0</v>
      </c>
      <c r="V654">
        <f t="shared" si="42"/>
        <v>1</v>
      </c>
      <c r="W654">
        <f t="shared" si="43"/>
        <v>1</v>
      </c>
    </row>
    <row r="655" spans="1:23" x14ac:dyDescent="0.2">
      <c r="A655">
        <v>650</v>
      </c>
      <c r="S655">
        <f t="shared" si="40"/>
        <v>0</v>
      </c>
      <c r="T655">
        <f t="shared" si="41"/>
        <v>0</v>
      </c>
      <c r="V655">
        <f t="shared" si="42"/>
        <v>1</v>
      </c>
      <c r="W655">
        <f t="shared" si="43"/>
        <v>1</v>
      </c>
    </row>
    <row r="656" spans="1:23" x14ac:dyDescent="0.2">
      <c r="A656">
        <v>651</v>
      </c>
      <c r="S656">
        <f t="shared" si="40"/>
        <v>0</v>
      </c>
      <c r="T656">
        <f t="shared" si="41"/>
        <v>0</v>
      </c>
      <c r="V656">
        <f t="shared" si="42"/>
        <v>1</v>
      </c>
      <c r="W656">
        <f t="shared" si="43"/>
        <v>1</v>
      </c>
    </row>
    <row r="657" spans="1:23" x14ac:dyDescent="0.2">
      <c r="A657">
        <v>652</v>
      </c>
      <c r="S657">
        <f t="shared" si="40"/>
        <v>0</v>
      </c>
      <c r="T657">
        <f t="shared" si="41"/>
        <v>0</v>
      </c>
      <c r="V657">
        <f t="shared" si="42"/>
        <v>1</v>
      </c>
      <c r="W657">
        <f t="shared" si="43"/>
        <v>1</v>
      </c>
    </row>
    <row r="658" spans="1:23" x14ac:dyDescent="0.2">
      <c r="A658">
        <v>653</v>
      </c>
      <c r="S658">
        <f t="shared" si="40"/>
        <v>0</v>
      </c>
      <c r="T658">
        <f t="shared" si="41"/>
        <v>0</v>
      </c>
      <c r="V658">
        <f t="shared" si="42"/>
        <v>1</v>
      </c>
      <c r="W658">
        <f t="shared" si="43"/>
        <v>1</v>
      </c>
    </row>
    <row r="659" spans="1:23" x14ac:dyDescent="0.2">
      <c r="A659">
        <v>654</v>
      </c>
      <c r="S659">
        <f t="shared" si="40"/>
        <v>0</v>
      </c>
      <c r="T659">
        <f t="shared" si="41"/>
        <v>0</v>
      </c>
      <c r="V659">
        <f t="shared" si="42"/>
        <v>1</v>
      </c>
      <c r="W659">
        <f t="shared" si="43"/>
        <v>1</v>
      </c>
    </row>
    <row r="660" spans="1:23" x14ac:dyDescent="0.2">
      <c r="A660">
        <v>655</v>
      </c>
      <c r="S660">
        <f t="shared" si="40"/>
        <v>0</v>
      </c>
      <c r="T660">
        <f t="shared" si="41"/>
        <v>0</v>
      </c>
      <c r="V660">
        <f t="shared" si="42"/>
        <v>1</v>
      </c>
      <c r="W660">
        <f t="shared" si="43"/>
        <v>1</v>
      </c>
    </row>
    <row r="661" spans="1:23" x14ac:dyDescent="0.2">
      <c r="A661">
        <v>656</v>
      </c>
      <c r="S661">
        <f t="shared" si="40"/>
        <v>0</v>
      </c>
      <c r="T661">
        <f t="shared" si="41"/>
        <v>0</v>
      </c>
      <c r="V661">
        <f t="shared" si="42"/>
        <v>1</v>
      </c>
      <c r="W661">
        <f t="shared" si="43"/>
        <v>1</v>
      </c>
    </row>
    <row r="662" spans="1:23" x14ac:dyDescent="0.2">
      <c r="A662">
        <v>657</v>
      </c>
      <c r="S662">
        <f t="shared" si="40"/>
        <v>0</v>
      </c>
      <c r="T662">
        <f t="shared" si="41"/>
        <v>0</v>
      </c>
      <c r="V662">
        <f t="shared" si="42"/>
        <v>1</v>
      </c>
      <c r="W662">
        <f t="shared" si="43"/>
        <v>1</v>
      </c>
    </row>
    <row r="663" spans="1:23" x14ac:dyDescent="0.2">
      <c r="A663">
        <v>658</v>
      </c>
      <c r="S663">
        <f t="shared" si="40"/>
        <v>0</v>
      </c>
      <c r="T663">
        <f t="shared" si="41"/>
        <v>0</v>
      </c>
      <c r="V663">
        <f t="shared" si="42"/>
        <v>1</v>
      </c>
      <c r="W663">
        <f t="shared" si="43"/>
        <v>1</v>
      </c>
    </row>
    <row r="664" spans="1:23" x14ac:dyDescent="0.2">
      <c r="A664">
        <v>659</v>
      </c>
      <c r="S664">
        <f t="shared" si="40"/>
        <v>0</v>
      </c>
      <c r="T664">
        <f t="shared" si="41"/>
        <v>0</v>
      </c>
      <c r="V664">
        <f t="shared" si="42"/>
        <v>1</v>
      </c>
      <c r="W664">
        <f t="shared" si="43"/>
        <v>1</v>
      </c>
    </row>
    <row r="665" spans="1:23" x14ac:dyDescent="0.2">
      <c r="A665">
        <v>660</v>
      </c>
      <c r="S665">
        <f t="shared" si="40"/>
        <v>0</v>
      </c>
      <c r="T665">
        <f t="shared" si="41"/>
        <v>0</v>
      </c>
      <c r="V665">
        <f t="shared" si="42"/>
        <v>1</v>
      </c>
      <c r="W665">
        <f t="shared" si="43"/>
        <v>1</v>
      </c>
    </row>
    <row r="666" spans="1:23" x14ac:dyDescent="0.2">
      <c r="A666">
        <v>661</v>
      </c>
      <c r="S666">
        <f t="shared" si="40"/>
        <v>0</v>
      </c>
      <c r="T666">
        <f t="shared" si="41"/>
        <v>0</v>
      </c>
      <c r="V666">
        <f t="shared" si="42"/>
        <v>1</v>
      </c>
      <c r="W666">
        <f t="shared" si="43"/>
        <v>1</v>
      </c>
    </row>
    <row r="667" spans="1:23" x14ac:dyDescent="0.2">
      <c r="A667">
        <v>662</v>
      </c>
      <c r="S667">
        <f t="shared" si="40"/>
        <v>0</v>
      </c>
      <c r="T667">
        <f t="shared" si="41"/>
        <v>0</v>
      </c>
      <c r="V667">
        <f t="shared" si="42"/>
        <v>1</v>
      </c>
      <c r="W667">
        <f t="shared" si="43"/>
        <v>1</v>
      </c>
    </row>
    <row r="668" spans="1:23" x14ac:dyDescent="0.2">
      <c r="A668">
        <v>663</v>
      </c>
      <c r="S668">
        <f t="shared" si="40"/>
        <v>0</v>
      </c>
      <c r="T668">
        <f t="shared" si="41"/>
        <v>0</v>
      </c>
      <c r="V668">
        <f t="shared" si="42"/>
        <v>1</v>
      </c>
      <c r="W668">
        <f t="shared" si="43"/>
        <v>1</v>
      </c>
    </row>
    <row r="669" spans="1:23" x14ac:dyDescent="0.2">
      <c r="A669">
        <v>664</v>
      </c>
      <c r="S669">
        <f t="shared" si="40"/>
        <v>0</v>
      </c>
      <c r="T669">
        <f t="shared" si="41"/>
        <v>0</v>
      </c>
      <c r="V669">
        <f t="shared" si="42"/>
        <v>1</v>
      </c>
      <c r="W669">
        <f t="shared" si="43"/>
        <v>1</v>
      </c>
    </row>
    <row r="670" spans="1:23" x14ac:dyDescent="0.2">
      <c r="A670">
        <v>665</v>
      </c>
      <c r="S670">
        <f t="shared" si="40"/>
        <v>0</v>
      </c>
      <c r="T670">
        <f t="shared" si="41"/>
        <v>0</v>
      </c>
      <c r="V670">
        <f t="shared" si="42"/>
        <v>1</v>
      </c>
      <c r="W670">
        <f t="shared" si="43"/>
        <v>1</v>
      </c>
    </row>
    <row r="671" spans="1:23" x14ac:dyDescent="0.2">
      <c r="A671">
        <v>666</v>
      </c>
      <c r="S671">
        <f t="shared" si="40"/>
        <v>0</v>
      </c>
      <c r="T671">
        <f t="shared" si="41"/>
        <v>0</v>
      </c>
      <c r="V671">
        <f t="shared" si="42"/>
        <v>1</v>
      </c>
      <c r="W671">
        <f t="shared" si="43"/>
        <v>1</v>
      </c>
    </row>
    <row r="672" spans="1:23" x14ac:dyDescent="0.2">
      <c r="A672">
        <v>667</v>
      </c>
      <c r="S672">
        <f t="shared" si="40"/>
        <v>0</v>
      </c>
      <c r="T672">
        <f t="shared" si="41"/>
        <v>0</v>
      </c>
      <c r="V672">
        <f t="shared" si="42"/>
        <v>1</v>
      </c>
      <c r="W672">
        <f t="shared" si="43"/>
        <v>1</v>
      </c>
    </row>
    <row r="673" spans="1:23" x14ac:dyDescent="0.2">
      <c r="A673">
        <v>668</v>
      </c>
      <c r="S673">
        <f t="shared" si="40"/>
        <v>0</v>
      </c>
      <c r="T673">
        <f t="shared" si="41"/>
        <v>0</v>
      </c>
      <c r="V673">
        <f t="shared" si="42"/>
        <v>1</v>
      </c>
      <c r="W673">
        <f t="shared" si="43"/>
        <v>1</v>
      </c>
    </row>
    <row r="674" spans="1:23" x14ac:dyDescent="0.2">
      <c r="A674">
        <v>669</v>
      </c>
      <c r="S674">
        <f t="shared" si="40"/>
        <v>0</v>
      </c>
      <c r="T674">
        <f t="shared" si="41"/>
        <v>0</v>
      </c>
      <c r="V674">
        <f t="shared" si="42"/>
        <v>1</v>
      </c>
      <c r="W674">
        <f t="shared" si="43"/>
        <v>1</v>
      </c>
    </row>
    <row r="675" spans="1:23" x14ac:dyDescent="0.2">
      <c r="A675">
        <v>670</v>
      </c>
      <c r="S675">
        <f t="shared" si="40"/>
        <v>0</v>
      </c>
      <c r="T675">
        <f t="shared" si="41"/>
        <v>0</v>
      </c>
      <c r="V675">
        <f t="shared" si="42"/>
        <v>1</v>
      </c>
      <c r="W675">
        <f t="shared" si="43"/>
        <v>1</v>
      </c>
    </row>
    <row r="676" spans="1:23" x14ac:dyDescent="0.2">
      <c r="A676">
        <v>671</v>
      </c>
      <c r="S676">
        <f t="shared" si="40"/>
        <v>0</v>
      </c>
      <c r="T676">
        <f t="shared" si="41"/>
        <v>0</v>
      </c>
      <c r="V676">
        <f t="shared" si="42"/>
        <v>1</v>
      </c>
      <c r="W676">
        <f t="shared" si="43"/>
        <v>1</v>
      </c>
    </row>
    <row r="677" spans="1:23" x14ac:dyDescent="0.2">
      <c r="A677">
        <v>672</v>
      </c>
      <c r="S677">
        <f t="shared" si="40"/>
        <v>0</v>
      </c>
      <c r="T677">
        <f t="shared" si="41"/>
        <v>0</v>
      </c>
      <c r="V677">
        <f t="shared" si="42"/>
        <v>1</v>
      </c>
      <c r="W677">
        <f t="shared" si="43"/>
        <v>1</v>
      </c>
    </row>
    <row r="678" spans="1:23" x14ac:dyDescent="0.2">
      <c r="A678">
        <v>673</v>
      </c>
      <c r="S678">
        <f t="shared" si="40"/>
        <v>0</v>
      </c>
      <c r="T678">
        <f t="shared" si="41"/>
        <v>0</v>
      </c>
      <c r="V678">
        <f t="shared" si="42"/>
        <v>1</v>
      </c>
      <c r="W678">
        <f t="shared" si="43"/>
        <v>1</v>
      </c>
    </row>
    <row r="679" spans="1:23" x14ac:dyDescent="0.2">
      <c r="A679">
        <v>674</v>
      </c>
      <c r="S679">
        <f t="shared" si="40"/>
        <v>0</v>
      </c>
      <c r="T679">
        <f t="shared" si="41"/>
        <v>0</v>
      </c>
      <c r="V679">
        <f t="shared" si="42"/>
        <v>1</v>
      </c>
      <c r="W679">
        <f t="shared" si="43"/>
        <v>1</v>
      </c>
    </row>
    <row r="680" spans="1:23" x14ac:dyDescent="0.2">
      <c r="A680">
        <v>675</v>
      </c>
      <c r="S680">
        <f t="shared" si="40"/>
        <v>0</v>
      </c>
      <c r="T680">
        <f t="shared" si="41"/>
        <v>0</v>
      </c>
      <c r="V680">
        <f t="shared" si="42"/>
        <v>1</v>
      </c>
      <c r="W680">
        <f t="shared" si="43"/>
        <v>1</v>
      </c>
    </row>
    <row r="681" spans="1:23" x14ac:dyDescent="0.2">
      <c r="A681">
        <v>676</v>
      </c>
      <c r="S681">
        <f t="shared" si="40"/>
        <v>0</v>
      </c>
      <c r="T681">
        <f t="shared" si="41"/>
        <v>0</v>
      </c>
      <c r="V681">
        <f t="shared" si="42"/>
        <v>1</v>
      </c>
      <c r="W681">
        <f t="shared" si="43"/>
        <v>1</v>
      </c>
    </row>
    <row r="682" spans="1:23" x14ac:dyDescent="0.2">
      <c r="A682">
        <v>677</v>
      </c>
      <c r="S682">
        <f t="shared" si="40"/>
        <v>0</v>
      </c>
      <c r="T682">
        <f t="shared" si="41"/>
        <v>0</v>
      </c>
      <c r="V682">
        <f t="shared" si="42"/>
        <v>1</v>
      </c>
      <c r="W682">
        <f t="shared" si="43"/>
        <v>1</v>
      </c>
    </row>
    <row r="683" spans="1:23" x14ac:dyDescent="0.2">
      <c r="A683">
        <v>678</v>
      </c>
      <c r="S683">
        <f t="shared" si="40"/>
        <v>0</v>
      </c>
      <c r="T683">
        <f t="shared" si="41"/>
        <v>0</v>
      </c>
      <c r="V683">
        <f t="shared" si="42"/>
        <v>1</v>
      </c>
      <c r="W683">
        <f t="shared" si="43"/>
        <v>1</v>
      </c>
    </row>
    <row r="684" spans="1:23" x14ac:dyDescent="0.2">
      <c r="A684">
        <v>679</v>
      </c>
      <c r="S684">
        <f t="shared" si="40"/>
        <v>0</v>
      </c>
      <c r="T684">
        <f t="shared" si="41"/>
        <v>0</v>
      </c>
      <c r="V684">
        <f t="shared" si="42"/>
        <v>1</v>
      </c>
      <c r="W684">
        <f t="shared" si="43"/>
        <v>1</v>
      </c>
    </row>
    <row r="685" spans="1:23" x14ac:dyDescent="0.2">
      <c r="A685">
        <v>680</v>
      </c>
      <c r="S685">
        <f t="shared" si="40"/>
        <v>0</v>
      </c>
      <c r="T685">
        <f t="shared" si="41"/>
        <v>0</v>
      </c>
      <c r="V685">
        <f t="shared" si="42"/>
        <v>1</v>
      </c>
      <c r="W685">
        <f t="shared" si="43"/>
        <v>1</v>
      </c>
    </row>
    <row r="686" spans="1:23" x14ac:dyDescent="0.2">
      <c r="A686">
        <v>681</v>
      </c>
      <c r="S686">
        <f t="shared" si="40"/>
        <v>0</v>
      </c>
      <c r="T686">
        <f t="shared" si="41"/>
        <v>0</v>
      </c>
      <c r="V686">
        <f t="shared" si="42"/>
        <v>1</v>
      </c>
      <c r="W686">
        <f t="shared" si="43"/>
        <v>1</v>
      </c>
    </row>
    <row r="687" spans="1:23" x14ac:dyDescent="0.2">
      <c r="A687">
        <v>682</v>
      </c>
      <c r="S687">
        <f t="shared" si="40"/>
        <v>0</v>
      </c>
      <c r="T687">
        <f t="shared" si="41"/>
        <v>0</v>
      </c>
      <c r="V687">
        <f t="shared" si="42"/>
        <v>1</v>
      </c>
      <c r="W687">
        <f t="shared" si="43"/>
        <v>1</v>
      </c>
    </row>
    <row r="688" spans="1:23" x14ac:dyDescent="0.2">
      <c r="A688">
        <v>683</v>
      </c>
      <c r="S688">
        <f t="shared" si="40"/>
        <v>0</v>
      </c>
      <c r="T688">
        <f t="shared" si="41"/>
        <v>0</v>
      </c>
      <c r="V688">
        <f t="shared" si="42"/>
        <v>1</v>
      </c>
      <c r="W688">
        <f t="shared" si="43"/>
        <v>1</v>
      </c>
    </row>
    <row r="689" spans="1:23" x14ac:dyDescent="0.2">
      <c r="A689">
        <v>684</v>
      </c>
      <c r="S689">
        <f t="shared" si="40"/>
        <v>0</v>
      </c>
      <c r="T689">
        <f t="shared" si="41"/>
        <v>0</v>
      </c>
      <c r="V689">
        <f t="shared" si="42"/>
        <v>1</v>
      </c>
      <c r="W689">
        <f t="shared" si="43"/>
        <v>1</v>
      </c>
    </row>
    <row r="690" spans="1:23" x14ac:dyDescent="0.2">
      <c r="A690">
        <v>685</v>
      </c>
      <c r="S690">
        <f t="shared" si="40"/>
        <v>0</v>
      </c>
      <c r="T690">
        <f t="shared" si="41"/>
        <v>0</v>
      </c>
      <c r="V690">
        <f t="shared" si="42"/>
        <v>1</v>
      </c>
      <c r="W690">
        <f t="shared" si="43"/>
        <v>1</v>
      </c>
    </row>
    <row r="691" spans="1:23" x14ac:dyDescent="0.2">
      <c r="A691">
        <v>686</v>
      </c>
      <c r="S691">
        <f t="shared" si="40"/>
        <v>0</v>
      </c>
      <c r="T691">
        <f t="shared" si="41"/>
        <v>0</v>
      </c>
      <c r="V691">
        <f t="shared" si="42"/>
        <v>1</v>
      </c>
      <c r="W691">
        <f t="shared" si="43"/>
        <v>1</v>
      </c>
    </row>
    <row r="692" spans="1:23" x14ac:dyDescent="0.2">
      <c r="A692">
        <v>687</v>
      </c>
      <c r="S692">
        <f t="shared" si="40"/>
        <v>0</v>
      </c>
      <c r="T692">
        <f t="shared" si="41"/>
        <v>0</v>
      </c>
      <c r="V692">
        <f t="shared" si="42"/>
        <v>1</v>
      </c>
      <c r="W692">
        <f t="shared" si="43"/>
        <v>1</v>
      </c>
    </row>
    <row r="693" spans="1:23" x14ac:dyDescent="0.2">
      <c r="A693">
        <v>688</v>
      </c>
      <c r="S693">
        <f t="shared" si="40"/>
        <v>0</v>
      </c>
      <c r="T693">
        <f t="shared" si="41"/>
        <v>0</v>
      </c>
      <c r="V693">
        <f t="shared" si="42"/>
        <v>1</v>
      </c>
      <c r="W693">
        <f t="shared" si="43"/>
        <v>1</v>
      </c>
    </row>
    <row r="694" spans="1:23" x14ac:dyDescent="0.2">
      <c r="A694">
        <v>689</v>
      </c>
      <c r="S694">
        <f t="shared" si="40"/>
        <v>0</v>
      </c>
      <c r="T694">
        <f t="shared" si="41"/>
        <v>0</v>
      </c>
      <c r="V694">
        <f t="shared" si="42"/>
        <v>1</v>
      </c>
      <c r="W694">
        <f t="shared" si="43"/>
        <v>1</v>
      </c>
    </row>
    <row r="695" spans="1:23" x14ac:dyDescent="0.2">
      <c r="A695">
        <v>690</v>
      </c>
      <c r="S695">
        <f t="shared" si="40"/>
        <v>0</v>
      </c>
      <c r="T695">
        <f t="shared" si="41"/>
        <v>0</v>
      </c>
      <c r="V695">
        <f t="shared" si="42"/>
        <v>1</v>
      </c>
      <c r="W695">
        <f t="shared" si="43"/>
        <v>1</v>
      </c>
    </row>
    <row r="696" spans="1:23" x14ac:dyDescent="0.2">
      <c r="A696">
        <v>691</v>
      </c>
      <c r="S696">
        <f t="shared" si="40"/>
        <v>0</v>
      </c>
      <c r="T696">
        <f t="shared" si="41"/>
        <v>0</v>
      </c>
      <c r="V696">
        <f t="shared" si="42"/>
        <v>1</v>
      </c>
      <c r="W696">
        <f t="shared" si="43"/>
        <v>1</v>
      </c>
    </row>
    <row r="697" spans="1:23" x14ac:dyDescent="0.2">
      <c r="A697">
        <v>692</v>
      </c>
      <c r="S697">
        <f t="shared" si="40"/>
        <v>0</v>
      </c>
      <c r="T697">
        <f t="shared" si="41"/>
        <v>0</v>
      </c>
      <c r="V697">
        <f t="shared" si="42"/>
        <v>1</v>
      </c>
      <c r="W697">
        <f t="shared" si="43"/>
        <v>1</v>
      </c>
    </row>
    <row r="698" spans="1:23" x14ac:dyDescent="0.2">
      <c r="A698">
        <v>693</v>
      </c>
      <c r="S698">
        <f t="shared" si="40"/>
        <v>0</v>
      </c>
      <c r="T698">
        <f t="shared" si="41"/>
        <v>0</v>
      </c>
      <c r="V698">
        <f t="shared" si="42"/>
        <v>1</v>
      </c>
      <c r="W698">
        <f t="shared" si="43"/>
        <v>1</v>
      </c>
    </row>
    <row r="699" spans="1:23" x14ac:dyDescent="0.2">
      <c r="A699">
        <v>694</v>
      </c>
      <c r="S699">
        <f t="shared" si="40"/>
        <v>0</v>
      </c>
      <c r="T699">
        <f t="shared" si="41"/>
        <v>0</v>
      </c>
      <c r="V699">
        <f t="shared" si="42"/>
        <v>1</v>
      </c>
      <c r="W699">
        <f t="shared" si="43"/>
        <v>1</v>
      </c>
    </row>
    <row r="700" spans="1:23" x14ac:dyDescent="0.2">
      <c r="A700">
        <v>695</v>
      </c>
      <c r="S700">
        <f t="shared" si="40"/>
        <v>0</v>
      </c>
      <c r="T700">
        <f t="shared" si="41"/>
        <v>0</v>
      </c>
      <c r="V700">
        <f t="shared" si="42"/>
        <v>1</v>
      </c>
      <c r="W700">
        <f t="shared" si="43"/>
        <v>1</v>
      </c>
    </row>
    <row r="701" spans="1:23" x14ac:dyDescent="0.2">
      <c r="A701">
        <v>696</v>
      </c>
      <c r="S701">
        <f t="shared" si="40"/>
        <v>0</v>
      </c>
      <c r="T701">
        <f t="shared" si="41"/>
        <v>0</v>
      </c>
      <c r="V701">
        <f t="shared" si="42"/>
        <v>1</v>
      </c>
      <c r="W701">
        <f t="shared" si="43"/>
        <v>1</v>
      </c>
    </row>
    <row r="702" spans="1:23" x14ac:dyDescent="0.2">
      <c r="A702">
        <v>697</v>
      </c>
      <c r="S702">
        <f t="shared" si="40"/>
        <v>0</v>
      </c>
      <c r="T702">
        <f t="shared" si="41"/>
        <v>0</v>
      </c>
      <c r="V702">
        <f t="shared" si="42"/>
        <v>1</v>
      </c>
      <c r="W702">
        <f t="shared" si="43"/>
        <v>1</v>
      </c>
    </row>
    <row r="703" spans="1:23" x14ac:dyDescent="0.2">
      <c r="A703">
        <v>698</v>
      </c>
      <c r="S703">
        <f t="shared" si="40"/>
        <v>0</v>
      </c>
      <c r="T703">
        <f t="shared" si="41"/>
        <v>0</v>
      </c>
      <c r="V703">
        <f t="shared" si="42"/>
        <v>1</v>
      </c>
      <c r="W703">
        <f t="shared" si="43"/>
        <v>1</v>
      </c>
    </row>
    <row r="704" spans="1:23" x14ac:dyDescent="0.2">
      <c r="A704">
        <v>699</v>
      </c>
      <c r="S704">
        <f t="shared" si="40"/>
        <v>0</v>
      </c>
      <c r="T704">
        <f t="shared" si="41"/>
        <v>0</v>
      </c>
      <c r="V704">
        <f t="shared" si="42"/>
        <v>1</v>
      </c>
      <c r="W704">
        <f t="shared" si="43"/>
        <v>1</v>
      </c>
    </row>
    <row r="705" spans="1:23" x14ac:dyDescent="0.2">
      <c r="A705">
        <v>700</v>
      </c>
      <c r="S705">
        <f t="shared" si="40"/>
        <v>0</v>
      </c>
      <c r="T705">
        <f t="shared" si="41"/>
        <v>0</v>
      </c>
      <c r="V705">
        <f t="shared" si="42"/>
        <v>1</v>
      </c>
      <c r="W705">
        <f t="shared" si="43"/>
        <v>1</v>
      </c>
    </row>
    <row r="706" spans="1:23" x14ac:dyDescent="0.2">
      <c r="A706">
        <v>701</v>
      </c>
      <c r="S706">
        <f t="shared" si="40"/>
        <v>0</v>
      </c>
      <c r="T706">
        <f t="shared" si="41"/>
        <v>0</v>
      </c>
      <c r="V706">
        <f t="shared" si="42"/>
        <v>1</v>
      </c>
      <c r="W706">
        <f t="shared" si="43"/>
        <v>1</v>
      </c>
    </row>
    <row r="707" spans="1:23" x14ac:dyDescent="0.2">
      <c r="A707">
        <v>702</v>
      </c>
      <c r="S707">
        <f t="shared" si="40"/>
        <v>0</v>
      </c>
      <c r="T707">
        <f t="shared" si="41"/>
        <v>0</v>
      </c>
      <c r="V707">
        <f t="shared" si="42"/>
        <v>1</v>
      </c>
      <c r="W707">
        <f t="shared" si="43"/>
        <v>1</v>
      </c>
    </row>
    <row r="708" spans="1:23" x14ac:dyDescent="0.2">
      <c r="A708">
        <v>703</v>
      </c>
      <c r="S708">
        <f t="shared" si="40"/>
        <v>0</v>
      </c>
      <c r="T708">
        <f t="shared" si="41"/>
        <v>0</v>
      </c>
      <c r="V708">
        <f t="shared" si="42"/>
        <v>1</v>
      </c>
      <c r="W708">
        <f t="shared" si="43"/>
        <v>1</v>
      </c>
    </row>
    <row r="709" spans="1:23" x14ac:dyDescent="0.2">
      <c r="A709">
        <v>704</v>
      </c>
      <c r="S709">
        <f t="shared" si="40"/>
        <v>0</v>
      </c>
      <c r="T709">
        <f t="shared" si="41"/>
        <v>0</v>
      </c>
      <c r="V709">
        <f t="shared" si="42"/>
        <v>1</v>
      </c>
      <c r="W709">
        <f t="shared" si="43"/>
        <v>1</v>
      </c>
    </row>
    <row r="710" spans="1:23" x14ac:dyDescent="0.2">
      <c r="A710">
        <v>705</v>
      </c>
      <c r="S710">
        <f t="shared" ref="S710:S773" si="44">$T$1*N710-L710</f>
        <v>0</v>
      </c>
      <c r="T710">
        <f t="shared" ref="T710:T773" si="45">$T$1*Q710-O710</f>
        <v>0</v>
      </c>
      <c r="V710">
        <f t="shared" ref="V710:V773" si="46">IF(S710=MAX($S710:$T710),1,0)</f>
        <v>1</v>
      </c>
      <c r="W710">
        <f t="shared" ref="W710:W773" si="47">IF(T710=MAX($S710:$T710),1,0)</f>
        <v>1</v>
      </c>
    </row>
    <row r="711" spans="1:23" x14ac:dyDescent="0.2">
      <c r="A711">
        <v>706</v>
      </c>
      <c r="S711">
        <f t="shared" si="44"/>
        <v>0</v>
      </c>
      <c r="T711">
        <f t="shared" si="45"/>
        <v>0</v>
      </c>
      <c r="V711">
        <f t="shared" si="46"/>
        <v>1</v>
      </c>
      <c r="W711">
        <f t="shared" si="47"/>
        <v>1</v>
      </c>
    </row>
    <row r="712" spans="1:23" x14ac:dyDescent="0.2">
      <c r="A712">
        <v>707</v>
      </c>
      <c r="S712">
        <f t="shared" si="44"/>
        <v>0</v>
      </c>
      <c r="T712">
        <f t="shared" si="45"/>
        <v>0</v>
      </c>
      <c r="V712">
        <f t="shared" si="46"/>
        <v>1</v>
      </c>
      <c r="W712">
        <f t="shared" si="47"/>
        <v>1</v>
      </c>
    </row>
    <row r="713" spans="1:23" x14ac:dyDescent="0.2">
      <c r="A713">
        <v>708</v>
      </c>
      <c r="S713">
        <f t="shared" si="44"/>
        <v>0</v>
      </c>
      <c r="T713">
        <f t="shared" si="45"/>
        <v>0</v>
      </c>
      <c r="V713">
        <f t="shared" si="46"/>
        <v>1</v>
      </c>
      <c r="W713">
        <f t="shared" si="47"/>
        <v>1</v>
      </c>
    </row>
    <row r="714" spans="1:23" x14ac:dyDescent="0.2">
      <c r="A714">
        <v>709</v>
      </c>
      <c r="S714">
        <f t="shared" si="44"/>
        <v>0</v>
      </c>
      <c r="T714">
        <f t="shared" si="45"/>
        <v>0</v>
      </c>
      <c r="V714">
        <f t="shared" si="46"/>
        <v>1</v>
      </c>
      <c r="W714">
        <f t="shared" si="47"/>
        <v>1</v>
      </c>
    </row>
    <row r="715" spans="1:23" x14ac:dyDescent="0.2">
      <c r="A715">
        <v>710</v>
      </c>
      <c r="S715">
        <f t="shared" si="44"/>
        <v>0</v>
      </c>
      <c r="T715">
        <f t="shared" si="45"/>
        <v>0</v>
      </c>
      <c r="V715">
        <f t="shared" si="46"/>
        <v>1</v>
      </c>
      <c r="W715">
        <f t="shared" si="47"/>
        <v>1</v>
      </c>
    </row>
    <row r="716" spans="1:23" x14ac:dyDescent="0.2">
      <c r="A716">
        <v>711</v>
      </c>
      <c r="S716">
        <f t="shared" si="44"/>
        <v>0</v>
      </c>
      <c r="T716">
        <f t="shared" si="45"/>
        <v>0</v>
      </c>
      <c r="V716">
        <f t="shared" si="46"/>
        <v>1</v>
      </c>
      <c r="W716">
        <f t="shared" si="47"/>
        <v>1</v>
      </c>
    </row>
    <row r="717" spans="1:23" x14ac:dyDescent="0.2">
      <c r="A717">
        <v>712</v>
      </c>
      <c r="S717">
        <f t="shared" si="44"/>
        <v>0</v>
      </c>
      <c r="T717">
        <f t="shared" si="45"/>
        <v>0</v>
      </c>
      <c r="V717">
        <f t="shared" si="46"/>
        <v>1</v>
      </c>
      <c r="W717">
        <f t="shared" si="47"/>
        <v>1</v>
      </c>
    </row>
    <row r="718" spans="1:23" x14ac:dyDescent="0.2">
      <c r="A718">
        <v>713</v>
      </c>
      <c r="S718">
        <f t="shared" si="44"/>
        <v>0</v>
      </c>
      <c r="T718">
        <f t="shared" si="45"/>
        <v>0</v>
      </c>
      <c r="V718">
        <f t="shared" si="46"/>
        <v>1</v>
      </c>
      <c r="W718">
        <f t="shared" si="47"/>
        <v>1</v>
      </c>
    </row>
    <row r="719" spans="1:23" x14ac:dyDescent="0.2">
      <c r="A719">
        <v>714</v>
      </c>
      <c r="S719">
        <f t="shared" si="44"/>
        <v>0</v>
      </c>
      <c r="T719">
        <f t="shared" si="45"/>
        <v>0</v>
      </c>
      <c r="V719">
        <f t="shared" si="46"/>
        <v>1</v>
      </c>
      <c r="W719">
        <f t="shared" si="47"/>
        <v>1</v>
      </c>
    </row>
    <row r="720" spans="1:23" x14ac:dyDescent="0.2">
      <c r="A720">
        <v>715</v>
      </c>
      <c r="S720">
        <f t="shared" si="44"/>
        <v>0</v>
      </c>
      <c r="T720">
        <f t="shared" si="45"/>
        <v>0</v>
      </c>
      <c r="V720">
        <f t="shared" si="46"/>
        <v>1</v>
      </c>
      <c r="W720">
        <f t="shared" si="47"/>
        <v>1</v>
      </c>
    </row>
    <row r="721" spans="1:23" x14ac:dyDescent="0.2">
      <c r="A721">
        <v>716</v>
      </c>
      <c r="S721">
        <f t="shared" si="44"/>
        <v>0</v>
      </c>
      <c r="T721">
        <f t="shared" si="45"/>
        <v>0</v>
      </c>
      <c r="V721">
        <f t="shared" si="46"/>
        <v>1</v>
      </c>
      <c r="W721">
        <f t="shared" si="47"/>
        <v>1</v>
      </c>
    </row>
    <row r="722" spans="1:23" x14ac:dyDescent="0.2">
      <c r="A722">
        <v>717</v>
      </c>
      <c r="S722">
        <f t="shared" si="44"/>
        <v>0</v>
      </c>
      <c r="T722">
        <f t="shared" si="45"/>
        <v>0</v>
      </c>
      <c r="V722">
        <f t="shared" si="46"/>
        <v>1</v>
      </c>
      <c r="W722">
        <f t="shared" si="47"/>
        <v>1</v>
      </c>
    </row>
    <row r="723" spans="1:23" x14ac:dyDescent="0.2">
      <c r="A723">
        <v>718</v>
      </c>
      <c r="S723">
        <f t="shared" si="44"/>
        <v>0</v>
      </c>
      <c r="T723">
        <f t="shared" si="45"/>
        <v>0</v>
      </c>
      <c r="V723">
        <f t="shared" si="46"/>
        <v>1</v>
      </c>
      <c r="W723">
        <f t="shared" si="47"/>
        <v>1</v>
      </c>
    </row>
    <row r="724" spans="1:23" x14ac:dyDescent="0.2">
      <c r="A724">
        <v>719</v>
      </c>
      <c r="S724">
        <f t="shared" si="44"/>
        <v>0</v>
      </c>
      <c r="T724">
        <f t="shared" si="45"/>
        <v>0</v>
      </c>
      <c r="V724">
        <f t="shared" si="46"/>
        <v>1</v>
      </c>
      <c r="W724">
        <f t="shared" si="47"/>
        <v>1</v>
      </c>
    </row>
    <row r="725" spans="1:23" x14ac:dyDescent="0.2">
      <c r="A725">
        <v>720</v>
      </c>
      <c r="S725">
        <f t="shared" si="44"/>
        <v>0</v>
      </c>
      <c r="T725">
        <f t="shared" si="45"/>
        <v>0</v>
      </c>
      <c r="V725">
        <f t="shared" si="46"/>
        <v>1</v>
      </c>
      <c r="W725">
        <f t="shared" si="47"/>
        <v>1</v>
      </c>
    </row>
    <row r="726" spans="1:23" x14ac:dyDescent="0.2">
      <c r="A726">
        <v>721</v>
      </c>
      <c r="S726">
        <f t="shared" si="44"/>
        <v>0</v>
      </c>
      <c r="T726">
        <f t="shared" si="45"/>
        <v>0</v>
      </c>
      <c r="V726">
        <f t="shared" si="46"/>
        <v>1</v>
      </c>
      <c r="W726">
        <f t="shared" si="47"/>
        <v>1</v>
      </c>
    </row>
    <row r="727" spans="1:23" x14ac:dyDescent="0.2">
      <c r="A727">
        <v>722</v>
      </c>
      <c r="S727">
        <f t="shared" si="44"/>
        <v>0</v>
      </c>
      <c r="T727">
        <f t="shared" si="45"/>
        <v>0</v>
      </c>
      <c r="V727">
        <f t="shared" si="46"/>
        <v>1</v>
      </c>
      <c r="W727">
        <f t="shared" si="47"/>
        <v>1</v>
      </c>
    </row>
    <row r="728" spans="1:23" x14ac:dyDescent="0.2">
      <c r="A728">
        <v>723</v>
      </c>
      <c r="S728">
        <f t="shared" si="44"/>
        <v>0</v>
      </c>
      <c r="T728">
        <f t="shared" si="45"/>
        <v>0</v>
      </c>
      <c r="V728">
        <f t="shared" si="46"/>
        <v>1</v>
      </c>
      <c r="W728">
        <f t="shared" si="47"/>
        <v>1</v>
      </c>
    </row>
    <row r="729" spans="1:23" x14ac:dyDescent="0.2">
      <c r="A729">
        <v>724</v>
      </c>
      <c r="S729">
        <f t="shared" si="44"/>
        <v>0</v>
      </c>
      <c r="T729">
        <f t="shared" si="45"/>
        <v>0</v>
      </c>
      <c r="V729">
        <f t="shared" si="46"/>
        <v>1</v>
      </c>
      <c r="W729">
        <f t="shared" si="47"/>
        <v>1</v>
      </c>
    </row>
    <row r="730" spans="1:23" x14ac:dyDescent="0.2">
      <c r="A730">
        <v>725</v>
      </c>
      <c r="S730">
        <f t="shared" si="44"/>
        <v>0</v>
      </c>
      <c r="T730">
        <f t="shared" si="45"/>
        <v>0</v>
      </c>
      <c r="V730">
        <f t="shared" si="46"/>
        <v>1</v>
      </c>
      <c r="W730">
        <f t="shared" si="47"/>
        <v>1</v>
      </c>
    </row>
    <row r="731" spans="1:23" x14ac:dyDescent="0.2">
      <c r="A731">
        <v>726</v>
      </c>
      <c r="S731">
        <f t="shared" si="44"/>
        <v>0</v>
      </c>
      <c r="T731">
        <f t="shared" si="45"/>
        <v>0</v>
      </c>
      <c r="V731">
        <f t="shared" si="46"/>
        <v>1</v>
      </c>
      <c r="W731">
        <f t="shared" si="47"/>
        <v>1</v>
      </c>
    </row>
    <row r="732" spans="1:23" x14ac:dyDescent="0.2">
      <c r="A732">
        <v>727</v>
      </c>
      <c r="S732">
        <f t="shared" si="44"/>
        <v>0</v>
      </c>
      <c r="T732">
        <f t="shared" si="45"/>
        <v>0</v>
      </c>
      <c r="V732">
        <f t="shared" si="46"/>
        <v>1</v>
      </c>
      <c r="W732">
        <f t="shared" si="47"/>
        <v>1</v>
      </c>
    </row>
    <row r="733" spans="1:23" x14ac:dyDescent="0.2">
      <c r="A733">
        <v>728</v>
      </c>
      <c r="S733">
        <f t="shared" si="44"/>
        <v>0</v>
      </c>
      <c r="T733">
        <f t="shared" si="45"/>
        <v>0</v>
      </c>
      <c r="V733">
        <f t="shared" si="46"/>
        <v>1</v>
      </c>
      <c r="W733">
        <f t="shared" si="47"/>
        <v>1</v>
      </c>
    </row>
    <row r="734" spans="1:23" x14ac:dyDescent="0.2">
      <c r="A734">
        <v>729</v>
      </c>
      <c r="S734">
        <f t="shared" si="44"/>
        <v>0</v>
      </c>
      <c r="T734">
        <f t="shared" si="45"/>
        <v>0</v>
      </c>
      <c r="V734">
        <f t="shared" si="46"/>
        <v>1</v>
      </c>
      <c r="W734">
        <f t="shared" si="47"/>
        <v>1</v>
      </c>
    </row>
    <row r="735" spans="1:23" x14ac:dyDescent="0.2">
      <c r="A735">
        <v>730</v>
      </c>
      <c r="S735">
        <f t="shared" si="44"/>
        <v>0</v>
      </c>
      <c r="T735">
        <f t="shared" si="45"/>
        <v>0</v>
      </c>
      <c r="V735">
        <f t="shared" si="46"/>
        <v>1</v>
      </c>
      <c r="W735">
        <f t="shared" si="47"/>
        <v>1</v>
      </c>
    </row>
    <row r="736" spans="1:23" x14ac:dyDescent="0.2">
      <c r="A736">
        <v>731</v>
      </c>
      <c r="S736">
        <f t="shared" si="44"/>
        <v>0</v>
      </c>
      <c r="T736">
        <f t="shared" si="45"/>
        <v>0</v>
      </c>
      <c r="V736">
        <f t="shared" si="46"/>
        <v>1</v>
      </c>
      <c r="W736">
        <f t="shared" si="47"/>
        <v>1</v>
      </c>
    </row>
    <row r="737" spans="1:23" x14ac:dyDescent="0.2">
      <c r="A737">
        <v>732</v>
      </c>
      <c r="S737">
        <f t="shared" si="44"/>
        <v>0</v>
      </c>
      <c r="T737">
        <f t="shared" si="45"/>
        <v>0</v>
      </c>
      <c r="V737">
        <f t="shared" si="46"/>
        <v>1</v>
      </c>
      <c r="W737">
        <f t="shared" si="47"/>
        <v>1</v>
      </c>
    </row>
    <row r="738" spans="1:23" x14ac:dyDescent="0.2">
      <c r="A738">
        <v>733</v>
      </c>
      <c r="S738">
        <f t="shared" si="44"/>
        <v>0</v>
      </c>
      <c r="T738">
        <f t="shared" si="45"/>
        <v>0</v>
      </c>
      <c r="V738">
        <f t="shared" si="46"/>
        <v>1</v>
      </c>
      <c r="W738">
        <f t="shared" si="47"/>
        <v>1</v>
      </c>
    </row>
    <row r="739" spans="1:23" x14ac:dyDescent="0.2">
      <c r="A739">
        <v>734</v>
      </c>
      <c r="S739">
        <f t="shared" si="44"/>
        <v>0</v>
      </c>
      <c r="T739">
        <f t="shared" si="45"/>
        <v>0</v>
      </c>
      <c r="V739">
        <f t="shared" si="46"/>
        <v>1</v>
      </c>
      <c r="W739">
        <f t="shared" si="47"/>
        <v>1</v>
      </c>
    </row>
    <row r="740" spans="1:23" x14ac:dyDescent="0.2">
      <c r="A740">
        <v>735</v>
      </c>
      <c r="S740">
        <f t="shared" si="44"/>
        <v>0</v>
      </c>
      <c r="T740">
        <f t="shared" si="45"/>
        <v>0</v>
      </c>
      <c r="V740">
        <f t="shared" si="46"/>
        <v>1</v>
      </c>
      <c r="W740">
        <f t="shared" si="47"/>
        <v>1</v>
      </c>
    </row>
    <row r="741" spans="1:23" x14ac:dyDescent="0.2">
      <c r="A741">
        <v>736</v>
      </c>
      <c r="S741">
        <f t="shared" si="44"/>
        <v>0</v>
      </c>
      <c r="T741">
        <f t="shared" si="45"/>
        <v>0</v>
      </c>
      <c r="V741">
        <f t="shared" si="46"/>
        <v>1</v>
      </c>
      <c r="W741">
        <f t="shared" si="47"/>
        <v>1</v>
      </c>
    </row>
    <row r="742" spans="1:23" x14ac:dyDescent="0.2">
      <c r="A742">
        <v>737</v>
      </c>
      <c r="S742">
        <f t="shared" si="44"/>
        <v>0</v>
      </c>
      <c r="T742">
        <f t="shared" si="45"/>
        <v>0</v>
      </c>
      <c r="V742">
        <f t="shared" si="46"/>
        <v>1</v>
      </c>
      <c r="W742">
        <f t="shared" si="47"/>
        <v>1</v>
      </c>
    </row>
    <row r="743" spans="1:23" x14ac:dyDescent="0.2">
      <c r="A743">
        <v>738</v>
      </c>
      <c r="S743">
        <f t="shared" si="44"/>
        <v>0</v>
      </c>
      <c r="T743">
        <f t="shared" si="45"/>
        <v>0</v>
      </c>
      <c r="V743">
        <f t="shared" si="46"/>
        <v>1</v>
      </c>
      <c r="W743">
        <f t="shared" si="47"/>
        <v>1</v>
      </c>
    </row>
    <row r="744" spans="1:23" x14ac:dyDescent="0.2">
      <c r="A744">
        <v>739</v>
      </c>
      <c r="S744">
        <f t="shared" si="44"/>
        <v>0</v>
      </c>
      <c r="T744">
        <f t="shared" si="45"/>
        <v>0</v>
      </c>
      <c r="V744">
        <f t="shared" si="46"/>
        <v>1</v>
      </c>
      <c r="W744">
        <f t="shared" si="47"/>
        <v>1</v>
      </c>
    </row>
    <row r="745" spans="1:23" x14ac:dyDescent="0.2">
      <c r="A745">
        <v>740</v>
      </c>
      <c r="S745">
        <f t="shared" si="44"/>
        <v>0</v>
      </c>
      <c r="T745">
        <f t="shared" si="45"/>
        <v>0</v>
      </c>
      <c r="V745">
        <f t="shared" si="46"/>
        <v>1</v>
      </c>
      <c r="W745">
        <f t="shared" si="47"/>
        <v>1</v>
      </c>
    </row>
    <row r="746" spans="1:23" x14ac:dyDescent="0.2">
      <c r="A746">
        <v>741</v>
      </c>
      <c r="S746">
        <f t="shared" si="44"/>
        <v>0</v>
      </c>
      <c r="T746">
        <f t="shared" si="45"/>
        <v>0</v>
      </c>
      <c r="V746">
        <f t="shared" si="46"/>
        <v>1</v>
      </c>
      <c r="W746">
        <f t="shared" si="47"/>
        <v>1</v>
      </c>
    </row>
    <row r="747" spans="1:23" x14ac:dyDescent="0.2">
      <c r="A747">
        <v>742</v>
      </c>
      <c r="S747">
        <f t="shared" si="44"/>
        <v>0</v>
      </c>
      <c r="T747">
        <f t="shared" si="45"/>
        <v>0</v>
      </c>
      <c r="V747">
        <f t="shared" si="46"/>
        <v>1</v>
      </c>
      <c r="W747">
        <f t="shared" si="47"/>
        <v>1</v>
      </c>
    </row>
    <row r="748" spans="1:23" x14ac:dyDescent="0.2">
      <c r="A748">
        <v>743</v>
      </c>
      <c r="S748">
        <f t="shared" si="44"/>
        <v>0</v>
      </c>
      <c r="T748">
        <f t="shared" si="45"/>
        <v>0</v>
      </c>
      <c r="V748">
        <f t="shared" si="46"/>
        <v>1</v>
      </c>
      <c r="W748">
        <f t="shared" si="47"/>
        <v>1</v>
      </c>
    </row>
    <row r="749" spans="1:23" x14ac:dyDescent="0.2">
      <c r="A749">
        <v>744</v>
      </c>
      <c r="S749">
        <f t="shared" si="44"/>
        <v>0</v>
      </c>
      <c r="T749">
        <f t="shared" si="45"/>
        <v>0</v>
      </c>
      <c r="V749">
        <f t="shared" si="46"/>
        <v>1</v>
      </c>
      <c r="W749">
        <f t="shared" si="47"/>
        <v>1</v>
      </c>
    </row>
    <row r="750" spans="1:23" x14ac:dyDescent="0.2">
      <c r="A750">
        <v>745</v>
      </c>
      <c r="S750">
        <f t="shared" si="44"/>
        <v>0</v>
      </c>
      <c r="T750">
        <f t="shared" si="45"/>
        <v>0</v>
      </c>
      <c r="V750">
        <f t="shared" si="46"/>
        <v>1</v>
      </c>
      <c r="W750">
        <f t="shared" si="47"/>
        <v>1</v>
      </c>
    </row>
    <row r="751" spans="1:23" x14ac:dyDescent="0.2">
      <c r="A751">
        <v>746</v>
      </c>
      <c r="S751">
        <f t="shared" si="44"/>
        <v>0</v>
      </c>
      <c r="T751">
        <f t="shared" si="45"/>
        <v>0</v>
      </c>
      <c r="V751">
        <f t="shared" si="46"/>
        <v>1</v>
      </c>
      <c r="W751">
        <f t="shared" si="47"/>
        <v>1</v>
      </c>
    </row>
    <row r="752" spans="1:23" x14ac:dyDescent="0.2">
      <c r="A752">
        <v>747</v>
      </c>
      <c r="S752">
        <f t="shared" si="44"/>
        <v>0</v>
      </c>
      <c r="T752">
        <f t="shared" si="45"/>
        <v>0</v>
      </c>
      <c r="V752">
        <f t="shared" si="46"/>
        <v>1</v>
      </c>
      <c r="W752">
        <f t="shared" si="47"/>
        <v>1</v>
      </c>
    </row>
    <row r="753" spans="1:23" x14ac:dyDescent="0.2">
      <c r="A753">
        <v>748</v>
      </c>
      <c r="S753">
        <f t="shared" si="44"/>
        <v>0</v>
      </c>
      <c r="T753">
        <f t="shared" si="45"/>
        <v>0</v>
      </c>
      <c r="V753">
        <f t="shared" si="46"/>
        <v>1</v>
      </c>
      <c r="W753">
        <f t="shared" si="47"/>
        <v>1</v>
      </c>
    </row>
    <row r="754" spans="1:23" x14ac:dyDescent="0.2">
      <c r="A754">
        <v>749</v>
      </c>
      <c r="S754">
        <f t="shared" si="44"/>
        <v>0</v>
      </c>
      <c r="T754">
        <f t="shared" si="45"/>
        <v>0</v>
      </c>
      <c r="V754">
        <f t="shared" si="46"/>
        <v>1</v>
      </c>
      <c r="W754">
        <f t="shared" si="47"/>
        <v>1</v>
      </c>
    </row>
    <row r="755" spans="1:23" x14ac:dyDescent="0.2">
      <c r="A755">
        <v>750</v>
      </c>
      <c r="S755">
        <f t="shared" si="44"/>
        <v>0</v>
      </c>
      <c r="T755">
        <f t="shared" si="45"/>
        <v>0</v>
      </c>
      <c r="V755">
        <f t="shared" si="46"/>
        <v>1</v>
      </c>
      <c r="W755">
        <f t="shared" si="47"/>
        <v>1</v>
      </c>
    </row>
    <row r="756" spans="1:23" x14ac:dyDescent="0.2">
      <c r="A756">
        <v>751</v>
      </c>
      <c r="S756">
        <f t="shared" si="44"/>
        <v>0</v>
      </c>
      <c r="T756">
        <f t="shared" si="45"/>
        <v>0</v>
      </c>
      <c r="V756">
        <f t="shared" si="46"/>
        <v>1</v>
      </c>
      <c r="W756">
        <f t="shared" si="47"/>
        <v>1</v>
      </c>
    </row>
    <row r="757" spans="1:23" x14ac:dyDescent="0.2">
      <c r="A757">
        <v>752</v>
      </c>
      <c r="S757">
        <f t="shared" si="44"/>
        <v>0</v>
      </c>
      <c r="T757">
        <f t="shared" si="45"/>
        <v>0</v>
      </c>
      <c r="V757">
        <f t="shared" si="46"/>
        <v>1</v>
      </c>
      <c r="W757">
        <f t="shared" si="47"/>
        <v>1</v>
      </c>
    </row>
    <row r="758" spans="1:23" x14ac:dyDescent="0.2">
      <c r="A758">
        <v>753</v>
      </c>
      <c r="S758">
        <f t="shared" si="44"/>
        <v>0</v>
      </c>
      <c r="T758">
        <f t="shared" si="45"/>
        <v>0</v>
      </c>
      <c r="V758">
        <f t="shared" si="46"/>
        <v>1</v>
      </c>
      <c r="W758">
        <f t="shared" si="47"/>
        <v>1</v>
      </c>
    </row>
    <row r="759" spans="1:23" x14ac:dyDescent="0.2">
      <c r="A759">
        <v>754</v>
      </c>
      <c r="S759">
        <f t="shared" si="44"/>
        <v>0</v>
      </c>
      <c r="T759">
        <f t="shared" si="45"/>
        <v>0</v>
      </c>
      <c r="V759">
        <f t="shared" si="46"/>
        <v>1</v>
      </c>
      <c r="W759">
        <f t="shared" si="47"/>
        <v>1</v>
      </c>
    </row>
    <row r="760" spans="1:23" x14ac:dyDescent="0.2">
      <c r="A760">
        <v>755</v>
      </c>
      <c r="S760">
        <f t="shared" si="44"/>
        <v>0</v>
      </c>
      <c r="T760">
        <f t="shared" si="45"/>
        <v>0</v>
      </c>
      <c r="V760">
        <f t="shared" si="46"/>
        <v>1</v>
      </c>
      <c r="W760">
        <f t="shared" si="47"/>
        <v>1</v>
      </c>
    </row>
    <row r="761" spans="1:23" x14ac:dyDescent="0.2">
      <c r="A761">
        <v>756</v>
      </c>
      <c r="S761">
        <f t="shared" si="44"/>
        <v>0</v>
      </c>
      <c r="T761">
        <f t="shared" si="45"/>
        <v>0</v>
      </c>
      <c r="V761">
        <f t="shared" si="46"/>
        <v>1</v>
      </c>
      <c r="W761">
        <f t="shared" si="47"/>
        <v>1</v>
      </c>
    </row>
    <row r="762" spans="1:23" x14ac:dyDescent="0.2">
      <c r="A762">
        <v>757</v>
      </c>
      <c r="S762">
        <f t="shared" si="44"/>
        <v>0</v>
      </c>
      <c r="T762">
        <f t="shared" si="45"/>
        <v>0</v>
      </c>
      <c r="V762">
        <f t="shared" si="46"/>
        <v>1</v>
      </c>
      <c r="W762">
        <f t="shared" si="47"/>
        <v>1</v>
      </c>
    </row>
    <row r="763" spans="1:23" x14ac:dyDescent="0.2">
      <c r="A763">
        <v>758</v>
      </c>
      <c r="S763">
        <f t="shared" si="44"/>
        <v>0</v>
      </c>
      <c r="T763">
        <f t="shared" si="45"/>
        <v>0</v>
      </c>
      <c r="V763">
        <f t="shared" si="46"/>
        <v>1</v>
      </c>
      <c r="W763">
        <f t="shared" si="47"/>
        <v>1</v>
      </c>
    </row>
    <row r="764" spans="1:23" x14ac:dyDescent="0.2">
      <c r="A764">
        <v>759</v>
      </c>
      <c r="S764">
        <f t="shared" si="44"/>
        <v>0</v>
      </c>
      <c r="T764">
        <f t="shared" si="45"/>
        <v>0</v>
      </c>
      <c r="V764">
        <f t="shared" si="46"/>
        <v>1</v>
      </c>
      <c r="W764">
        <f t="shared" si="47"/>
        <v>1</v>
      </c>
    </row>
    <row r="765" spans="1:23" x14ac:dyDescent="0.2">
      <c r="A765">
        <v>760</v>
      </c>
      <c r="S765">
        <f t="shared" si="44"/>
        <v>0</v>
      </c>
      <c r="T765">
        <f t="shared" si="45"/>
        <v>0</v>
      </c>
      <c r="V765">
        <f t="shared" si="46"/>
        <v>1</v>
      </c>
      <c r="W765">
        <f t="shared" si="47"/>
        <v>1</v>
      </c>
    </row>
    <row r="766" spans="1:23" x14ac:dyDescent="0.2">
      <c r="A766">
        <v>761</v>
      </c>
      <c r="S766">
        <f t="shared" si="44"/>
        <v>0</v>
      </c>
      <c r="T766">
        <f t="shared" si="45"/>
        <v>0</v>
      </c>
      <c r="V766">
        <f t="shared" si="46"/>
        <v>1</v>
      </c>
      <c r="W766">
        <f t="shared" si="47"/>
        <v>1</v>
      </c>
    </row>
    <row r="767" spans="1:23" x14ac:dyDescent="0.2">
      <c r="A767">
        <v>762</v>
      </c>
      <c r="S767">
        <f t="shared" si="44"/>
        <v>0</v>
      </c>
      <c r="T767">
        <f t="shared" si="45"/>
        <v>0</v>
      </c>
      <c r="V767">
        <f t="shared" si="46"/>
        <v>1</v>
      </c>
      <c r="W767">
        <f t="shared" si="47"/>
        <v>1</v>
      </c>
    </row>
    <row r="768" spans="1:23" x14ac:dyDescent="0.2">
      <c r="A768">
        <v>763</v>
      </c>
      <c r="S768">
        <f t="shared" si="44"/>
        <v>0</v>
      </c>
      <c r="T768">
        <f t="shared" si="45"/>
        <v>0</v>
      </c>
      <c r="V768">
        <f t="shared" si="46"/>
        <v>1</v>
      </c>
      <c r="W768">
        <f t="shared" si="47"/>
        <v>1</v>
      </c>
    </row>
    <row r="769" spans="1:23" x14ac:dyDescent="0.2">
      <c r="A769">
        <v>764</v>
      </c>
      <c r="S769">
        <f t="shared" si="44"/>
        <v>0</v>
      </c>
      <c r="T769">
        <f t="shared" si="45"/>
        <v>0</v>
      </c>
      <c r="V769">
        <f t="shared" si="46"/>
        <v>1</v>
      </c>
      <c r="W769">
        <f t="shared" si="47"/>
        <v>1</v>
      </c>
    </row>
    <row r="770" spans="1:23" x14ac:dyDescent="0.2">
      <c r="A770">
        <v>765</v>
      </c>
      <c r="S770">
        <f t="shared" si="44"/>
        <v>0</v>
      </c>
      <c r="T770">
        <f t="shared" si="45"/>
        <v>0</v>
      </c>
      <c r="V770">
        <f t="shared" si="46"/>
        <v>1</v>
      </c>
      <c r="W770">
        <f t="shared" si="47"/>
        <v>1</v>
      </c>
    </row>
    <row r="771" spans="1:23" x14ac:dyDescent="0.2">
      <c r="A771">
        <v>766</v>
      </c>
      <c r="S771">
        <f t="shared" si="44"/>
        <v>0</v>
      </c>
      <c r="T771">
        <f t="shared" si="45"/>
        <v>0</v>
      </c>
      <c r="V771">
        <f t="shared" si="46"/>
        <v>1</v>
      </c>
      <c r="W771">
        <f t="shared" si="47"/>
        <v>1</v>
      </c>
    </row>
    <row r="772" spans="1:23" x14ac:dyDescent="0.2">
      <c r="A772">
        <v>767</v>
      </c>
      <c r="S772">
        <f t="shared" si="44"/>
        <v>0</v>
      </c>
      <c r="T772">
        <f t="shared" si="45"/>
        <v>0</v>
      </c>
      <c r="V772">
        <f t="shared" si="46"/>
        <v>1</v>
      </c>
      <c r="W772">
        <f t="shared" si="47"/>
        <v>1</v>
      </c>
    </row>
    <row r="773" spans="1:23" x14ac:dyDescent="0.2">
      <c r="A773">
        <v>768</v>
      </c>
      <c r="S773">
        <f t="shared" si="44"/>
        <v>0</v>
      </c>
      <c r="T773">
        <f t="shared" si="45"/>
        <v>0</v>
      </c>
      <c r="V773">
        <f t="shared" si="46"/>
        <v>1</v>
      </c>
      <c r="W773">
        <f t="shared" si="47"/>
        <v>1</v>
      </c>
    </row>
    <row r="774" spans="1:23" x14ac:dyDescent="0.2">
      <c r="A774">
        <v>769</v>
      </c>
      <c r="S774">
        <f t="shared" ref="S774:S837" si="48">$T$1*N774-L774</f>
        <v>0</v>
      </c>
      <c r="T774">
        <f t="shared" ref="T774:T837" si="49">$T$1*Q774-O774</f>
        <v>0</v>
      </c>
      <c r="V774">
        <f t="shared" ref="V774:V837" si="50">IF(S774=MAX($S774:$T774),1,0)</f>
        <v>1</v>
      </c>
      <c r="W774">
        <f t="shared" ref="W774:W837" si="51">IF(T774=MAX($S774:$T774),1,0)</f>
        <v>1</v>
      </c>
    </row>
    <row r="775" spans="1:23" x14ac:dyDescent="0.2">
      <c r="A775">
        <v>770</v>
      </c>
      <c r="S775">
        <f t="shared" si="48"/>
        <v>0</v>
      </c>
      <c r="T775">
        <f t="shared" si="49"/>
        <v>0</v>
      </c>
      <c r="V775">
        <f t="shared" si="50"/>
        <v>1</v>
      </c>
      <c r="W775">
        <f t="shared" si="51"/>
        <v>1</v>
      </c>
    </row>
    <row r="776" spans="1:23" x14ac:dyDescent="0.2">
      <c r="A776">
        <v>771</v>
      </c>
      <c r="S776">
        <f t="shared" si="48"/>
        <v>0</v>
      </c>
      <c r="T776">
        <f t="shared" si="49"/>
        <v>0</v>
      </c>
      <c r="V776">
        <f t="shared" si="50"/>
        <v>1</v>
      </c>
      <c r="W776">
        <f t="shared" si="51"/>
        <v>1</v>
      </c>
    </row>
    <row r="777" spans="1:23" x14ac:dyDescent="0.2">
      <c r="A777">
        <v>772</v>
      </c>
      <c r="S777">
        <f t="shared" si="48"/>
        <v>0</v>
      </c>
      <c r="T777">
        <f t="shared" si="49"/>
        <v>0</v>
      </c>
      <c r="V777">
        <f t="shared" si="50"/>
        <v>1</v>
      </c>
      <c r="W777">
        <f t="shared" si="51"/>
        <v>1</v>
      </c>
    </row>
    <row r="778" spans="1:23" x14ac:dyDescent="0.2">
      <c r="A778">
        <v>773</v>
      </c>
      <c r="S778">
        <f t="shared" si="48"/>
        <v>0</v>
      </c>
      <c r="T778">
        <f t="shared" si="49"/>
        <v>0</v>
      </c>
      <c r="V778">
        <f t="shared" si="50"/>
        <v>1</v>
      </c>
      <c r="W778">
        <f t="shared" si="51"/>
        <v>1</v>
      </c>
    </row>
    <row r="779" spans="1:23" x14ac:dyDescent="0.2">
      <c r="A779">
        <v>774</v>
      </c>
      <c r="S779">
        <f t="shared" si="48"/>
        <v>0</v>
      </c>
      <c r="T779">
        <f t="shared" si="49"/>
        <v>0</v>
      </c>
      <c r="V779">
        <f t="shared" si="50"/>
        <v>1</v>
      </c>
      <c r="W779">
        <f t="shared" si="51"/>
        <v>1</v>
      </c>
    </row>
    <row r="780" spans="1:23" x14ac:dyDescent="0.2">
      <c r="A780">
        <v>775</v>
      </c>
      <c r="S780">
        <f t="shared" si="48"/>
        <v>0</v>
      </c>
      <c r="T780">
        <f t="shared" si="49"/>
        <v>0</v>
      </c>
      <c r="V780">
        <f t="shared" si="50"/>
        <v>1</v>
      </c>
      <c r="W780">
        <f t="shared" si="51"/>
        <v>1</v>
      </c>
    </row>
    <row r="781" spans="1:23" x14ac:dyDescent="0.2">
      <c r="A781">
        <v>776</v>
      </c>
      <c r="S781">
        <f t="shared" si="48"/>
        <v>0</v>
      </c>
      <c r="T781">
        <f t="shared" si="49"/>
        <v>0</v>
      </c>
      <c r="V781">
        <f t="shared" si="50"/>
        <v>1</v>
      </c>
      <c r="W781">
        <f t="shared" si="51"/>
        <v>1</v>
      </c>
    </row>
    <row r="782" spans="1:23" x14ac:dyDescent="0.2">
      <c r="A782">
        <v>777</v>
      </c>
      <c r="S782">
        <f t="shared" si="48"/>
        <v>0</v>
      </c>
      <c r="T782">
        <f t="shared" si="49"/>
        <v>0</v>
      </c>
      <c r="V782">
        <f t="shared" si="50"/>
        <v>1</v>
      </c>
      <c r="W782">
        <f t="shared" si="51"/>
        <v>1</v>
      </c>
    </row>
    <row r="783" spans="1:23" x14ac:dyDescent="0.2">
      <c r="A783">
        <v>778</v>
      </c>
      <c r="S783">
        <f t="shared" si="48"/>
        <v>0</v>
      </c>
      <c r="T783">
        <f t="shared" si="49"/>
        <v>0</v>
      </c>
      <c r="V783">
        <f t="shared" si="50"/>
        <v>1</v>
      </c>
      <c r="W783">
        <f t="shared" si="51"/>
        <v>1</v>
      </c>
    </row>
    <row r="784" spans="1:23" x14ac:dyDescent="0.2">
      <c r="A784">
        <v>779</v>
      </c>
      <c r="S784">
        <f t="shared" si="48"/>
        <v>0</v>
      </c>
      <c r="T784">
        <f t="shared" si="49"/>
        <v>0</v>
      </c>
      <c r="V784">
        <f t="shared" si="50"/>
        <v>1</v>
      </c>
      <c r="W784">
        <f t="shared" si="51"/>
        <v>1</v>
      </c>
    </row>
    <row r="785" spans="1:23" x14ac:dyDescent="0.2">
      <c r="A785">
        <v>780</v>
      </c>
      <c r="S785">
        <f t="shared" si="48"/>
        <v>0</v>
      </c>
      <c r="T785">
        <f t="shared" si="49"/>
        <v>0</v>
      </c>
      <c r="V785">
        <f t="shared" si="50"/>
        <v>1</v>
      </c>
      <c r="W785">
        <f t="shared" si="51"/>
        <v>1</v>
      </c>
    </row>
    <row r="786" spans="1:23" x14ac:dyDescent="0.2">
      <c r="A786">
        <v>781</v>
      </c>
      <c r="S786">
        <f t="shared" si="48"/>
        <v>0</v>
      </c>
      <c r="T786">
        <f t="shared" si="49"/>
        <v>0</v>
      </c>
      <c r="V786">
        <f t="shared" si="50"/>
        <v>1</v>
      </c>
      <c r="W786">
        <f t="shared" si="51"/>
        <v>1</v>
      </c>
    </row>
    <row r="787" spans="1:23" x14ac:dyDescent="0.2">
      <c r="A787">
        <v>782</v>
      </c>
      <c r="S787">
        <f t="shared" si="48"/>
        <v>0</v>
      </c>
      <c r="T787">
        <f t="shared" si="49"/>
        <v>0</v>
      </c>
      <c r="V787">
        <f t="shared" si="50"/>
        <v>1</v>
      </c>
      <c r="W787">
        <f t="shared" si="51"/>
        <v>1</v>
      </c>
    </row>
    <row r="788" spans="1:23" x14ac:dyDescent="0.2">
      <c r="A788">
        <v>783</v>
      </c>
      <c r="S788">
        <f t="shared" si="48"/>
        <v>0</v>
      </c>
      <c r="T788">
        <f t="shared" si="49"/>
        <v>0</v>
      </c>
      <c r="V788">
        <f t="shared" si="50"/>
        <v>1</v>
      </c>
      <c r="W788">
        <f t="shared" si="51"/>
        <v>1</v>
      </c>
    </row>
    <row r="789" spans="1:23" x14ac:dyDescent="0.2">
      <c r="A789">
        <v>784</v>
      </c>
      <c r="S789">
        <f t="shared" si="48"/>
        <v>0</v>
      </c>
      <c r="T789">
        <f t="shared" si="49"/>
        <v>0</v>
      </c>
      <c r="V789">
        <f t="shared" si="50"/>
        <v>1</v>
      </c>
      <c r="W789">
        <f t="shared" si="51"/>
        <v>1</v>
      </c>
    </row>
    <row r="790" spans="1:23" x14ac:dyDescent="0.2">
      <c r="A790">
        <v>785</v>
      </c>
      <c r="S790">
        <f t="shared" si="48"/>
        <v>0</v>
      </c>
      <c r="T790">
        <f t="shared" si="49"/>
        <v>0</v>
      </c>
      <c r="V790">
        <f t="shared" si="50"/>
        <v>1</v>
      </c>
      <c r="W790">
        <f t="shared" si="51"/>
        <v>1</v>
      </c>
    </row>
    <row r="791" spans="1:23" x14ac:dyDescent="0.2">
      <c r="A791">
        <v>786</v>
      </c>
      <c r="S791">
        <f t="shared" si="48"/>
        <v>0</v>
      </c>
      <c r="T791">
        <f t="shared" si="49"/>
        <v>0</v>
      </c>
      <c r="V791">
        <f t="shared" si="50"/>
        <v>1</v>
      </c>
      <c r="W791">
        <f t="shared" si="51"/>
        <v>1</v>
      </c>
    </row>
    <row r="792" spans="1:23" x14ac:dyDescent="0.2">
      <c r="A792">
        <v>787</v>
      </c>
      <c r="S792">
        <f t="shared" si="48"/>
        <v>0</v>
      </c>
      <c r="T792">
        <f t="shared" si="49"/>
        <v>0</v>
      </c>
      <c r="V792">
        <f t="shared" si="50"/>
        <v>1</v>
      </c>
      <c r="W792">
        <f t="shared" si="51"/>
        <v>1</v>
      </c>
    </row>
    <row r="793" spans="1:23" x14ac:dyDescent="0.2">
      <c r="A793">
        <v>788</v>
      </c>
      <c r="S793">
        <f t="shared" si="48"/>
        <v>0</v>
      </c>
      <c r="T793">
        <f t="shared" si="49"/>
        <v>0</v>
      </c>
      <c r="V793">
        <f t="shared" si="50"/>
        <v>1</v>
      </c>
      <c r="W793">
        <f t="shared" si="51"/>
        <v>1</v>
      </c>
    </row>
    <row r="794" spans="1:23" x14ac:dyDescent="0.2">
      <c r="A794">
        <v>789</v>
      </c>
      <c r="S794">
        <f t="shared" si="48"/>
        <v>0</v>
      </c>
      <c r="T794">
        <f t="shared" si="49"/>
        <v>0</v>
      </c>
      <c r="V794">
        <f t="shared" si="50"/>
        <v>1</v>
      </c>
      <c r="W794">
        <f t="shared" si="51"/>
        <v>1</v>
      </c>
    </row>
    <row r="795" spans="1:23" x14ac:dyDescent="0.2">
      <c r="A795">
        <v>790</v>
      </c>
      <c r="S795">
        <f t="shared" si="48"/>
        <v>0</v>
      </c>
      <c r="T795">
        <f t="shared" si="49"/>
        <v>0</v>
      </c>
      <c r="V795">
        <f t="shared" si="50"/>
        <v>1</v>
      </c>
      <c r="W795">
        <f t="shared" si="51"/>
        <v>1</v>
      </c>
    </row>
    <row r="796" spans="1:23" x14ac:dyDescent="0.2">
      <c r="A796">
        <v>791</v>
      </c>
      <c r="S796">
        <f t="shared" si="48"/>
        <v>0</v>
      </c>
      <c r="T796">
        <f t="shared" si="49"/>
        <v>0</v>
      </c>
      <c r="V796">
        <f t="shared" si="50"/>
        <v>1</v>
      </c>
      <c r="W796">
        <f t="shared" si="51"/>
        <v>1</v>
      </c>
    </row>
    <row r="797" spans="1:23" x14ac:dyDescent="0.2">
      <c r="A797">
        <v>792</v>
      </c>
      <c r="S797">
        <f t="shared" si="48"/>
        <v>0</v>
      </c>
      <c r="T797">
        <f t="shared" si="49"/>
        <v>0</v>
      </c>
      <c r="V797">
        <f t="shared" si="50"/>
        <v>1</v>
      </c>
      <c r="W797">
        <f t="shared" si="51"/>
        <v>1</v>
      </c>
    </row>
    <row r="798" spans="1:23" x14ac:dyDescent="0.2">
      <c r="A798">
        <v>793</v>
      </c>
      <c r="S798">
        <f t="shared" si="48"/>
        <v>0</v>
      </c>
      <c r="T798">
        <f t="shared" si="49"/>
        <v>0</v>
      </c>
      <c r="V798">
        <f t="shared" si="50"/>
        <v>1</v>
      </c>
      <c r="W798">
        <f t="shared" si="51"/>
        <v>1</v>
      </c>
    </row>
    <row r="799" spans="1:23" x14ac:dyDescent="0.2">
      <c r="A799">
        <v>794</v>
      </c>
      <c r="S799">
        <f t="shared" si="48"/>
        <v>0</v>
      </c>
      <c r="T799">
        <f t="shared" si="49"/>
        <v>0</v>
      </c>
      <c r="V799">
        <f t="shared" si="50"/>
        <v>1</v>
      </c>
      <c r="W799">
        <f t="shared" si="51"/>
        <v>1</v>
      </c>
    </row>
    <row r="800" spans="1:23" x14ac:dyDescent="0.2">
      <c r="A800">
        <v>795</v>
      </c>
      <c r="S800">
        <f t="shared" si="48"/>
        <v>0</v>
      </c>
      <c r="T800">
        <f t="shared" si="49"/>
        <v>0</v>
      </c>
      <c r="V800">
        <f t="shared" si="50"/>
        <v>1</v>
      </c>
      <c r="W800">
        <f t="shared" si="51"/>
        <v>1</v>
      </c>
    </row>
    <row r="801" spans="1:23" x14ac:dyDescent="0.2">
      <c r="A801">
        <v>796</v>
      </c>
      <c r="S801">
        <f t="shared" si="48"/>
        <v>0</v>
      </c>
      <c r="T801">
        <f t="shared" si="49"/>
        <v>0</v>
      </c>
      <c r="V801">
        <f t="shared" si="50"/>
        <v>1</v>
      </c>
      <c r="W801">
        <f t="shared" si="51"/>
        <v>1</v>
      </c>
    </row>
    <row r="802" spans="1:23" x14ac:dyDescent="0.2">
      <c r="A802">
        <v>797</v>
      </c>
      <c r="S802">
        <f t="shared" si="48"/>
        <v>0</v>
      </c>
      <c r="T802">
        <f t="shared" si="49"/>
        <v>0</v>
      </c>
      <c r="V802">
        <f t="shared" si="50"/>
        <v>1</v>
      </c>
      <c r="W802">
        <f t="shared" si="51"/>
        <v>1</v>
      </c>
    </row>
    <row r="803" spans="1:23" x14ac:dyDescent="0.2">
      <c r="A803">
        <v>798</v>
      </c>
      <c r="S803">
        <f t="shared" si="48"/>
        <v>0</v>
      </c>
      <c r="T803">
        <f t="shared" si="49"/>
        <v>0</v>
      </c>
      <c r="V803">
        <f t="shared" si="50"/>
        <v>1</v>
      </c>
      <c r="W803">
        <f t="shared" si="51"/>
        <v>1</v>
      </c>
    </row>
    <row r="804" spans="1:23" x14ac:dyDescent="0.2">
      <c r="A804">
        <v>799</v>
      </c>
      <c r="S804">
        <f t="shared" si="48"/>
        <v>0</v>
      </c>
      <c r="T804">
        <f t="shared" si="49"/>
        <v>0</v>
      </c>
      <c r="V804">
        <f t="shared" si="50"/>
        <v>1</v>
      </c>
      <c r="W804">
        <f t="shared" si="51"/>
        <v>1</v>
      </c>
    </row>
    <row r="805" spans="1:23" x14ac:dyDescent="0.2">
      <c r="A805">
        <v>800</v>
      </c>
      <c r="S805">
        <f t="shared" si="48"/>
        <v>0</v>
      </c>
      <c r="T805">
        <f t="shared" si="49"/>
        <v>0</v>
      </c>
      <c r="V805">
        <f t="shared" si="50"/>
        <v>1</v>
      </c>
      <c r="W805">
        <f t="shared" si="51"/>
        <v>1</v>
      </c>
    </row>
    <row r="806" spans="1:23" x14ac:dyDescent="0.2">
      <c r="A806">
        <v>801</v>
      </c>
      <c r="S806">
        <f t="shared" si="48"/>
        <v>0</v>
      </c>
      <c r="T806">
        <f t="shared" si="49"/>
        <v>0</v>
      </c>
      <c r="V806">
        <f t="shared" si="50"/>
        <v>1</v>
      </c>
      <c r="W806">
        <f t="shared" si="51"/>
        <v>1</v>
      </c>
    </row>
    <row r="807" spans="1:23" x14ac:dyDescent="0.2">
      <c r="A807">
        <v>802</v>
      </c>
      <c r="S807">
        <f t="shared" si="48"/>
        <v>0</v>
      </c>
      <c r="T807">
        <f t="shared" si="49"/>
        <v>0</v>
      </c>
      <c r="V807">
        <f t="shared" si="50"/>
        <v>1</v>
      </c>
      <c r="W807">
        <f t="shared" si="51"/>
        <v>1</v>
      </c>
    </row>
    <row r="808" spans="1:23" x14ac:dyDescent="0.2">
      <c r="A808">
        <v>803</v>
      </c>
      <c r="S808">
        <f t="shared" si="48"/>
        <v>0</v>
      </c>
      <c r="T808">
        <f t="shared" si="49"/>
        <v>0</v>
      </c>
      <c r="V808">
        <f t="shared" si="50"/>
        <v>1</v>
      </c>
      <c r="W808">
        <f t="shared" si="51"/>
        <v>1</v>
      </c>
    </row>
    <row r="809" spans="1:23" x14ac:dyDescent="0.2">
      <c r="A809">
        <v>804</v>
      </c>
      <c r="S809">
        <f t="shared" si="48"/>
        <v>0</v>
      </c>
      <c r="T809">
        <f t="shared" si="49"/>
        <v>0</v>
      </c>
      <c r="V809">
        <f t="shared" si="50"/>
        <v>1</v>
      </c>
      <c r="W809">
        <f t="shared" si="51"/>
        <v>1</v>
      </c>
    </row>
    <row r="810" spans="1:23" x14ac:dyDescent="0.2">
      <c r="A810">
        <v>805</v>
      </c>
      <c r="S810">
        <f t="shared" si="48"/>
        <v>0</v>
      </c>
      <c r="T810">
        <f t="shared" si="49"/>
        <v>0</v>
      </c>
      <c r="V810">
        <f t="shared" si="50"/>
        <v>1</v>
      </c>
      <c r="W810">
        <f t="shared" si="51"/>
        <v>1</v>
      </c>
    </row>
    <row r="811" spans="1:23" x14ac:dyDescent="0.2">
      <c r="A811">
        <v>806</v>
      </c>
      <c r="S811">
        <f t="shared" si="48"/>
        <v>0</v>
      </c>
      <c r="T811">
        <f t="shared" si="49"/>
        <v>0</v>
      </c>
      <c r="V811">
        <f t="shared" si="50"/>
        <v>1</v>
      </c>
      <c r="W811">
        <f t="shared" si="51"/>
        <v>1</v>
      </c>
    </row>
    <row r="812" spans="1:23" x14ac:dyDescent="0.2">
      <c r="A812">
        <v>807</v>
      </c>
      <c r="S812">
        <f t="shared" si="48"/>
        <v>0</v>
      </c>
      <c r="T812">
        <f t="shared" si="49"/>
        <v>0</v>
      </c>
      <c r="V812">
        <f t="shared" si="50"/>
        <v>1</v>
      </c>
      <c r="W812">
        <f t="shared" si="51"/>
        <v>1</v>
      </c>
    </row>
    <row r="813" spans="1:23" x14ac:dyDescent="0.2">
      <c r="A813">
        <v>808</v>
      </c>
      <c r="S813">
        <f t="shared" si="48"/>
        <v>0</v>
      </c>
      <c r="T813">
        <f t="shared" si="49"/>
        <v>0</v>
      </c>
      <c r="V813">
        <f t="shared" si="50"/>
        <v>1</v>
      </c>
      <c r="W813">
        <f t="shared" si="51"/>
        <v>1</v>
      </c>
    </row>
    <row r="814" spans="1:23" x14ac:dyDescent="0.2">
      <c r="A814">
        <v>809</v>
      </c>
      <c r="S814">
        <f t="shared" si="48"/>
        <v>0</v>
      </c>
      <c r="T814">
        <f t="shared" si="49"/>
        <v>0</v>
      </c>
      <c r="V814">
        <f t="shared" si="50"/>
        <v>1</v>
      </c>
      <c r="W814">
        <f t="shared" si="51"/>
        <v>1</v>
      </c>
    </row>
    <row r="815" spans="1:23" x14ac:dyDescent="0.2">
      <c r="A815">
        <v>810</v>
      </c>
      <c r="S815">
        <f t="shared" si="48"/>
        <v>0</v>
      </c>
      <c r="T815">
        <f t="shared" si="49"/>
        <v>0</v>
      </c>
      <c r="V815">
        <f t="shared" si="50"/>
        <v>1</v>
      </c>
      <c r="W815">
        <f t="shared" si="51"/>
        <v>1</v>
      </c>
    </row>
    <row r="816" spans="1:23" x14ac:dyDescent="0.2">
      <c r="A816">
        <v>811</v>
      </c>
      <c r="S816">
        <f t="shared" si="48"/>
        <v>0</v>
      </c>
      <c r="T816">
        <f t="shared" si="49"/>
        <v>0</v>
      </c>
      <c r="V816">
        <f t="shared" si="50"/>
        <v>1</v>
      </c>
      <c r="W816">
        <f t="shared" si="51"/>
        <v>1</v>
      </c>
    </row>
    <row r="817" spans="1:23" x14ac:dyDescent="0.2">
      <c r="A817">
        <v>812</v>
      </c>
      <c r="S817">
        <f t="shared" si="48"/>
        <v>0</v>
      </c>
      <c r="T817">
        <f t="shared" si="49"/>
        <v>0</v>
      </c>
      <c r="V817">
        <f t="shared" si="50"/>
        <v>1</v>
      </c>
      <c r="W817">
        <f t="shared" si="51"/>
        <v>1</v>
      </c>
    </row>
    <row r="818" spans="1:23" x14ac:dyDescent="0.2">
      <c r="A818">
        <v>813</v>
      </c>
      <c r="S818">
        <f t="shared" si="48"/>
        <v>0</v>
      </c>
      <c r="T818">
        <f t="shared" si="49"/>
        <v>0</v>
      </c>
      <c r="V818">
        <f t="shared" si="50"/>
        <v>1</v>
      </c>
      <c r="W818">
        <f t="shared" si="51"/>
        <v>1</v>
      </c>
    </row>
    <row r="819" spans="1:23" x14ac:dyDescent="0.2">
      <c r="A819">
        <v>814</v>
      </c>
      <c r="S819">
        <f t="shared" si="48"/>
        <v>0</v>
      </c>
      <c r="T819">
        <f t="shared" si="49"/>
        <v>0</v>
      </c>
      <c r="V819">
        <f t="shared" si="50"/>
        <v>1</v>
      </c>
      <c r="W819">
        <f t="shared" si="51"/>
        <v>1</v>
      </c>
    </row>
    <row r="820" spans="1:23" x14ac:dyDescent="0.2">
      <c r="A820">
        <v>815</v>
      </c>
      <c r="S820">
        <f t="shared" si="48"/>
        <v>0</v>
      </c>
      <c r="T820">
        <f t="shared" si="49"/>
        <v>0</v>
      </c>
      <c r="V820">
        <f t="shared" si="50"/>
        <v>1</v>
      </c>
      <c r="W820">
        <f t="shared" si="51"/>
        <v>1</v>
      </c>
    </row>
    <row r="821" spans="1:23" x14ac:dyDescent="0.2">
      <c r="A821">
        <v>816</v>
      </c>
      <c r="S821">
        <f t="shared" si="48"/>
        <v>0</v>
      </c>
      <c r="T821">
        <f t="shared" si="49"/>
        <v>0</v>
      </c>
      <c r="V821">
        <f t="shared" si="50"/>
        <v>1</v>
      </c>
      <c r="W821">
        <f t="shared" si="51"/>
        <v>1</v>
      </c>
    </row>
    <row r="822" spans="1:23" x14ac:dyDescent="0.2">
      <c r="A822">
        <v>817</v>
      </c>
      <c r="S822">
        <f t="shared" si="48"/>
        <v>0</v>
      </c>
      <c r="T822">
        <f t="shared" si="49"/>
        <v>0</v>
      </c>
      <c r="V822">
        <f t="shared" si="50"/>
        <v>1</v>
      </c>
      <c r="W822">
        <f t="shared" si="51"/>
        <v>1</v>
      </c>
    </row>
    <row r="823" spans="1:23" x14ac:dyDescent="0.2">
      <c r="A823">
        <v>818</v>
      </c>
      <c r="S823">
        <f t="shared" si="48"/>
        <v>0</v>
      </c>
      <c r="T823">
        <f t="shared" si="49"/>
        <v>0</v>
      </c>
      <c r="V823">
        <f t="shared" si="50"/>
        <v>1</v>
      </c>
      <c r="W823">
        <f t="shared" si="51"/>
        <v>1</v>
      </c>
    </row>
    <row r="824" spans="1:23" x14ac:dyDescent="0.2">
      <c r="A824">
        <v>819</v>
      </c>
      <c r="S824">
        <f t="shared" si="48"/>
        <v>0</v>
      </c>
      <c r="T824">
        <f t="shared" si="49"/>
        <v>0</v>
      </c>
      <c r="V824">
        <f t="shared" si="50"/>
        <v>1</v>
      </c>
      <c r="W824">
        <f t="shared" si="51"/>
        <v>1</v>
      </c>
    </row>
    <row r="825" spans="1:23" x14ac:dyDescent="0.2">
      <c r="A825">
        <v>820</v>
      </c>
      <c r="S825">
        <f t="shared" si="48"/>
        <v>0</v>
      </c>
      <c r="T825">
        <f t="shared" si="49"/>
        <v>0</v>
      </c>
      <c r="V825">
        <f t="shared" si="50"/>
        <v>1</v>
      </c>
      <c r="W825">
        <f t="shared" si="51"/>
        <v>1</v>
      </c>
    </row>
    <row r="826" spans="1:23" x14ac:dyDescent="0.2">
      <c r="A826">
        <v>821</v>
      </c>
      <c r="S826">
        <f t="shared" si="48"/>
        <v>0</v>
      </c>
      <c r="T826">
        <f t="shared" si="49"/>
        <v>0</v>
      </c>
      <c r="V826">
        <f t="shared" si="50"/>
        <v>1</v>
      </c>
      <c r="W826">
        <f t="shared" si="51"/>
        <v>1</v>
      </c>
    </row>
    <row r="827" spans="1:23" x14ac:dyDescent="0.2">
      <c r="A827">
        <v>822</v>
      </c>
      <c r="S827">
        <f t="shared" si="48"/>
        <v>0</v>
      </c>
      <c r="T827">
        <f t="shared" si="49"/>
        <v>0</v>
      </c>
      <c r="V827">
        <f t="shared" si="50"/>
        <v>1</v>
      </c>
      <c r="W827">
        <f t="shared" si="51"/>
        <v>1</v>
      </c>
    </row>
    <row r="828" spans="1:23" x14ac:dyDescent="0.2">
      <c r="A828">
        <v>823</v>
      </c>
      <c r="S828">
        <f t="shared" si="48"/>
        <v>0</v>
      </c>
      <c r="T828">
        <f t="shared" si="49"/>
        <v>0</v>
      </c>
      <c r="V828">
        <f t="shared" si="50"/>
        <v>1</v>
      </c>
      <c r="W828">
        <f t="shared" si="51"/>
        <v>1</v>
      </c>
    </row>
    <row r="829" spans="1:23" x14ac:dyDescent="0.2">
      <c r="A829">
        <v>824</v>
      </c>
      <c r="S829">
        <f t="shared" si="48"/>
        <v>0</v>
      </c>
      <c r="T829">
        <f t="shared" si="49"/>
        <v>0</v>
      </c>
      <c r="V829">
        <f t="shared" si="50"/>
        <v>1</v>
      </c>
      <c r="W829">
        <f t="shared" si="51"/>
        <v>1</v>
      </c>
    </row>
    <row r="830" spans="1:23" x14ac:dyDescent="0.2">
      <c r="A830">
        <v>825</v>
      </c>
      <c r="S830">
        <f t="shared" si="48"/>
        <v>0</v>
      </c>
      <c r="T830">
        <f t="shared" si="49"/>
        <v>0</v>
      </c>
      <c r="V830">
        <f t="shared" si="50"/>
        <v>1</v>
      </c>
      <c r="W830">
        <f t="shared" si="51"/>
        <v>1</v>
      </c>
    </row>
    <row r="831" spans="1:23" x14ac:dyDescent="0.2">
      <c r="A831">
        <v>826</v>
      </c>
      <c r="S831">
        <f t="shared" si="48"/>
        <v>0</v>
      </c>
      <c r="T831">
        <f t="shared" si="49"/>
        <v>0</v>
      </c>
      <c r="V831">
        <f t="shared" si="50"/>
        <v>1</v>
      </c>
      <c r="W831">
        <f t="shared" si="51"/>
        <v>1</v>
      </c>
    </row>
    <row r="832" spans="1:23" x14ac:dyDescent="0.2">
      <c r="A832">
        <v>827</v>
      </c>
      <c r="S832">
        <f t="shared" si="48"/>
        <v>0</v>
      </c>
      <c r="T832">
        <f t="shared" si="49"/>
        <v>0</v>
      </c>
      <c r="V832">
        <f t="shared" si="50"/>
        <v>1</v>
      </c>
      <c r="W832">
        <f t="shared" si="51"/>
        <v>1</v>
      </c>
    </row>
    <row r="833" spans="1:23" x14ac:dyDescent="0.2">
      <c r="A833">
        <v>828</v>
      </c>
      <c r="S833">
        <f t="shared" si="48"/>
        <v>0</v>
      </c>
      <c r="T833">
        <f t="shared" si="49"/>
        <v>0</v>
      </c>
      <c r="V833">
        <f t="shared" si="50"/>
        <v>1</v>
      </c>
      <c r="W833">
        <f t="shared" si="51"/>
        <v>1</v>
      </c>
    </row>
    <row r="834" spans="1:23" x14ac:dyDescent="0.2">
      <c r="A834">
        <v>829</v>
      </c>
      <c r="S834">
        <f t="shared" si="48"/>
        <v>0</v>
      </c>
      <c r="T834">
        <f t="shared" si="49"/>
        <v>0</v>
      </c>
      <c r="V834">
        <f t="shared" si="50"/>
        <v>1</v>
      </c>
      <c r="W834">
        <f t="shared" si="51"/>
        <v>1</v>
      </c>
    </row>
    <row r="835" spans="1:23" x14ac:dyDescent="0.2">
      <c r="A835">
        <v>830</v>
      </c>
      <c r="S835">
        <f t="shared" si="48"/>
        <v>0</v>
      </c>
      <c r="T835">
        <f t="shared" si="49"/>
        <v>0</v>
      </c>
      <c r="V835">
        <f t="shared" si="50"/>
        <v>1</v>
      </c>
      <c r="W835">
        <f t="shared" si="51"/>
        <v>1</v>
      </c>
    </row>
    <row r="836" spans="1:23" x14ac:dyDescent="0.2">
      <c r="A836">
        <v>831</v>
      </c>
      <c r="S836">
        <f t="shared" si="48"/>
        <v>0</v>
      </c>
      <c r="T836">
        <f t="shared" si="49"/>
        <v>0</v>
      </c>
      <c r="V836">
        <f t="shared" si="50"/>
        <v>1</v>
      </c>
      <c r="W836">
        <f t="shared" si="51"/>
        <v>1</v>
      </c>
    </row>
    <row r="837" spans="1:23" x14ac:dyDescent="0.2">
      <c r="A837">
        <v>832</v>
      </c>
      <c r="S837">
        <f t="shared" si="48"/>
        <v>0</v>
      </c>
      <c r="T837">
        <f t="shared" si="49"/>
        <v>0</v>
      </c>
      <c r="V837">
        <f t="shared" si="50"/>
        <v>1</v>
      </c>
      <c r="W837">
        <f t="shared" si="51"/>
        <v>1</v>
      </c>
    </row>
    <row r="838" spans="1:23" x14ac:dyDescent="0.2">
      <c r="A838">
        <v>833</v>
      </c>
      <c r="S838">
        <f t="shared" ref="S838:S901" si="52">$T$1*N838-L838</f>
        <v>0</v>
      </c>
      <c r="T838">
        <f t="shared" ref="T838:T901" si="53">$T$1*Q838-O838</f>
        <v>0</v>
      </c>
      <c r="V838">
        <f t="shared" ref="V838:V901" si="54">IF(S838=MAX($S838:$T838),1,0)</f>
        <v>1</v>
      </c>
      <c r="W838">
        <f t="shared" ref="W838:W901" si="55">IF(T838=MAX($S838:$T838),1,0)</f>
        <v>1</v>
      </c>
    </row>
    <row r="839" spans="1:23" x14ac:dyDescent="0.2">
      <c r="A839">
        <v>834</v>
      </c>
      <c r="S839">
        <f t="shared" si="52"/>
        <v>0</v>
      </c>
      <c r="T839">
        <f t="shared" si="53"/>
        <v>0</v>
      </c>
      <c r="V839">
        <f t="shared" si="54"/>
        <v>1</v>
      </c>
      <c r="W839">
        <f t="shared" si="55"/>
        <v>1</v>
      </c>
    </row>
    <row r="840" spans="1:23" x14ac:dyDescent="0.2">
      <c r="A840">
        <v>835</v>
      </c>
      <c r="S840">
        <f t="shared" si="52"/>
        <v>0</v>
      </c>
      <c r="T840">
        <f t="shared" si="53"/>
        <v>0</v>
      </c>
      <c r="V840">
        <f t="shared" si="54"/>
        <v>1</v>
      </c>
      <c r="W840">
        <f t="shared" si="55"/>
        <v>1</v>
      </c>
    </row>
    <row r="841" spans="1:23" x14ac:dyDescent="0.2">
      <c r="A841">
        <v>836</v>
      </c>
      <c r="S841">
        <f t="shared" si="52"/>
        <v>0</v>
      </c>
      <c r="T841">
        <f t="shared" si="53"/>
        <v>0</v>
      </c>
      <c r="V841">
        <f t="shared" si="54"/>
        <v>1</v>
      </c>
      <c r="W841">
        <f t="shared" si="55"/>
        <v>1</v>
      </c>
    </row>
    <row r="842" spans="1:23" x14ac:dyDescent="0.2">
      <c r="A842">
        <v>837</v>
      </c>
      <c r="S842">
        <f t="shared" si="52"/>
        <v>0</v>
      </c>
      <c r="T842">
        <f t="shared" si="53"/>
        <v>0</v>
      </c>
      <c r="V842">
        <f t="shared" si="54"/>
        <v>1</v>
      </c>
      <c r="W842">
        <f t="shared" si="55"/>
        <v>1</v>
      </c>
    </row>
    <row r="843" spans="1:23" x14ac:dyDescent="0.2">
      <c r="A843">
        <v>838</v>
      </c>
      <c r="S843">
        <f t="shared" si="52"/>
        <v>0</v>
      </c>
      <c r="T843">
        <f t="shared" si="53"/>
        <v>0</v>
      </c>
      <c r="V843">
        <f t="shared" si="54"/>
        <v>1</v>
      </c>
      <c r="W843">
        <f t="shared" si="55"/>
        <v>1</v>
      </c>
    </row>
    <row r="844" spans="1:23" x14ac:dyDescent="0.2">
      <c r="A844">
        <v>839</v>
      </c>
      <c r="S844">
        <f t="shared" si="52"/>
        <v>0</v>
      </c>
      <c r="T844">
        <f t="shared" si="53"/>
        <v>0</v>
      </c>
      <c r="V844">
        <f t="shared" si="54"/>
        <v>1</v>
      </c>
      <c r="W844">
        <f t="shared" si="55"/>
        <v>1</v>
      </c>
    </row>
    <row r="845" spans="1:23" x14ac:dyDescent="0.2">
      <c r="A845">
        <v>840</v>
      </c>
      <c r="S845">
        <f t="shared" si="52"/>
        <v>0</v>
      </c>
      <c r="T845">
        <f t="shared" si="53"/>
        <v>0</v>
      </c>
      <c r="V845">
        <f t="shared" si="54"/>
        <v>1</v>
      </c>
      <c r="W845">
        <f t="shared" si="55"/>
        <v>1</v>
      </c>
    </row>
    <row r="846" spans="1:23" x14ac:dyDescent="0.2">
      <c r="A846">
        <v>841</v>
      </c>
      <c r="S846">
        <f t="shared" si="52"/>
        <v>0</v>
      </c>
      <c r="T846">
        <f t="shared" si="53"/>
        <v>0</v>
      </c>
      <c r="V846">
        <f t="shared" si="54"/>
        <v>1</v>
      </c>
      <c r="W846">
        <f t="shared" si="55"/>
        <v>1</v>
      </c>
    </row>
    <row r="847" spans="1:23" x14ac:dyDescent="0.2">
      <c r="A847">
        <v>842</v>
      </c>
      <c r="S847">
        <f t="shared" si="52"/>
        <v>0</v>
      </c>
      <c r="T847">
        <f t="shared" si="53"/>
        <v>0</v>
      </c>
      <c r="V847">
        <f t="shared" si="54"/>
        <v>1</v>
      </c>
      <c r="W847">
        <f t="shared" si="55"/>
        <v>1</v>
      </c>
    </row>
    <row r="848" spans="1:23" x14ac:dyDescent="0.2">
      <c r="A848">
        <v>843</v>
      </c>
      <c r="S848">
        <f t="shared" si="52"/>
        <v>0</v>
      </c>
      <c r="T848">
        <f t="shared" si="53"/>
        <v>0</v>
      </c>
      <c r="V848">
        <f t="shared" si="54"/>
        <v>1</v>
      </c>
      <c r="W848">
        <f t="shared" si="55"/>
        <v>1</v>
      </c>
    </row>
    <row r="849" spans="1:23" x14ac:dyDescent="0.2">
      <c r="A849">
        <v>844</v>
      </c>
      <c r="S849">
        <f t="shared" si="52"/>
        <v>0</v>
      </c>
      <c r="T849">
        <f t="shared" si="53"/>
        <v>0</v>
      </c>
      <c r="V849">
        <f t="shared" si="54"/>
        <v>1</v>
      </c>
      <c r="W849">
        <f t="shared" si="55"/>
        <v>1</v>
      </c>
    </row>
    <row r="850" spans="1:23" x14ac:dyDescent="0.2">
      <c r="A850">
        <v>845</v>
      </c>
      <c r="S850">
        <f t="shared" si="52"/>
        <v>0</v>
      </c>
      <c r="T850">
        <f t="shared" si="53"/>
        <v>0</v>
      </c>
      <c r="V850">
        <f t="shared" si="54"/>
        <v>1</v>
      </c>
      <c r="W850">
        <f t="shared" si="55"/>
        <v>1</v>
      </c>
    </row>
    <row r="851" spans="1:23" x14ac:dyDescent="0.2">
      <c r="A851">
        <v>846</v>
      </c>
      <c r="S851">
        <f t="shared" si="52"/>
        <v>0</v>
      </c>
      <c r="T851">
        <f t="shared" si="53"/>
        <v>0</v>
      </c>
      <c r="V851">
        <f t="shared" si="54"/>
        <v>1</v>
      </c>
      <c r="W851">
        <f t="shared" si="55"/>
        <v>1</v>
      </c>
    </row>
    <row r="852" spans="1:23" x14ac:dyDescent="0.2">
      <c r="A852">
        <v>847</v>
      </c>
      <c r="S852">
        <f t="shared" si="52"/>
        <v>0</v>
      </c>
      <c r="T852">
        <f t="shared" si="53"/>
        <v>0</v>
      </c>
      <c r="V852">
        <f t="shared" si="54"/>
        <v>1</v>
      </c>
      <c r="W852">
        <f t="shared" si="55"/>
        <v>1</v>
      </c>
    </row>
    <row r="853" spans="1:23" x14ac:dyDescent="0.2">
      <c r="A853">
        <v>848</v>
      </c>
      <c r="S853">
        <f t="shared" si="52"/>
        <v>0</v>
      </c>
      <c r="T853">
        <f t="shared" si="53"/>
        <v>0</v>
      </c>
      <c r="V853">
        <f t="shared" si="54"/>
        <v>1</v>
      </c>
      <c r="W853">
        <f t="shared" si="55"/>
        <v>1</v>
      </c>
    </row>
    <row r="854" spans="1:23" x14ac:dyDescent="0.2">
      <c r="A854">
        <v>849</v>
      </c>
      <c r="S854">
        <f t="shared" si="52"/>
        <v>0</v>
      </c>
      <c r="T854">
        <f t="shared" si="53"/>
        <v>0</v>
      </c>
      <c r="V854">
        <f t="shared" si="54"/>
        <v>1</v>
      </c>
      <c r="W854">
        <f t="shared" si="55"/>
        <v>1</v>
      </c>
    </row>
    <row r="855" spans="1:23" x14ac:dyDescent="0.2">
      <c r="A855">
        <v>850</v>
      </c>
      <c r="S855">
        <f t="shared" si="52"/>
        <v>0</v>
      </c>
      <c r="T855">
        <f t="shared" si="53"/>
        <v>0</v>
      </c>
      <c r="V855">
        <f t="shared" si="54"/>
        <v>1</v>
      </c>
      <c r="W855">
        <f t="shared" si="55"/>
        <v>1</v>
      </c>
    </row>
    <row r="856" spans="1:23" x14ac:dyDescent="0.2">
      <c r="A856">
        <v>851</v>
      </c>
      <c r="S856">
        <f t="shared" si="52"/>
        <v>0</v>
      </c>
      <c r="T856">
        <f t="shared" si="53"/>
        <v>0</v>
      </c>
      <c r="V856">
        <f t="shared" si="54"/>
        <v>1</v>
      </c>
      <c r="W856">
        <f t="shared" si="55"/>
        <v>1</v>
      </c>
    </row>
    <row r="857" spans="1:23" x14ac:dyDescent="0.2">
      <c r="A857">
        <v>852</v>
      </c>
      <c r="S857">
        <f t="shared" si="52"/>
        <v>0</v>
      </c>
      <c r="T857">
        <f t="shared" si="53"/>
        <v>0</v>
      </c>
      <c r="V857">
        <f t="shared" si="54"/>
        <v>1</v>
      </c>
      <c r="W857">
        <f t="shared" si="55"/>
        <v>1</v>
      </c>
    </row>
    <row r="858" spans="1:23" x14ac:dyDescent="0.2">
      <c r="A858">
        <v>853</v>
      </c>
      <c r="S858">
        <f t="shared" si="52"/>
        <v>0</v>
      </c>
      <c r="T858">
        <f t="shared" si="53"/>
        <v>0</v>
      </c>
      <c r="V858">
        <f t="shared" si="54"/>
        <v>1</v>
      </c>
      <c r="W858">
        <f t="shared" si="55"/>
        <v>1</v>
      </c>
    </row>
    <row r="859" spans="1:23" x14ac:dyDescent="0.2">
      <c r="A859">
        <v>854</v>
      </c>
      <c r="S859">
        <f t="shared" si="52"/>
        <v>0</v>
      </c>
      <c r="T859">
        <f t="shared" si="53"/>
        <v>0</v>
      </c>
      <c r="V859">
        <f t="shared" si="54"/>
        <v>1</v>
      </c>
      <c r="W859">
        <f t="shared" si="55"/>
        <v>1</v>
      </c>
    </row>
    <row r="860" spans="1:23" x14ac:dyDescent="0.2">
      <c r="A860">
        <v>855</v>
      </c>
      <c r="S860">
        <f t="shared" si="52"/>
        <v>0</v>
      </c>
      <c r="T860">
        <f t="shared" si="53"/>
        <v>0</v>
      </c>
      <c r="V860">
        <f t="shared" si="54"/>
        <v>1</v>
      </c>
      <c r="W860">
        <f t="shared" si="55"/>
        <v>1</v>
      </c>
    </row>
    <row r="861" spans="1:23" x14ac:dyDescent="0.2">
      <c r="A861">
        <v>856</v>
      </c>
      <c r="S861">
        <f t="shared" si="52"/>
        <v>0</v>
      </c>
      <c r="T861">
        <f t="shared" si="53"/>
        <v>0</v>
      </c>
      <c r="V861">
        <f t="shared" si="54"/>
        <v>1</v>
      </c>
      <c r="W861">
        <f t="shared" si="55"/>
        <v>1</v>
      </c>
    </row>
    <row r="862" spans="1:23" x14ac:dyDescent="0.2">
      <c r="A862">
        <v>857</v>
      </c>
      <c r="S862">
        <f t="shared" si="52"/>
        <v>0</v>
      </c>
      <c r="T862">
        <f t="shared" si="53"/>
        <v>0</v>
      </c>
      <c r="V862">
        <f t="shared" si="54"/>
        <v>1</v>
      </c>
      <c r="W862">
        <f t="shared" si="55"/>
        <v>1</v>
      </c>
    </row>
    <row r="863" spans="1:23" x14ac:dyDescent="0.2">
      <c r="A863">
        <v>858</v>
      </c>
      <c r="S863">
        <f t="shared" si="52"/>
        <v>0</v>
      </c>
      <c r="T863">
        <f t="shared" si="53"/>
        <v>0</v>
      </c>
      <c r="V863">
        <f t="shared" si="54"/>
        <v>1</v>
      </c>
      <c r="W863">
        <f t="shared" si="55"/>
        <v>1</v>
      </c>
    </row>
    <row r="864" spans="1:23" x14ac:dyDescent="0.2">
      <c r="A864">
        <v>859</v>
      </c>
      <c r="S864">
        <f t="shared" si="52"/>
        <v>0</v>
      </c>
      <c r="T864">
        <f t="shared" si="53"/>
        <v>0</v>
      </c>
      <c r="V864">
        <f t="shared" si="54"/>
        <v>1</v>
      </c>
      <c r="W864">
        <f t="shared" si="55"/>
        <v>1</v>
      </c>
    </row>
    <row r="865" spans="1:23" x14ac:dyDescent="0.2">
      <c r="A865">
        <v>860</v>
      </c>
      <c r="S865">
        <f t="shared" si="52"/>
        <v>0</v>
      </c>
      <c r="T865">
        <f t="shared" si="53"/>
        <v>0</v>
      </c>
      <c r="V865">
        <f t="shared" si="54"/>
        <v>1</v>
      </c>
      <c r="W865">
        <f t="shared" si="55"/>
        <v>1</v>
      </c>
    </row>
    <row r="866" spans="1:23" x14ac:dyDescent="0.2">
      <c r="A866">
        <v>861</v>
      </c>
      <c r="S866">
        <f t="shared" si="52"/>
        <v>0</v>
      </c>
      <c r="T866">
        <f t="shared" si="53"/>
        <v>0</v>
      </c>
      <c r="V866">
        <f t="shared" si="54"/>
        <v>1</v>
      </c>
      <c r="W866">
        <f t="shared" si="55"/>
        <v>1</v>
      </c>
    </row>
    <row r="867" spans="1:23" x14ac:dyDescent="0.2">
      <c r="A867">
        <v>862</v>
      </c>
      <c r="S867">
        <f t="shared" si="52"/>
        <v>0</v>
      </c>
      <c r="T867">
        <f t="shared" si="53"/>
        <v>0</v>
      </c>
      <c r="V867">
        <f t="shared" si="54"/>
        <v>1</v>
      </c>
      <c r="W867">
        <f t="shared" si="55"/>
        <v>1</v>
      </c>
    </row>
    <row r="868" spans="1:23" x14ac:dyDescent="0.2">
      <c r="A868">
        <v>863</v>
      </c>
      <c r="S868">
        <f t="shared" si="52"/>
        <v>0</v>
      </c>
      <c r="T868">
        <f t="shared" si="53"/>
        <v>0</v>
      </c>
      <c r="V868">
        <f t="shared" si="54"/>
        <v>1</v>
      </c>
      <c r="W868">
        <f t="shared" si="55"/>
        <v>1</v>
      </c>
    </row>
    <row r="869" spans="1:23" x14ac:dyDescent="0.2">
      <c r="A869">
        <v>864</v>
      </c>
      <c r="S869">
        <f t="shared" si="52"/>
        <v>0</v>
      </c>
      <c r="T869">
        <f t="shared" si="53"/>
        <v>0</v>
      </c>
      <c r="V869">
        <f t="shared" si="54"/>
        <v>1</v>
      </c>
      <c r="W869">
        <f t="shared" si="55"/>
        <v>1</v>
      </c>
    </row>
    <row r="870" spans="1:23" x14ac:dyDescent="0.2">
      <c r="A870">
        <v>865</v>
      </c>
      <c r="S870">
        <f t="shared" si="52"/>
        <v>0</v>
      </c>
      <c r="T870">
        <f t="shared" si="53"/>
        <v>0</v>
      </c>
      <c r="V870">
        <f t="shared" si="54"/>
        <v>1</v>
      </c>
      <c r="W870">
        <f t="shared" si="55"/>
        <v>1</v>
      </c>
    </row>
    <row r="871" spans="1:23" x14ac:dyDescent="0.2">
      <c r="A871">
        <v>866</v>
      </c>
      <c r="S871">
        <f t="shared" si="52"/>
        <v>0</v>
      </c>
      <c r="T871">
        <f t="shared" si="53"/>
        <v>0</v>
      </c>
      <c r="V871">
        <f t="shared" si="54"/>
        <v>1</v>
      </c>
      <c r="W871">
        <f t="shared" si="55"/>
        <v>1</v>
      </c>
    </row>
    <row r="872" spans="1:23" x14ac:dyDescent="0.2">
      <c r="A872">
        <v>867</v>
      </c>
      <c r="S872">
        <f t="shared" si="52"/>
        <v>0</v>
      </c>
      <c r="T872">
        <f t="shared" si="53"/>
        <v>0</v>
      </c>
      <c r="V872">
        <f t="shared" si="54"/>
        <v>1</v>
      </c>
      <c r="W872">
        <f t="shared" si="55"/>
        <v>1</v>
      </c>
    </row>
    <row r="873" spans="1:23" x14ac:dyDescent="0.2">
      <c r="A873">
        <v>868</v>
      </c>
      <c r="S873">
        <f t="shared" si="52"/>
        <v>0</v>
      </c>
      <c r="T873">
        <f t="shared" si="53"/>
        <v>0</v>
      </c>
      <c r="V873">
        <f t="shared" si="54"/>
        <v>1</v>
      </c>
      <c r="W873">
        <f t="shared" si="55"/>
        <v>1</v>
      </c>
    </row>
    <row r="874" spans="1:23" x14ac:dyDescent="0.2">
      <c r="A874">
        <v>869</v>
      </c>
      <c r="S874">
        <f t="shared" si="52"/>
        <v>0</v>
      </c>
      <c r="T874">
        <f t="shared" si="53"/>
        <v>0</v>
      </c>
      <c r="V874">
        <f t="shared" si="54"/>
        <v>1</v>
      </c>
      <c r="W874">
        <f t="shared" si="55"/>
        <v>1</v>
      </c>
    </row>
    <row r="875" spans="1:23" x14ac:dyDescent="0.2">
      <c r="A875">
        <v>870</v>
      </c>
      <c r="S875">
        <f t="shared" si="52"/>
        <v>0</v>
      </c>
      <c r="T875">
        <f t="shared" si="53"/>
        <v>0</v>
      </c>
      <c r="V875">
        <f t="shared" si="54"/>
        <v>1</v>
      </c>
      <c r="W875">
        <f t="shared" si="55"/>
        <v>1</v>
      </c>
    </row>
    <row r="876" spans="1:23" x14ac:dyDescent="0.2">
      <c r="A876">
        <v>871</v>
      </c>
      <c r="S876">
        <f t="shared" si="52"/>
        <v>0</v>
      </c>
      <c r="T876">
        <f t="shared" si="53"/>
        <v>0</v>
      </c>
      <c r="V876">
        <f t="shared" si="54"/>
        <v>1</v>
      </c>
      <c r="W876">
        <f t="shared" si="55"/>
        <v>1</v>
      </c>
    </row>
    <row r="877" spans="1:23" x14ac:dyDescent="0.2">
      <c r="A877">
        <v>872</v>
      </c>
      <c r="S877">
        <f t="shared" si="52"/>
        <v>0</v>
      </c>
      <c r="T877">
        <f t="shared" si="53"/>
        <v>0</v>
      </c>
      <c r="V877">
        <f t="shared" si="54"/>
        <v>1</v>
      </c>
      <c r="W877">
        <f t="shared" si="55"/>
        <v>1</v>
      </c>
    </row>
    <row r="878" spans="1:23" x14ac:dyDescent="0.2">
      <c r="A878">
        <v>873</v>
      </c>
      <c r="S878">
        <f t="shared" si="52"/>
        <v>0</v>
      </c>
      <c r="T878">
        <f t="shared" si="53"/>
        <v>0</v>
      </c>
      <c r="V878">
        <f t="shared" si="54"/>
        <v>1</v>
      </c>
      <c r="W878">
        <f t="shared" si="55"/>
        <v>1</v>
      </c>
    </row>
    <row r="879" spans="1:23" x14ac:dyDescent="0.2">
      <c r="A879">
        <v>874</v>
      </c>
      <c r="S879">
        <f t="shared" si="52"/>
        <v>0</v>
      </c>
      <c r="T879">
        <f t="shared" si="53"/>
        <v>0</v>
      </c>
      <c r="V879">
        <f t="shared" si="54"/>
        <v>1</v>
      </c>
      <c r="W879">
        <f t="shared" si="55"/>
        <v>1</v>
      </c>
    </row>
    <row r="880" spans="1:23" x14ac:dyDescent="0.2">
      <c r="A880">
        <v>875</v>
      </c>
      <c r="S880">
        <f t="shared" si="52"/>
        <v>0</v>
      </c>
      <c r="T880">
        <f t="shared" si="53"/>
        <v>0</v>
      </c>
      <c r="V880">
        <f t="shared" si="54"/>
        <v>1</v>
      </c>
      <c r="W880">
        <f t="shared" si="55"/>
        <v>1</v>
      </c>
    </row>
    <row r="881" spans="1:23" x14ac:dyDescent="0.2">
      <c r="A881">
        <v>876</v>
      </c>
      <c r="S881">
        <f t="shared" si="52"/>
        <v>0</v>
      </c>
      <c r="T881">
        <f t="shared" si="53"/>
        <v>0</v>
      </c>
      <c r="V881">
        <f t="shared" si="54"/>
        <v>1</v>
      </c>
      <c r="W881">
        <f t="shared" si="55"/>
        <v>1</v>
      </c>
    </row>
    <row r="882" spans="1:23" x14ac:dyDescent="0.2">
      <c r="A882">
        <v>877</v>
      </c>
      <c r="S882">
        <f t="shared" si="52"/>
        <v>0</v>
      </c>
      <c r="T882">
        <f t="shared" si="53"/>
        <v>0</v>
      </c>
      <c r="V882">
        <f t="shared" si="54"/>
        <v>1</v>
      </c>
      <c r="W882">
        <f t="shared" si="55"/>
        <v>1</v>
      </c>
    </row>
    <row r="883" spans="1:23" x14ac:dyDescent="0.2">
      <c r="A883">
        <v>878</v>
      </c>
      <c r="S883">
        <f t="shared" si="52"/>
        <v>0</v>
      </c>
      <c r="T883">
        <f t="shared" si="53"/>
        <v>0</v>
      </c>
      <c r="V883">
        <f t="shared" si="54"/>
        <v>1</v>
      </c>
      <c r="W883">
        <f t="shared" si="55"/>
        <v>1</v>
      </c>
    </row>
    <row r="884" spans="1:23" x14ac:dyDescent="0.2">
      <c r="A884">
        <v>879</v>
      </c>
      <c r="S884">
        <f t="shared" si="52"/>
        <v>0</v>
      </c>
      <c r="T884">
        <f t="shared" si="53"/>
        <v>0</v>
      </c>
      <c r="V884">
        <f t="shared" si="54"/>
        <v>1</v>
      </c>
      <c r="W884">
        <f t="shared" si="55"/>
        <v>1</v>
      </c>
    </row>
    <row r="885" spans="1:23" x14ac:dyDescent="0.2">
      <c r="A885">
        <v>880</v>
      </c>
      <c r="S885">
        <f t="shared" si="52"/>
        <v>0</v>
      </c>
      <c r="T885">
        <f t="shared" si="53"/>
        <v>0</v>
      </c>
      <c r="V885">
        <f t="shared" si="54"/>
        <v>1</v>
      </c>
      <c r="W885">
        <f t="shared" si="55"/>
        <v>1</v>
      </c>
    </row>
    <row r="886" spans="1:23" x14ac:dyDescent="0.2">
      <c r="A886">
        <v>881</v>
      </c>
      <c r="S886">
        <f t="shared" si="52"/>
        <v>0</v>
      </c>
      <c r="T886">
        <f t="shared" si="53"/>
        <v>0</v>
      </c>
      <c r="V886">
        <f t="shared" si="54"/>
        <v>1</v>
      </c>
      <c r="W886">
        <f t="shared" si="55"/>
        <v>1</v>
      </c>
    </row>
    <row r="887" spans="1:23" x14ac:dyDescent="0.2">
      <c r="A887">
        <v>882</v>
      </c>
      <c r="S887">
        <f t="shared" si="52"/>
        <v>0</v>
      </c>
      <c r="T887">
        <f t="shared" si="53"/>
        <v>0</v>
      </c>
      <c r="V887">
        <f t="shared" si="54"/>
        <v>1</v>
      </c>
      <c r="W887">
        <f t="shared" si="55"/>
        <v>1</v>
      </c>
    </row>
    <row r="888" spans="1:23" x14ac:dyDescent="0.2">
      <c r="A888">
        <v>883</v>
      </c>
      <c r="S888">
        <f t="shared" si="52"/>
        <v>0</v>
      </c>
      <c r="T888">
        <f t="shared" si="53"/>
        <v>0</v>
      </c>
      <c r="V888">
        <f t="shared" si="54"/>
        <v>1</v>
      </c>
      <c r="W888">
        <f t="shared" si="55"/>
        <v>1</v>
      </c>
    </row>
    <row r="889" spans="1:23" x14ac:dyDescent="0.2">
      <c r="A889">
        <v>884</v>
      </c>
      <c r="S889">
        <f t="shared" si="52"/>
        <v>0</v>
      </c>
      <c r="T889">
        <f t="shared" si="53"/>
        <v>0</v>
      </c>
      <c r="V889">
        <f t="shared" si="54"/>
        <v>1</v>
      </c>
      <c r="W889">
        <f t="shared" si="55"/>
        <v>1</v>
      </c>
    </row>
    <row r="890" spans="1:23" x14ac:dyDescent="0.2">
      <c r="A890">
        <v>885</v>
      </c>
      <c r="S890">
        <f t="shared" si="52"/>
        <v>0</v>
      </c>
      <c r="T890">
        <f t="shared" si="53"/>
        <v>0</v>
      </c>
      <c r="V890">
        <f t="shared" si="54"/>
        <v>1</v>
      </c>
      <c r="W890">
        <f t="shared" si="55"/>
        <v>1</v>
      </c>
    </row>
    <row r="891" spans="1:23" x14ac:dyDescent="0.2">
      <c r="A891">
        <v>886</v>
      </c>
      <c r="S891">
        <f t="shared" si="52"/>
        <v>0</v>
      </c>
      <c r="T891">
        <f t="shared" si="53"/>
        <v>0</v>
      </c>
      <c r="V891">
        <f t="shared" si="54"/>
        <v>1</v>
      </c>
      <c r="W891">
        <f t="shared" si="55"/>
        <v>1</v>
      </c>
    </row>
    <row r="892" spans="1:23" x14ac:dyDescent="0.2">
      <c r="A892">
        <v>887</v>
      </c>
      <c r="S892">
        <f t="shared" si="52"/>
        <v>0</v>
      </c>
      <c r="T892">
        <f t="shared" si="53"/>
        <v>0</v>
      </c>
      <c r="V892">
        <f t="shared" si="54"/>
        <v>1</v>
      </c>
      <c r="W892">
        <f t="shared" si="55"/>
        <v>1</v>
      </c>
    </row>
    <row r="893" spans="1:23" x14ac:dyDescent="0.2">
      <c r="A893">
        <v>888</v>
      </c>
      <c r="S893">
        <f t="shared" si="52"/>
        <v>0</v>
      </c>
      <c r="T893">
        <f t="shared" si="53"/>
        <v>0</v>
      </c>
      <c r="V893">
        <f t="shared" si="54"/>
        <v>1</v>
      </c>
      <c r="W893">
        <f t="shared" si="55"/>
        <v>1</v>
      </c>
    </row>
    <row r="894" spans="1:23" x14ac:dyDescent="0.2">
      <c r="A894">
        <v>889</v>
      </c>
      <c r="S894">
        <f t="shared" si="52"/>
        <v>0</v>
      </c>
      <c r="T894">
        <f t="shared" si="53"/>
        <v>0</v>
      </c>
      <c r="V894">
        <f t="shared" si="54"/>
        <v>1</v>
      </c>
      <c r="W894">
        <f t="shared" si="55"/>
        <v>1</v>
      </c>
    </row>
    <row r="895" spans="1:23" x14ac:dyDescent="0.2">
      <c r="A895">
        <v>890</v>
      </c>
      <c r="S895">
        <f t="shared" si="52"/>
        <v>0</v>
      </c>
      <c r="T895">
        <f t="shared" si="53"/>
        <v>0</v>
      </c>
      <c r="V895">
        <f t="shared" si="54"/>
        <v>1</v>
      </c>
      <c r="W895">
        <f t="shared" si="55"/>
        <v>1</v>
      </c>
    </row>
    <row r="896" spans="1:23" x14ac:dyDescent="0.2">
      <c r="A896">
        <v>891</v>
      </c>
      <c r="S896">
        <f t="shared" si="52"/>
        <v>0</v>
      </c>
      <c r="T896">
        <f t="shared" si="53"/>
        <v>0</v>
      </c>
      <c r="V896">
        <f t="shared" si="54"/>
        <v>1</v>
      </c>
      <c r="W896">
        <f t="shared" si="55"/>
        <v>1</v>
      </c>
    </row>
    <row r="897" spans="1:23" x14ac:dyDescent="0.2">
      <c r="A897">
        <v>892</v>
      </c>
      <c r="S897">
        <f t="shared" si="52"/>
        <v>0</v>
      </c>
      <c r="T897">
        <f t="shared" si="53"/>
        <v>0</v>
      </c>
      <c r="V897">
        <f t="shared" si="54"/>
        <v>1</v>
      </c>
      <c r="W897">
        <f t="shared" si="55"/>
        <v>1</v>
      </c>
    </row>
    <row r="898" spans="1:23" x14ac:dyDescent="0.2">
      <c r="A898">
        <v>893</v>
      </c>
      <c r="S898">
        <f t="shared" si="52"/>
        <v>0</v>
      </c>
      <c r="T898">
        <f t="shared" si="53"/>
        <v>0</v>
      </c>
      <c r="V898">
        <f t="shared" si="54"/>
        <v>1</v>
      </c>
      <c r="W898">
        <f t="shared" si="55"/>
        <v>1</v>
      </c>
    </row>
    <row r="899" spans="1:23" x14ac:dyDescent="0.2">
      <c r="A899">
        <v>894</v>
      </c>
      <c r="S899">
        <f t="shared" si="52"/>
        <v>0</v>
      </c>
      <c r="T899">
        <f t="shared" si="53"/>
        <v>0</v>
      </c>
      <c r="V899">
        <f t="shared" si="54"/>
        <v>1</v>
      </c>
      <c r="W899">
        <f t="shared" si="55"/>
        <v>1</v>
      </c>
    </row>
    <row r="900" spans="1:23" x14ac:dyDescent="0.2">
      <c r="A900">
        <v>895</v>
      </c>
      <c r="S900">
        <f t="shared" si="52"/>
        <v>0</v>
      </c>
      <c r="T900">
        <f t="shared" si="53"/>
        <v>0</v>
      </c>
      <c r="V900">
        <f t="shared" si="54"/>
        <v>1</v>
      </c>
      <c r="W900">
        <f t="shared" si="55"/>
        <v>1</v>
      </c>
    </row>
    <row r="901" spans="1:23" x14ac:dyDescent="0.2">
      <c r="A901">
        <v>896</v>
      </c>
      <c r="S901">
        <f t="shared" si="52"/>
        <v>0</v>
      </c>
      <c r="T901">
        <f t="shared" si="53"/>
        <v>0</v>
      </c>
      <c r="V901">
        <f t="shared" si="54"/>
        <v>1</v>
      </c>
      <c r="W901">
        <f t="shared" si="55"/>
        <v>1</v>
      </c>
    </row>
    <row r="902" spans="1:23" x14ac:dyDescent="0.2">
      <c r="A902">
        <v>897</v>
      </c>
      <c r="S902">
        <f t="shared" ref="S902:S965" si="56">$T$1*N902-L902</f>
        <v>0</v>
      </c>
      <c r="T902">
        <f t="shared" ref="T902:T965" si="57">$T$1*Q902-O902</f>
        <v>0</v>
      </c>
      <c r="V902">
        <f t="shared" ref="V902:V965" si="58">IF(S902=MAX($S902:$T902),1,0)</f>
        <v>1</v>
      </c>
      <c r="W902">
        <f t="shared" ref="W902:W965" si="59">IF(T902=MAX($S902:$T902),1,0)</f>
        <v>1</v>
      </c>
    </row>
    <row r="903" spans="1:23" x14ac:dyDescent="0.2">
      <c r="A903">
        <v>898</v>
      </c>
      <c r="S903">
        <f t="shared" si="56"/>
        <v>0</v>
      </c>
      <c r="T903">
        <f t="shared" si="57"/>
        <v>0</v>
      </c>
      <c r="V903">
        <f t="shared" si="58"/>
        <v>1</v>
      </c>
      <c r="W903">
        <f t="shared" si="59"/>
        <v>1</v>
      </c>
    </row>
    <row r="904" spans="1:23" x14ac:dyDescent="0.2">
      <c r="A904">
        <v>899</v>
      </c>
      <c r="S904">
        <f t="shared" si="56"/>
        <v>0</v>
      </c>
      <c r="T904">
        <f t="shared" si="57"/>
        <v>0</v>
      </c>
      <c r="V904">
        <f t="shared" si="58"/>
        <v>1</v>
      </c>
      <c r="W904">
        <f t="shared" si="59"/>
        <v>1</v>
      </c>
    </row>
    <row r="905" spans="1:23" x14ac:dyDescent="0.2">
      <c r="A905">
        <v>900</v>
      </c>
      <c r="S905">
        <f t="shared" si="56"/>
        <v>0</v>
      </c>
      <c r="T905">
        <f t="shared" si="57"/>
        <v>0</v>
      </c>
      <c r="V905">
        <f t="shared" si="58"/>
        <v>1</v>
      </c>
      <c r="W905">
        <f t="shared" si="59"/>
        <v>1</v>
      </c>
    </row>
    <row r="906" spans="1:23" x14ac:dyDescent="0.2">
      <c r="A906">
        <v>901</v>
      </c>
      <c r="S906">
        <f t="shared" si="56"/>
        <v>0</v>
      </c>
      <c r="T906">
        <f t="shared" si="57"/>
        <v>0</v>
      </c>
      <c r="V906">
        <f t="shared" si="58"/>
        <v>1</v>
      </c>
      <c r="W906">
        <f t="shared" si="59"/>
        <v>1</v>
      </c>
    </row>
    <row r="907" spans="1:23" x14ac:dyDescent="0.2">
      <c r="A907">
        <v>902</v>
      </c>
      <c r="S907">
        <f t="shared" si="56"/>
        <v>0</v>
      </c>
      <c r="T907">
        <f t="shared" si="57"/>
        <v>0</v>
      </c>
      <c r="V907">
        <f t="shared" si="58"/>
        <v>1</v>
      </c>
      <c r="W907">
        <f t="shared" si="59"/>
        <v>1</v>
      </c>
    </row>
    <row r="908" spans="1:23" x14ac:dyDescent="0.2">
      <c r="A908">
        <v>903</v>
      </c>
      <c r="S908">
        <f t="shared" si="56"/>
        <v>0</v>
      </c>
      <c r="T908">
        <f t="shared" si="57"/>
        <v>0</v>
      </c>
      <c r="V908">
        <f t="shared" si="58"/>
        <v>1</v>
      </c>
      <c r="W908">
        <f t="shared" si="59"/>
        <v>1</v>
      </c>
    </row>
    <row r="909" spans="1:23" x14ac:dyDescent="0.2">
      <c r="A909">
        <v>904</v>
      </c>
      <c r="S909">
        <f t="shared" si="56"/>
        <v>0</v>
      </c>
      <c r="T909">
        <f t="shared" si="57"/>
        <v>0</v>
      </c>
      <c r="V909">
        <f t="shared" si="58"/>
        <v>1</v>
      </c>
      <c r="W909">
        <f t="shared" si="59"/>
        <v>1</v>
      </c>
    </row>
    <row r="910" spans="1:23" x14ac:dyDescent="0.2">
      <c r="A910">
        <v>905</v>
      </c>
      <c r="S910">
        <f t="shared" si="56"/>
        <v>0</v>
      </c>
      <c r="T910">
        <f t="shared" si="57"/>
        <v>0</v>
      </c>
      <c r="V910">
        <f t="shared" si="58"/>
        <v>1</v>
      </c>
      <c r="W910">
        <f t="shared" si="59"/>
        <v>1</v>
      </c>
    </row>
    <row r="911" spans="1:23" x14ac:dyDescent="0.2">
      <c r="A911">
        <v>906</v>
      </c>
      <c r="S911">
        <f t="shared" si="56"/>
        <v>0</v>
      </c>
      <c r="T911">
        <f t="shared" si="57"/>
        <v>0</v>
      </c>
      <c r="V911">
        <f t="shared" si="58"/>
        <v>1</v>
      </c>
      <c r="W911">
        <f t="shared" si="59"/>
        <v>1</v>
      </c>
    </row>
    <row r="912" spans="1:23" x14ac:dyDescent="0.2">
      <c r="A912">
        <v>907</v>
      </c>
      <c r="S912">
        <f t="shared" si="56"/>
        <v>0</v>
      </c>
      <c r="T912">
        <f t="shared" si="57"/>
        <v>0</v>
      </c>
      <c r="V912">
        <f t="shared" si="58"/>
        <v>1</v>
      </c>
      <c r="W912">
        <f t="shared" si="59"/>
        <v>1</v>
      </c>
    </row>
    <row r="913" spans="1:23" x14ac:dyDescent="0.2">
      <c r="A913">
        <v>908</v>
      </c>
      <c r="S913">
        <f t="shared" si="56"/>
        <v>0</v>
      </c>
      <c r="T913">
        <f t="shared" si="57"/>
        <v>0</v>
      </c>
      <c r="V913">
        <f t="shared" si="58"/>
        <v>1</v>
      </c>
      <c r="W913">
        <f t="shared" si="59"/>
        <v>1</v>
      </c>
    </row>
    <row r="914" spans="1:23" x14ac:dyDescent="0.2">
      <c r="A914">
        <v>909</v>
      </c>
      <c r="S914">
        <f t="shared" si="56"/>
        <v>0</v>
      </c>
      <c r="T914">
        <f t="shared" si="57"/>
        <v>0</v>
      </c>
      <c r="V914">
        <f t="shared" si="58"/>
        <v>1</v>
      </c>
      <c r="W914">
        <f t="shared" si="59"/>
        <v>1</v>
      </c>
    </row>
    <row r="915" spans="1:23" x14ac:dyDescent="0.2">
      <c r="A915">
        <v>910</v>
      </c>
      <c r="S915">
        <f t="shared" si="56"/>
        <v>0</v>
      </c>
      <c r="T915">
        <f t="shared" si="57"/>
        <v>0</v>
      </c>
      <c r="V915">
        <f t="shared" si="58"/>
        <v>1</v>
      </c>
      <c r="W915">
        <f t="shared" si="59"/>
        <v>1</v>
      </c>
    </row>
    <row r="916" spans="1:23" x14ac:dyDescent="0.2">
      <c r="A916">
        <v>911</v>
      </c>
      <c r="S916">
        <f t="shared" si="56"/>
        <v>0</v>
      </c>
      <c r="T916">
        <f t="shared" si="57"/>
        <v>0</v>
      </c>
      <c r="V916">
        <f t="shared" si="58"/>
        <v>1</v>
      </c>
      <c r="W916">
        <f t="shared" si="59"/>
        <v>1</v>
      </c>
    </row>
    <row r="917" spans="1:23" x14ac:dyDescent="0.2">
      <c r="A917">
        <v>912</v>
      </c>
      <c r="S917">
        <f t="shared" si="56"/>
        <v>0</v>
      </c>
      <c r="T917">
        <f t="shared" si="57"/>
        <v>0</v>
      </c>
      <c r="V917">
        <f t="shared" si="58"/>
        <v>1</v>
      </c>
      <c r="W917">
        <f t="shared" si="59"/>
        <v>1</v>
      </c>
    </row>
    <row r="918" spans="1:23" x14ac:dyDescent="0.2">
      <c r="A918">
        <v>913</v>
      </c>
      <c r="S918">
        <f t="shared" si="56"/>
        <v>0</v>
      </c>
      <c r="T918">
        <f t="shared" si="57"/>
        <v>0</v>
      </c>
      <c r="V918">
        <f t="shared" si="58"/>
        <v>1</v>
      </c>
      <c r="W918">
        <f t="shared" si="59"/>
        <v>1</v>
      </c>
    </row>
    <row r="919" spans="1:23" x14ac:dyDescent="0.2">
      <c r="A919">
        <v>914</v>
      </c>
      <c r="S919">
        <f t="shared" si="56"/>
        <v>0</v>
      </c>
      <c r="T919">
        <f t="shared" si="57"/>
        <v>0</v>
      </c>
      <c r="V919">
        <f t="shared" si="58"/>
        <v>1</v>
      </c>
      <c r="W919">
        <f t="shared" si="59"/>
        <v>1</v>
      </c>
    </row>
    <row r="920" spans="1:23" x14ac:dyDescent="0.2">
      <c r="A920">
        <v>915</v>
      </c>
      <c r="S920">
        <f t="shared" si="56"/>
        <v>0</v>
      </c>
      <c r="T920">
        <f t="shared" si="57"/>
        <v>0</v>
      </c>
      <c r="V920">
        <f t="shared" si="58"/>
        <v>1</v>
      </c>
      <c r="W920">
        <f t="shared" si="59"/>
        <v>1</v>
      </c>
    </row>
    <row r="921" spans="1:23" x14ac:dyDescent="0.2">
      <c r="A921">
        <v>916</v>
      </c>
      <c r="S921">
        <f t="shared" si="56"/>
        <v>0</v>
      </c>
      <c r="T921">
        <f t="shared" si="57"/>
        <v>0</v>
      </c>
      <c r="V921">
        <f t="shared" si="58"/>
        <v>1</v>
      </c>
      <c r="W921">
        <f t="shared" si="59"/>
        <v>1</v>
      </c>
    </row>
    <row r="922" spans="1:23" x14ac:dyDescent="0.2">
      <c r="A922">
        <v>917</v>
      </c>
      <c r="S922">
        <f t="shared" si="56"/>
        <v>0</v>
      </c>
      <c r="T922">
        <f t="shared" si="57"/>
        <v>0</v>
      </c>
      <c r="V922">
        <f t="shared" si="58"/>
        <v>1</v>
      </c>
      <c r="W922">
        <f t="shared" si="59"/>
        <v>1</v>
      </c>
    </row>
    <row r="923" spans="1:23" x14ac:dyDescent="0.2">
      <c r="A923">
        <v>918</v>
      </c>
      <c r="S923">
        <f t="shared" si="56"/>
        <v>0</v>
      </c>
      <c r="T923">
        <f t="shared" si="57"/>
        <v>0</v>
      </c>
      <c r="V923">
        <f t="shared" si="58"/>
        <v>1</v>
      </c>
      <c r="W923">
        <f t="shared" si="59"/>
        <v>1</v>
      </c>
    </row>
    <row r="924" spans="1:23" x14ac:dyDescent="0.2">
      <c r="A924">
        <v>919</v>
      </c>
      <c r="S924">
        <f t="shared" si="56"/>
        <v>0</v>
      </c>
      <c r="T924">
        <f t="shared" si="57"/>
        <v>0</v>
      </c>
      <c r="V924">
        <f t="shared" si="58"/>
        <v>1</v>
      </c>
      <c r="W924">
        <f t="shared" si="59"/>
        <v>1</v>
      </c>
    </row>
    <row r="925" spans="1:23" x14ac:dyDescent="0.2">
      <c r="A925">
        <v>920</v>
      </c>
      <c r="S925">
        <f t="shared" si="56"/>
        <v>0</v>
      </c>
      <c r="T925">
        <f t="shared" si="57"/>
        <v>0</v>
      </c>
      <c r="V925">
        <f t="shared" si="58"/>
        <v>1</v>
      </c>
      <c r="W925">
        <f t="shared" si="59"/>
        <v>1</v>
      </c>
    </row>
    <row r="926" spans="1:23" x14ac:dyDescent="0.2">
      <c r="A926">
        <v>921</v>
      </c>
      <c r="S926">
        <f t="shared" si="56"/>
        <v>0</v>
      </c>
      <c r="T926">
        <f t="shared" si="57"/>
        <v>0</v>
      </c>
      <c r="V926">
        <f t="shared" si="58"/>
        <v>1</v>
      </c>
      <c r="W926">
        <f t="shared" si="59"/>
        <v>1</v>
      </c>
    </row>
    <row r="927" spans="1:23" x14ac:dyDescent="0.2">
      <c r="A927">
        <v>922</v>
      </c>
      <c r="S927">
        <f t="shared" si="56"/>
        <v>0</v>
      </c>
      <c r="T927">
        <f t="shared" si="57"/>
        <v>0</v>
      </c>
      <c r="V927">
        <f t="shared" si="58"/>
        <v>1</v>
      </c>
      <c r="W927">
        <f t="shared" si="59"/>
        <v>1</v>
      </c>
    </row>
    <row r="928" spans="1:23" x14ac:dyDescent="0.2">
      <c r="A928">
        <v>923</v>
      </c>
      <c r="S928">
        <f t="shared" si="56"/>
        <v>0</v>
      </c>
      <c r="T928">
        <f t="shared" si="57"/>
        <v>0</v>
      </c>
      <c r="V928">
        <f t="shared" si="58"/>
        <v>1</v>
      </c>
      <c r="W928">
        <f t="shared" si="59"/>
        <v>1</v>
      </c>
    </row>
    <row r="929" spans="1:23" x14ac:dyDescent="0.2">
      <c r="A929">
        <v>924</v>
      </c>
      <c r="S929">
        <f t="shared" si="56"/>
        <v>0</v>
      </c>
      <c r="T929">
        <f t="shared" si="57"/>
        <v>0</v>
      </c>
      <c r="V929">
        <f t="shared" si="58"/>
        <v>1</v>
      </c>
      <c r="W929">
        <f t="shared" si="59"/>
        <v>1</v>
      </c>
    </row>
    <row r="930" spans="1:23" x14ac:dyDescent="0.2">
      <c r="A930">
        <v>925</v>
      </c>
      <c r="S930">
        <f t="shared" si="56"/>
        <v>0</v>
      </c>
      <c r="T930">
        <f t="shared" si="57"/>
        <v>0</v>
      </c>
      <c r="V930">
        <f t="shared" si="58"/>
        <v>1</v>
      </c>
      <c r="W930">
        <f t="shared" si="59"/>
        <v>1</v>
      </c>
    </row>
    <row r="931" spans="1:23" x14ac:dyDescent="0.2">
      <c r="A931">
        <v>926</v>
      </c>
      <c r="S931">
        <f t="shared" si="56"/>
        <v>0</v>
      </c>
      <c r="T931">
        <f t="shared" si="57"/>
        <v>0</v>
      </c>
      <c r="V931">
        <f t="shared" si="58"/>
        <v>1</v>
      </c>
      <c r="W931">
        <f t="shared" si="59"/>
        <v>1</v>
      </c>
    </row>
    <row r="932" spans="1:23" x14ac:dyDescent="0.2">
      <c r="A932">
        <v>927</v>
      </c>
      <c r="S932">
        <f t="shared" si="56"/>
        <v>0</v>
      </c>
      <c r="T932">
        <f t="shared" si="57"/>
        <v>0</v>
      </c>
      <c r="V932">
        <f t="shared" si="58"/>
        <v>1</v>
      </c>
      <c r="W932">
        <f t="shared" si="59"/>
        <v>1</v>
      </c>
    </row>
    <row r="933" spans="1:23" x14ac:dyDescent="0.2">
      <c r="A933">
        <v>928</v>
      </c>
      <c r="S933">
        <f t="shared" si="56"/>
        <v>0</v>
      </c>
      <c r="T933">
        <f t="shared" si="57"/>
        <v>0</v>
      </c>
      <c r="V933">
        <f t="shared" si="58"/>
        <v>1</v>
      </c>
      <c r="W933">
        <f t="shared" si="59"/>
        <v>1</v>
      </c>
    </row>
    <row r="934" spans="1:23" x14ac:dyDescent="0.2">
      <c r="A934">
        <v>929</v>
      </c>
      <c r="S934">
        <f t="shared" si="56"/>
        <v>0</v>
      </c>
      <c r="T934">
        <f t="shared" si="57"/>
        <v>0</v>
      </c>
      <c r="V934">
        <f t="shared" si="58"/>
        <v>1</v>
      </c>
      <c r="W934">
        <f t="shared" si="59"/>
        <v>1</v>
      </c>
    </row>
    <row r="935" spans="1:23" x14ac:dyDescent="0.2">
      <c r="A935">
        <v>930</v>
      </c>
      <c r="S935">
        <f t="shared" si="56"/>
        <v>0</v>
      </c>
      <c r="T935">
        <f t="shared" si="57"/>
        <v>0</v>
      </c>
      <c r="V935">
        <f t="shared" si="58"/>
        <v>1</v>
      </c>
      <c r="W935">
        <f t="shared" si="59"/>
        <v>1</v>
      </c>
    </row>
    <row r="936" spans="1:23" x14ac:dyDescent="0.2">
      <c r="A936">
        <v>931</v>
      </c>
      <c r="S936">
        <f t="shared" si="56"/>
        <v>0</v>
      </c>
      <c r="T936">
        <f t="shared" si="57"/>
        <v>0</v>
      </c>
      <c r="V936">
        <f t="shared" si="58"/>
        <v>1</v>
      </c>
      <c r="W936">
        <f t="shared" si="59"/>
        <v>1</v>
      </c>
    </row>
    <row r="937" spans="1:23" x14ac:dyDescent="0.2">
      <c r="A937">
        <v>932</v>
      </c>
      <c r="S937">
        <f t="shared" si="56"/>
        <v>0</v>
      </c>
      <c r="T937">
        <f t="shared" si="57"/>
        <v>0</v>
      </c>
      <c r="V937">
        <f t="shared" si="58"/>
        <v>1</v>
      </c>
      <c r="W937">
        <f t="shared" si="59"/>
        <v>1</v>
      </c>
    </row>
    <row r="938" spans="1:23" x14ac:dyDescent="0.2">
      <c r="A938">
        <v>933</v>
      </c>
      <c r="S938">
        <f t="shared" si="56"/>
        <v>0</v>
      </c>
      <c r="T938">
        <f t="shared" si="57"/>
        <v>0</v>
      </c>
      <c r="V938">
        <f t="shared" si="58"/>
        <v>1</v>
      </c>
      <c r="W938">
        <f t="shared" si="59"/>
        <v>1</v>
      </c>
    </row>
    <row r="939" spans="1:23" x14ac:dyDescent="0.2">
      <c r="A939">
        <v>934</v>
      </c>
      <c r="S939">
        <f t="shared" si="56"/>
        <v>0</v>
      </c>
      <c r="T939">
        <f t="shared" si="57"/>
        <v>0</v>
      </c>
      <c r="V939">
        <f t="shared" si="58"/>
        <v>1</v>
      </c>
      <c r="W939">
        <f t="shared" si="59"/>
        <v>1</v>
      </c>
    </row>
    <row r="940" spans="1:23" x14ac:dyDescent="0.2">
      <c r="A940">
        <v>935</v>
      </c>
      <c r="S940">
        <f t="shared" si="56"/>
        <v>0</v>
      </c>
      <c r="T940">
        <f t="shared" si="57"/>
        <v>0</v>
      </c>
      <c r="V940">
        <f t="shared" si="58"/>
        <v>1</v>
      </c>
      <c r="W940">
        <f t="shared" si="59"/>
        <v>1</v>
      </c>
    </row>
    <row r="941" spans="1:23" x14ac:dyDescent="0.2">
      <c r="A941">
        <v>936</v>
      </c>
      <c r="S941">
        <f t="shared" si="56"/>
        <v>0</v>
      </c>
      <c r="T941">
        <f t="shared" si="57"/>
        <v>0</v>
      </c>
      <c r="V941">
        <f t="shared" si="58"/>
        <v>1</v>
      </c>
      <c r="W941">
        <f t="shared" si="59"/>
        <v>1</v>
      </c>
    </row>
    <row r="942" spans="1:23" x14ac:dyDescent="0.2">
      <c r="A942">
        <v>937</v>
      </c>
      <c r="S942">
        <f t="shared" si="56"/>
        <v>0</v>
      </c>
      <c r="T942">
        <f t="shared" si="57"/>
        <v>0</v>
      </c>
      <c r="V942">
        <f t="shared" si="58"/>
        <v>1</v>
      </c>
      <c r="W942">
        <f t="shared" si="59"/>
        <v>1</v>
      </c>
    </row>
    <row r="943" spans="1:23" x14ac:dyDescent="0.2">
      <c r="A943">
        <v>938</v>
      </c>
      <c r="S943">
        <f t="shared" si="56"/>
        <v>0</v>
      </c>
      <c r="T943">
        <f t="shared" si="57"/>
        <v>0</v>
      </c>
      <c r="V943">
        <f t="shared" si="58"/>
        <v>1</v>
      </c>
      <c r="W943">
        <f t="shared" si="59"/>
        <v>1</v>
      </c>
    </row>
    <row r="944" spans="1:23" x14ac:dyDescent="0.2">
      <c r="A944">
        <v>939</v>
      </c>
      <c r="S944">
        <f t="shared" si="56"/>
        <v>0</v>
      </c>
      <c r="T944">
        <f t="shared" si="57"/>
        <v>0</v>
      </c>
      <c r="V944">
        <f t="shared" si="58"/>
        <v>1</v>
      </c>
      <c r="W944">
        <f t="shared" si="59"/>
        <v>1</v>
      </c>
    </row>
    <row r="945" spans="1:23" x14ac:dyDescent="0.2">
      <c r="A945">
        <v>940</v>
      </c>
      <c r="S945">
        <f t="shared" si="56"/>
        <v>0</v>
      </c>
      <c r="T945">
        <f t="shared" si="57"/>
        <v>0</v>
      </c>
      <c r="V945">
        <f t="shared" si="58"/>
        <v>1</v>
      </c>
      <c r="W945">
        <f t="shared" si="59"/>
        <v>1</v>
      </c>
    </row>
    <row r="946" spans="1:23" x14ac:dyDescent="0.2">
      <c r="A946">
        <v>941</v>
      </c>
      <c r="S946">
        <f t="shared" si="56"/>
        <v>0</v>
      </c>
      <c r="T946">
        <f t="shared" si="57"/>
        <v>0</v>
      </c>
      <c r="V946">
        <f t="shared" si="58"/>
        <v>1</v>
      </c>
      <c r="W946">
        <f t="shared" si="59"/>
        <v>1</v>
      </c>
    </row>
    <row r="947" spans="1:23" x14ac:dyDescent="0.2">
      <c r="A947">
        <v>942</v>
      </c>
      <c r="S947">
        <f t="shared" si="56"/>
        <v>0</v>
      </c>
      <c r="T947">
        <f t="shared" si="57"/>
        <v>0</v>
      </c>
      <c r="V947">
        <f t="shared" si="58"/>
        <v>1</v>
      </c>
      <c r="W947">
        <f t="shared" si="59"/>
        <v>1</v>
      </c>
    </row>
    <row r="948" spans="1:23" x14ac:dyDescent="0.2">
      <c r="A948">
        <v>943</v>
      </c>
      <c r="S948">
        <f t="shared" si="56"/>
        <v>0</v>
      </c>
      <c r="T948">
        <f t="shared" si="57"/>
        <v>0</v>
      </c>
      <c r="V948">
        <f t="shared" si="58"/>
        <v>1</v>
      </c>
      <c r="W948">
        <f t="shared" si="59"/>
        <v>1</v>
      </c>
    </row>
    <row r="949" spans="1:23" x14ac:dyDescent="0.2">
      <c r="A949">
        <v>944</v>
      </c>
      <c r="S949">
        <f t="shared" si="56"/>
        <v>0</v>
      </c>
      <c r="T949">
        <f t="shared" si="57"/>
        <v>0</v>
      </c>
      <c r="V949">
        <f t="shared" si="58"/>
        <v>1</v>
      </c>
      <c r="W949">
        <f t="shared" si="59"/>
        <v>1</v>
      </c>
    </row>
    <row r="950" spans="1:23" x14ac:dyDescent="0.2">
      <c r="A950">
        <v>945</v>
      </c>
      <c r="S950">
        <f t="shared" si="56"/>
        <v>0</v>
      </c>
      <c r="T950">
        <f t="shared" si="57"/>
        <v>0</v>
      </c>
      <c r="V950">
        <f t="shared" si="58"/>
        <v>1</v>
      </c>
      <c r="W950">
        <f t="shared" si="59"/>
        <v>1</v>
      </c>
    </row>
    <row r="951" spans="1:23" x14ac:dyDescent="0.2">
      <c r="A951">
        <v>946</v>
      </c>
      <c r="S951">
        <f t="shared" si="56"/>
        <v>0</v>
      </c>
      <c r="T951">
        <f t="shared" si="57"/>
        <v>0</v>
      </c>
      <c r="V951">
        <f t="shared" si="58"/>
        <v>1</v>
      </c>
      <c r="W951">
        <f t="shared" si="59"/>
        <v>1</v>
      </c>
    </row>
    <row r="952" spans="1:23" x14ac:dyDescent="0.2">
      <c r="A952">
        <v>947</v>
      </c>
      <c r="S952">
        <f t="shared" si="56"/>
        <v>0</v>
      </c>
      <c r="T952">
        <f t="shared" si="57"/>
        <v>0</v>
      </c>
      <c r="V952">
        <f t="shared" si="58"/>
        <v>1</v>
      </c>
      <c r="W952">
        <f t="shared" si="59"/>
        <v>1</v>
      </c>
    </row>
    <row r="953" spans="1:23" x14ac:dyDescent="0.2">
      <c r="A953">
        <v>948</v>
      </c>
      <c r="S953">
        <f t="shared" si="56"/>
        <v>0</v>
      </c>
      <c r="T953">
        <f t="shared" si="57"/>
        <v>0</v>
      </c>
      <c r="V953">
        <f t="shared" si="58"/>
        <v>1</v>
      </c>
      <c r="W953">
        <f t="shared" si="59"/>
        <v>1</v>
      </c>
    </row>
    <row r="954" spans="1:23" x14ac:dyDescent="0.2">
      <c r="A954">
        <v>949</v>
      </c>
      <c r="S954">
        <f t="shared" si="56"/>
        <v>0</v>
      </c>
      <c r="T954">
        <f t="shared" si="57"/>
        <v>0</v>
      </c>
      <c r="V954">
        <f t="shared" si="58"/>
        <v>1</v>
      </c>
      <c r="W954">
        <f t="shared" si="59"/>
        <v>1</v>
      </c>
    </row>
    <row r="955" spans="1:23" x14ac:dyDescent="0.2">
      <c r="A955">
        <v>950</v>
      </c>
      <c r="S955">
        <f t="shared" si="56"/>
        <v>0</v>
      </c>
      <c r="T955">
        <f t="shared" si="57"/>
        <v>0</v>
      </c>
      <c r="V955">
        <f t="shared" si="58"/>
        <v>1</v>
      </c>
      <c r="W955">
        <f t="shared" si="59"/>
        <v>1</v>
      </c>
    </row>
    <row r="956" spans="1:23" x14ac:dyDescent="0.2">
      <c r="A956">
        <v>951</v>
      </c>
      <c r="S956">
        <f t="shared" si="56"/>
        <v>0</v>
      </c>
      <c r="T956">
        <f t="shared" si="57"/>
        <v>0</v>
      </c>
      <c r="V956">
        <f t="shared" si="58"/>
        <v>1</v>
      </c>
      <c r="W956">
        <f t="shared" si="59"/>
        <v>1</v>
      </c>
    </row>
    <row r="957" spans="1:23" x14ac:dyDescent="0.2">
      <c r="A957">
        <v>952</v>
      </c>
      <c r="S957">
        <f t="shared" si="56"/>
        <v>0</v>
      </c>
      <c r="T957">
        <f t="shared" si="57"/>
        <v>0</v>
      </c>
      <c r="V957">
        <f t="shared" si="58"/>
        <v>1</v>
      </c>
      <c r="W957">
        <f t="shared" si="59"/>
        <v>1</v>
      </c>
    </row>
    <row r="958" spans="1:23" x14ac:dyDescent="0.2">
      <c r="A958">
        <v>953</v>
      </c>
      <c r="S958">
        <f t="shared" si="56"/>
        <v>0</v>
      </c>
      <c r="T958">
        <f t="shared" si="57"/>
        <v>0</v>
      </c>
      <c r="V958">
        <f t="shared" si="58"/>
        <v>1</v>
      </c>
      <c r="W958">
        <f t="shared" si="59"/>
        <v>1</v>
      </c>
    </row>
    <row r="959" spans="1:23" x14ac:dyDescent="0.2">
      <c r="A959">
        <v>954</v>
      </c>
      <c r="S959">
        <f t="shared" si="56"/>
        <v>0</v>
      </c>
      <c r="T959">
        <f t="shared" si="57"/>
        <v>0</v>
      </c>
      <c r="V959">
        <f t="shared" si="58"/>
        <v>1</v>
      </c>
      <c r="W959">
        <f t="shared" si="59"/>
        <v>1</v>
      </c>
    </row>
    <row r="960" spans="1:23" x14ac:dyDescent="0.2">
      <c r="A960">
        <v>955</v>
      </c>
      <c r="S960">
        <f t="shared" si="56"/>
        <v>0</v>
      </c>
      <c r="T960">
        <f t="shared" si="57"/>
        <v>0</v>
      </c>
      <c r="V960">
        <f t="shared" si="58"/>
        <v>1</v>
      </c>
      <c r="W960">
        <f t="shared" si="59"/>
        <v>1</v>
      </c>
    </row>
    <row r="961" spans="1:23" x14ac:dyDescent="0.2">
      <c r="A961">
        <v>956</v>
      </c>
      <c r="S961">
        <f t="shared" si="56"/>
        <v>0</v>
      </c>
      <c r="T961">
        <f t="shared" si="57"/>
        <v>0</v>
      </c>
      <c r="V961">
        <f t="shared" si="58"/>
        <v>1</v>
      </c>
      <c r="W961">
        <f t="shared" si="59"/>
        <v>1</v>
      </c>
    </row>
    <row r="962" spans="1:23" x14ac:dyDescent="0.2">
      <c r="A962">
        <v>957</v>
      </c>
      <c r="S962">
        <f t="shared" si="56"/>
        <v>0</v>
      </c>
      <c r="T962">
        <f t="shared" si="57"/>
        <v>0</v>
      </c>
      <c r="V962">
        <f t="shared" si="58"/>
        <v>1</v>
      </c>
      <c r="W962">
        <f t="shared" si="59"/>
        <v>1</v>
      </c>
    </row>
    <row r="963" spans="1:23" x14ac:dyDescent="0.2">
      <c r="A963">
        <v>958</v>
      </c>
      <c r="S963">
        <f t="shared" si="56"/>
        <v>0</v>
      </c>
      <c r="T963">
        <f t="shared" si="57"/>
        <v>0</v>
      </c>
      <c r="V963">
        <f t="shared" si="58"/>
        <v>1</v>
      </c>
      <c r="W963">
        <f t="shared" si="59"/>
        <v>1</v>
      </c>
    </row>
    <row r="964" spans="1:23" x14ac:dyDescent="0.2">
      <c r="A964">
        <v>959</v>
      </c>
      <c r="S964">
        <f t="shared" si="56"/>
        <v>0</v>
      </c>
      <c r="T964">
        <f t="shared" si="57"/>
        <v>0</v>
      </c>
      <c r="V964">
        <f t="shared" si="58"/>
        <v>1</v>
      </c>
      <c r="W964">
        <f t="shared" si="59"/>
        <v>1</v>
      </c>
    </row>
    <row r="965" spans="1:23" x14ac:dyDescent="0.2">
      <c r="A965">
        <v>960</v>
      </c>
      <c r="S965">
        <f t="shared" si="56"/>
        <v>0</v>
      </c>
      <c r="T965">
        <f t="shared" si="57"/>
        <v>0</v>
      </c>
      <c r="V965">
        <f t="shared" si="58"/>
        <v>1</v>
      </c>
      <c r="W965">
        <f t="shared" si="59"/>
        <v>1</v>
      </c>
    </row>
    <row r="966" spans="1:23" x14ac:dyDescent="0.2">
      <c r="A966">
        <v>961</v>
      </c>
      <c r="S966">
        <f t="shared" ref="S966:S1004" si="60">$T$1*N966-L966</f>
        <v>0</v>
      </c>
      <c r="T966">
        <f t="shared" ref="T966:T1004" si="61">$T$1*Q966-O966</f>
        <v>0</v>
      </c>
      <c r="V966">
        <f t="shared" ref="V966:V1004" si="62">IF(S966=MAX($S966:$T966),1,0)</f>
        <v>1</v>
      </c>
      <c r="W966">
        <f t="shared" ref="W966:W1004" si="63">IF(T966=MAX($S966:$T966),1,0)</f>
        <v>1</v>
      </c>
    </row>
    <row r="967" spans="1:23" x14ac:dyDescent="0.2">
      <c r="A967">
        <v>962</v>
      </c>
      <c r="S967">
        <f t="shared" si="60"/>
        <v>0</v>
      </c>
      <c r="T967">
        <f t="shared" si="61"/>
        <v>0</v>
      </c>
      <c r="V967">
        <f t="shared" si="62"/>
        <v>1</v>
      </c>
      <c r="W967">
        <f t="shared" si="63"/>
        <v>1</v>
      </c>
    </row>
    <row r="968" spans="1:23" x14ac:dyDescent="0.2">
      <c r="A968">
        <v>963</v>
      </c>
      <c r="S968">
        <f t="shared" si="60"/>
        <v>0</v>
      </c>
      <c r="T968">
        <f t="shared" si="61"/>
        <v>0</v>
      </c>
      <c r="V968">
        <f t="shared" si="62"/>
        <v>1</v>
      </c>
      <c r="W968">
        <f t="shared" si="63"/>
        <v>1</v>
      </c>
    </row>
    <row r="969" spans="1:23" x14ac:dyDescent="0.2">
      <c r="A969">
        <v>964</v>
      </c>
      <c r="S969">
        <f t="shared" si="60"/>
        <v>0</v>
      </c>
      <c r="T969">
        <f t="shared" si="61"/>
        <v>0</v>
      </c>
      <c r="V969">
        <f t="shared" si="62"/>
        <v>1</v>
      </c>
      <c r="W969">
        <f t="shared" si="63"/>
        <v>1</v>
      </c>
    </row>
    <row r="970" spans="1:23" x14ac:dyDescent="0.2">
      <c r="A970">
        <v>965</v>
      </c>
      <c r="S970">
        <f t="shared" si="60"/>
        <v>0</v>
      </c>
      <c r="T970">
        <f t="shared" si="61"/>
        <v>0</v>
      </c>
      <c r="V970">
        <f t="shared" si="62"/>
        <v>1</v>
      </c>
      <c r="W970">
        <f t="shared" si="63"/>
        <v>1</v>
      </c>
    </row>
    <row r="971" spans="1:23" x14ac:dyDescent="0.2">
      <c r="A971">
        <v>966</v>
      </c>
      <c r="S971">
        <f t="shared" si="60"/>
        <v>0</v>
      </c>
      <c r="T971">
        <f t="shared" si="61"/>
        <v>0</v>
      </c>
      <c r="V971">
        <f t="shared" si="62"/>
        <v>1</v>
      </c>
      <c r="W971">
        <f t="shared" si="63"/>
        <v>1</v>
      </c>
    </row>
    <row r="972" spans="1:23" x14ac:dyDescent="0.2">
      <c r="A972">
        <v>967</v>
      </c>
      <c r="S972">
        <f t="shared" si="60"/>
        <v>0</v>
      </c>
      <c r="T972">
        <f t="shared" si="61"/>
        <v>0</v>
      </c>
      <c r="V972">
        <f t="shared" si="62"/>
        <v>1</v>
      </c>
      <c r="W972">
        <f t="shared" si="63"/>
        <v>1</v>
      </c>
    </row>
    <row r="973" spans="1:23" x14ac:dyDescent="0.2">
      <c r="A973">
        <v>968</v>
      </c>
      <c r="S973">
        <f t="shared" si="60"/>
        <v>0</v>
      </c>
      <c r="T973">
        <f t="shared" si="61"/>
        <v>0</v>
      </c>
      <c r="V973">
        <f t="shared" si="62"/>
        <v>1</v>
      </c>
      <c r="W973">
        <f t="shared" si="63"/>
        <v>1</v>
      </c>
    </row>
    <row r="974" spans="1:23" x14ac:dyDescent="0.2">
      <c r="A974">
        <v>969</v>
      </c>
      <c r="S974">
        <f t="shared" si="60"/>
        <v>0</v>
      </c>
      <c r="T974">
        <f t="shared" si="61"/>
        <v>0</v>
      </c>
      <c r="V974">
        <f t="shared" si="62"/>
        <v>1</v>
      </c>
      <c r="W974">
        <f t="shared" si="63"/>
        <v>1</v>
      </c>
    </row>
    <row r="975" spans="1:23" x14ac:dyDescent="0.2">
      <c r="A975">
        <v>970</v>
      </c>
      <c r="S975">
        <f t="shared" si="60"/>
        <v>0</v>
      </c>
      <c r="T975">
        <f t="shared" si="61"/>
        <v>0</v>
      </c>
      <c r="V975">
        <f t="shared" si="62"/>
        <v>1</v>
      </c>
      <c r="W975">
        <f t="shared" si="63"/>
        <v>1</v>
      </c>
    </row>
    <row r="976" spans="1:23" x14ac:dyDescent="0.2">
      <c r="A976">
        <v>971</v>
      </c>
      <c r="S976">
        <f t="shared" si="60"/>
        <v>0</v>
      </c>
      <c r="T976">
        <f t="shared" si="61"/>
        <v>0</v>
      </c>
      <c r="V976">
        <f t="shared" si="62"/>
        <v>1</v>
      </c>
      <c r="W976">
        <f t="shared" si="63"/>
        <v>1</v>
      </c>
    </row>
    <row r="977" spans="1:23" x14ac:dyDescent="0.2">
      <c r="A977">
        <v>972</v>
      </c>
      <c r="S977">
        <f t="shared" si="60"/>
        <v>0</v>
      </c>
      <c r="T977">
        <f t="shared" si="61"/>
        <v>0</v>
      </c>
      <c r="V977">
        <f t="shared" si="62"/>
        <v>1</v>
      </c>
      <c r="W977">
        <f t="shared" si="63"/>
        <v>1</v>
      </c>
    </row>
    <row r="978" spans="1:23" x14ac:dyDescent="0.2">
      <c r="A978">
        <v>973</v>
      </c>
      <c r="S978">
        <f t="shared" si="60"/>
        <v>0</v>
      </c>
      <c r="T978">
        <f t="shared" si="61"/>
        <v>0</v>
      </c>
      <c r="V978">
        <f t="shared" si="62"/>
        <v>1</v>
      </c>
      <c r="W978">
        <f t="shared" si="63"/>
        <v>1</v>
      </c>
    </row>
    <row r="979" spans="1:23" x14ac:dyDescent="0.2">
      <c r="A979">
        <v>974</v>
      </c>
      <c r="S979">
        <f t="shared" si="60"/>
        <v>0</v>
      </c>
      <c r="T979">
        <f t="shared" si="61"/>
        <v>0</v>
      </c>
      <c r="V979">
        <f t="shared" si="62"/>
        <v>1</v>
      </c>
      <c r="W979">
        <f t="shared" si="63"/>
        <v>1</v>
      </c>
    </row>
    <row r="980" spans="1:23" x14ac:dyDescent="0.2">
      <c r="A980">
        <v>975</v>
      </c>
      <c r="S980">
        <f t="shared" si="60"/>
        <v>0</v>
      </c>
      <c r="T980">
        <f t="shared" si="61"/>
        <v>0</v>
      </c>
      <c r="V980">
        <f t="shared" si="62"/>
        <v>1</v>
      </c>
      <c r="W980">
        <f t="shared" si="63"/>
        <v>1</v>
      </c>
    </row>
    <row r="981" spans="1:23" x14ac:dyDescent="0.2">
      <c r="A981">
        <v>976</v>
      </c>
      <c r="S981">
        <f t="shared" si="60"/>
        <v>0</v>
      </c>
      <c r="T981">
        <f t="shared" si="61"/>
        <v>0</v>
      </c>
      <c r="V981">
        <f t="shared" si="62"/>
        <v>1</v>
      </c>
      <c r="W981">
        <f t="shared" si="63"/>
        <v>1</v>
      </c>
    </row>
    <row r="982" spans="1:23" x14ac:dyDescent="0.2">
      <c r="A982">
        <v>977</v>
      </c>
      <c r="S982">
        <f t="shared" si="60"/>
        <v>0</v>
      </c>
      <c r="T982">
        <f t="shared" si="61"/>
        <v>0</v>
      </c>
      <c r="V982">
        <f t="shared" si="62"/>
        <v>1</v>
      </c>
      <c r="W982">
        <f t="shared" si="63"/>
        <v>1</v>
      </c>
    </row>
    <row r="983" spans="1:23" x14ac:dyDescent="0.2">
      <c r="A983">
        <v>978</v>
      </c>
      <c r="S983">
        <f t="shared" si="60"/>
        <v>0</v>
      </c>
      <c r="T983">
        <f t="shared" si="61"/>
        <v>0</v>
      </c>
      <c r="V983">
        <f t="shared" si="62"/>
        <v>1</v>
      </c>
      <c r="W983">
        <f t="shared" si="63"/>
        <v>1</v>
      </c>
    </row>
    <row r="984" spans="1:23" x14ac:dyDescent="0.2">
      <c r="A984">
        <v>979</v>
      </c>
      <c r="S984">
        <f t="shared" si="60"/>
        <v>0</v>
      </c>
      <c r="T984">
        <f t="shared" si="61"/>
        <v>0</v>
      </c>
      <c r="V984">
        <f t="shared" si="62"/>
        <v>1</v>
      </c>
      <c r="W984">
        <f t="shared" si="63"/>
        <v>1</v>
      </c>
    </row>
    <row r="985" spans="1:23" x14ac:dyDescent="0.2">
      <c r="A985">
        <v>980</v>
      </c>
      <c r="S985">
        <f t="shared" si="60"/>
        <v>0</v>
      </c>
      <c r="T985">
        <f t="shared" si="61"/>
        <v>0</v>
      </c>
      <c r="V985">
        <f t="shared" si="62"/>
        <v>1</v>
      </c>
      <c r="W985">
        <f t="shared" si="63"/>
        <v>1</v>
      </c>
    </row>
    <row r="986" spans="1:23" x14ac:dyDescent="0.2">
      <c r="A986">
        <v>981</v>
      </c>
      <c r="S986">
        <f t="shared" si="60"/>
        <v>0</v>
      </c>
      <c r="T986">
        <f t="shared" si="61"/>
        <v>0</v>
      </c>
      <c r="V986">
        <f t="shared" si="62"/>
        <v>1</v>
      </c>
      <c r="W986">
        <f t="shared" si="63"/>
        <v>1</v>
      </c>
    </row>
    <row r="987" spans="1:23" x14ac:dyDescent="0.2">
      <c r="A987">
        <v>982</v>
      </c>
      <c r="S987">
        <f t="shared" si="60"/>
        <v>0</v>
      </c>
      <c r="T987">
        <f t="shared" si="61"/>
        <v>0</v>
      </c>
      <c r="V987">
        <f t="shared" si="62"/>
        <v>1</v>
      </c>
      <c r="W987">
        <f t="shared" si="63"/>
        <v>1</v>
      </c>
    </row>
    <row r="988" spans="1:23" x14ac:dyDescent="0.2">
      <c r="A988">
        <v>983</v>
      </c>
      <c r="S988">
        <f t="shared" si="60"/>
        <v>0</v>
      </c>
      <c r="T988">
        <f t="shared" si="61"/>
        <v>0</v>
      </c>
      <c r="V988">
        <f t="shared" si="62"/>
        <v>1</v>
      </c>
      <c r="W988">
        <f t="shared" si="63"/>
        <v>1</v>
      </c>
    </row>
    <row r="989" spans="1:23" x14ac:dyDescent="0.2">
      <c r="A989">
        <v>984</v>
      </c>
      <c r="S989">
        <f t="shared" si="60"/>
        <v>0</v>
      </c>
      <c r="T989">
        <f t="shared" si="61"/>
        <v>0</v>
      </c>
      <c r="V989">
        <f t="shared" si="62"/>
        <v>1</v>
      </c>
      <c r="W989">
        <f t="shared" si="63"/>
        <v>1</v>
      </c>
    </row>
    <row r="990" spans="1:23" x14ac:dyDescent="0.2">
      <c r="A990">
        <v>985</v>
      </c>
      <c r="S990">
        <f t="shared" si="60"/>
        <v>0</v>
      </c>
      <c r="T990">
        <f t="shared" si="61"/>
        <v>0</v>
      </c>
      <c r="V990">
        <f t="shared" si="62"/>
        <v>1</v>
      </c>
      <c r="W990">
        <f t="shared" si="63"/>
        <v>1</v>
      </c>
    </row>
    <row r="991" spans="1:23" x14ac:dyDescent="0.2">
      <c r="A991">
        <v>986</v>
      </c>
      <c r="S991">
        <f t="shared" si="60"/>
        <v>0</v>
      </c>
      <c r="T991">
        <f t="shared" si="61"/>
        <v>0</v>
      </c>
      <c r="V991">
        <f t="shared" si="62"/>
        <v>1</v>
      </c>
      <c r="W991">
        <f t="shared" si="63"/>
        <v>1</v>
      </c>
    </row>
    <row r="992" spans="1:23" x14ac:dyDescent="0.2">
      <c r="A992">
        <v>987</v>
      </c>
      <c r="S992">
        <f t="shared" si="60"/>
        <v>0</v>
      </c>
      <c r="T992">
        <f t="shared" si="61"/>
        <v>0</v>
      </c>
      <c r="V992">
        <f t="shared" si="62"/>
        <v>1</v>
      </c>
      <c r="W992">
        <f t="shared" si="63"/>
        <v>1</v>
      </c>
    </row>
    <row r="993" spans="1:23" x14ac:dyDescent="0.2">
      <c r="A993">
        <v>988</v>
      </c>
      <c r="S993">
        <f t="shared" si="60"/>
        <v>0</v>
      </c>
      <c r="T993">
        <f t="shared" si="61"/>
        <v>0</v>
      </c>
      <c r="V993">
        <f t="shared" si="62"/>
        <v>1</v>
      </c>
      <c r="W993">
        <f t="shared" si="63"/>
        <v>1</v>
      </c>
    </row>
    <row r="994" spans="1:23" x14ac:dyDescent="0.2">
      <c r="A994">
        <v>989</v>
      </c>
      <c r="S994">
        <f t="shared" si="60"/>
        <v>0</v>
      </c>
      <c r="T994">
        <f t="shared" si="61"/>
        <v>0</v>
      </c>
      <c r="V994">
        <f t="shared" si="62"/>
        <v>1</v>
      </c>
      <c r="W994">
        <f t="shared" si="63"/>
        <v>1</v>
      </c>
    </row>
    <row r="995" spans="1:23" x14ac:dyDescent="0.2">
      <c r="A995">
        <v>990</v>
      </c>
      <c r="S995">
        <f t="shared" si="60"/>
        <v>0</v>
      </c>
      <c r="T995">
        <f t="shared" si="61"/>
        <v>0</v>
      </c>
      <c r="V995">
        <f t="shared" si="62"/>
        <v>1</v>
      </c>
      <c r="W995">
        <f t="shared" si="63"/>
        <v>1</v>
      </c>
    </row>
    <row r="996" spans="1:23" x14ac:dyDescent="0.2">
      <c r="A996">
        <v>991</v>
      </c>
      <c r="S996">
        <f t="shared" si="60"/>
        <v>0</v>
      </c>
      <c r="T996">
        <f t="shared" si="61"/>
        <v>0</v>
      </c>
      <c r="V996">
        <f t="shared" si="62"/>
        <v>1</v>
      </c>
      <c r="W996">
        <f t="shared" si="63"/>
        <v>1</v>
      </c>
    </row>
    <row r="997" spans="1:23" x14ac:dyDescent="0.2">
      <c r="A997">
        <v>992</v>
      </c>
      <c r="S997">
        <f t="shared" si="60"/>
        <v>0</v>
      </c>
      <c r="T997">
        <f t="shared" si="61"/>
        <v>0</v>
      </c>
      <c r="V997">
        <f t="shared" si="62"/>
        <v>1</v>
      </c>
      <c r="W997">
        <f t="shared" si="63"/>
        <v>1</v>
      </c>
    </row>
    <row r="998" spans="1:23" x14ac:dyDescent="0.2">
      <c r="A998">
        <v>993</v>
      </c>
      <c r="S998">
        <f t="shared" si="60"/>
        <v>0</v>
      </c>
      <c r="T998">
        <f t="shared" si="61"/>
        <v>0</v>
      </c>
      <c r="V998">
        <f t="shared" si="62"/>
        <v>1</v>
      </c>
      <c r="W998">
        <f t="shared" si="63"/>
        <v>1</v>
      </c>
    </row>
    <row r="999" spans="1:23" x14ac:dyDescent="0.2">
      <c r="A999">
        <v>994</v>
      </c>
      <c r="S999">
        <f t="shared" si="60"/>
        <v>0</v>
      </c>
      <c r="T999">
        <f t="shared" si="61"/>
        <v>0</v>
      </c>
      <c r="V999">
        <f t="shared" si="62"/>
        <v>1</v>
      </c>
      <c r="W999">
        <f t="shared" si="63"/>
        <v>1</v>
      </c>
    </row>
    <row r="1000" spans="1:23" x14ac:dyDescent="0.2">
      <c r="A1000">
        <v>995</v>
      </c>
      <c r="S1000">
        <f t="shared" si="60"/>
        <v>0</v>
      </c>
      <c r="T1000">
        <f t="shared" si="61"/>
        <v>0</v>
      </c>
      <c r="V1000">
        <f t="shared" si="62"/>
        <v>1</v>
      </c>
      <c r="W1000">
        <f t="shared" si="63"/>
        <v>1</v>
      </c>
    </row>
    <row r="1001" spans="1:23" x14ac:dyDescent="0.2">
      <c r="A1001">
        <v>996</v>
      </c>
      <c r="S1001">
        <f t="shared" si="60"/>
        <v>0</v>
      </c>
      <c r="T1001">
        <f t="shared" si="61"/>
        <v>0</v>
      </c>
      <c r="V1001">
        <f t="shared" si="62"/>
        <v>1</v>
      </c>
      <c r="W1001">
        <f t="shared" si="63"/>
        <v>1</v>
      </c>
    </row>
    <row r="1002" spans="1:23" x14ac:dyDescent="0.2">
      <c r="A1002">
        <v>997</v>
      </c>
      <c r="S1002">
        <f t="shared" si="60"/>
        <v>0</v>
      </c>
      <c r="T1002">
        <f t="shared" si="61"/>
        <v>0</v>
      </c>
      <c r="V1002">
        <f t="shared" si="62"/>
        <v>1</v>
      </c>
      <c r="W1002">
        <f t="shared" si="63"/>
        <v>1</v>
      </c>
    </row>
    <row r="1003" spans="1:23" x14ac:dyDescent="0.2">
      <c r="A1003">
        <v>998</v>
      </c>
      <c r="S1003">
        <f t="shared" si="60"/>
        <v>0</v>
      </c>
      <c r="T1003">
        <f t="shared" si="61"/>
        <v>0</v>
      </c>
      <c r="V1003">
        <f t="shared" si="62"/>
        <v>1</v>
      </c>
      <c r="W1003">
        <f t="shared" si="63"/>
        <v>1</v>
      </c>
    </row>
    <row r="1004" spans="1:23" x14ac:dyDescent="0.2">
      <c r="A1004">
        <v>999</v>
      </c>
      <c r="S1004">
        <f t="shared" si="60"/>
        <v>0</v>
      </c>
      <c r="T1004">
        <f t="shared" si="61"/>
        <v>0</v>
      </c>
      <c r="V1004">
        <f t="shared" si="62"/>
        <v>1</v>
      </c>
      <c r="W1004">
        <f t="shared" si="63"/>
        <v>1</v>
      </c>
    </row>
    <row r="1005" spans="1:23" x14ac:dyDescent="0.2">
      <c r="A1005">
        <v>1000</v>
      </c>
      <c r="V1005">
        <f>IF(S1005=MAX($S1005:$T1005),1,0)</f>
        <v>1</v>
      </c>
      <c r="W1005">
        <f>IF(T1005=MAX($S1005:$T1005),1,0)</f>
        <v>1</v>
      </c>
    </row>
    <row r="1006" spans="1:23" x14ac:dyDescent="0.2">
      <c r="L1006" t="s">
        <v>86</v>
      </c>
      <c r="M1006" t="s">
        <v>70</v>
      </c>
      <c r="N1006" t="s">
        <v>60</v>
      </c>
      <c r="O1006" t="s">
        <v>86</v>
      </c>
      <c r="P1006" t="s">
        <v>70</v>
      </c>
      <c r="Q1006" t="s">
        <v>60</v>
      </c>
    </row>
    <row r="1007" spans="1:23" x14ac:dyDescent="0.2">
      <c r="A1007" t="s">
        <v>87</v>
      </c>
      <c r="B1007" t="e">
        <f>AVERAGE(B6:B1005)</f>
        <v>#DIV/0!</v>
      </c>
      <c r="C1007" t="e">
        <f t="shared" ref="C1007:Q1007" si="64">AVERAGE(C6:C1005)</f>
        <v>#DIV/0!</v>
      </c>
      <c r="D1007" t="e">
        <f t="shared" si="64"/>
        <v>#DIV/0!</v>
      </c>
      <c r="E1007" t="e">
        <f t="shared" si="64"/>
        <v>#DIV/0!</v>
      </c>
      <c r="F1007" t="e">
        <f t="shared" si="64"/>
        <v>#DIV/0!</v>
      </c>
      <c r="G1007" t="e">
        <f t="shared" si="64"/>
        <v>#DIV/0!</v>
      </c>
      <c r="H1007" t="e">
        <f t="shared" si="64"/>
        <v>#DIV/0!</v>
      </c>
      <c r="I1007" t="e">
        <f t="shared" si="64"/>
        <v>#DIV/0!</v>
      </c>
      <c r="J1007" t="e">
        <f t="shared" si="64"/>
        <v>#DIV/0!</v>
      </c>
      <c r="L1007" t="e">
        <f t="shared" si="64"/>
        <v>#DIV/0!</v>
      </c>
      <c r="M1007" t="e">
        <f t="shared" si="64"/>
        <v>#DIV/0!</v>
      </c>
      <c r="N1007" t="e">
        <f t="shared" si="64"/>
        <v>#DIV/0!</v>
      </c>
      <c r="O1007" t="e">
        <f t="shared" si="64"/>
        <v>#DIV/0!</v>
      </c>
      <c r="P1007" t="e">
        <f t="shared" si="64"/>
        <v>#DIV/0!</v>
      </c>
      <c r="Q1007" t="e">
        <f t="shared" si="64"/>
        <v>#DIV/0!</v>
      </c>
    </row>
    <row r="1008" spans="1:23" x14ac:dyDescent="0.2">
      <c r="L1008" t="s">
        <v>66</v>
      </c>
      <c r="O1008" t="s">
        <v>73</v>
      </c>
    </row>
  </sheetData>
  <mergeCells count="3">
    <mergeCell ref="H2:I2"/>
    <mergeCell ref="F2:G2"/>
    <mergeCell ref="B2:D2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Diagram</vt:lpstr>
      <vt:lpstr>Analysis</vt:lpstr>
      <vt:lpstr>Parameters</vt:lpstr>
      <vt:lpstr>No drug</vt:lpstr>
      <vt:lpstr>Drug</vt:lpstr>
      <vt:lpstr>PSA</vt:lpstr>
      <vt:lpstr>CEA curve</vt:lpstr>
      <vt:lpstr>cAsymp</vt:lpstr>
      <vt:lpstr>cDeath</vt:lpstr>
      <vt:lpstr>cDR</vt:lpstr>
      <vt:lpstr>cDrug</vt:lpstr>
      <vt:lpstr>cProg</vt:lpstr>
      <vt:lpstr>Eff</vt:lpstr>
      <vt:lpstr>ini_age</vt:lpstr>
      <vt:lpstr>natDeath55</vt:lpstr>
      <vt:lpstr>natDeath65</vt:lpstr>
      <vt:lpstr>natDeath75</vt:lpstr>
      <vt:lpstr>natDeath85</vt:lpstr>
      <vt:lpstr>oDR</vt:lpstr>
      <vt:lpstr>tpDcm</vt:lpstr>
      <vt:lpstr>tpProg</vt:lpstr>
      <vt:lpstr>uAsymp</vt:lpstr>
      <vt:lpstr>uProg</vt:lpstr>
    </vt:vector>
  </TitlesOfParts>
  <Company>Oxford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Jleal</dc:creator>
  <cp:lastModifiedBy>Jose Leal</cp:lastModifiedBy>
  <dcterms:created xsi:type="dcterms:W3CDTF">2007-11-14T13:03:57Z</dcterms:created>
  <dcterms:modified xsi:type="dcterms:W3CDTF">2014-03-08T13:40:45Z</dcterms:modified>
</cp:coreProperties>
</file>